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Objects="none" filterPrivacy="1" defaultThemeVersion="124226"/>
  <xr:revisionPtr revIDLastSave="0" documentId="13_ncr:1_{1BED1D39-D58E-4D40-8FBC-CE4039A18A63}" xr6:coauthVersionLast="47" xr6:coauthVersionMax="47" xr10:uidLastSave="{00000000-0000-0000-0000-000000000000}"/>
  <bookViews>
    <workbookView xWindow="-120" yWindow="-120" windowWidth="20730" windowHeight="11040" tabRatio="911" xr2:uid="{00000000-000D-0000-FFFF-FFFF00000000}"/>
  </bookViews>
  <sheets>
    <sheet name="Trabajos" sheetId="3" r:id="rId1"/>
    <sheet name="Trabajos 2" sheetId="18" r:id="rId2"/>
    <sheet name="Viajes" sheetId="11" r:id="rId3"/>
    <sheet name="Gastos" sheetId="21" r:id="rId4"/>
    <sheet name="Saldos" sheetId="38" r:id="rId5"/>
    <sheet name="Ingresos" sheetId="13" r:id="rId6"/>
    <sheet name="Empleados" sheetId="17" r:id="rId7"/>
    <sheet name="Terciarizados" sheetId="41" r:id="rId8"/>
    <sheet name="Asignación" sheetId="9" r:id="rId9"/>
    <sheet name="Asignación 2" sheetId="19" r:id="rId10"/>
    <sheet name="Facturacion" sheetId="16" r:id="rId11"/>
    <sheet name="Facturacion 2" sheetId="20" r:id="rId12"/>
    <sheet name="IVA" sheetId="39" r:id="rId13"/>
    <sheet name="Referencias" sheetId="10" r:id="rId14"/>
  </sheets>
  <externalReferences>
    <externalReference r:id="rId15"/>
    <externalReference r:id="rId16"/>
    <externalReference r:id="rId17"/>
  </externalReferences>
  <definedNames>
    <definedName name="_xlnm._FilterDatabase" localSheetId="8" hidden="1">Asignación!$B$4:$U$349</definedName>
    <definedName name="_xlnm._FilterDatabase" localSheetId="9" hidden="1">'Asignación 2'!$B$4:$Q$154</definedName>
    <definedName name="_xlnm._FilterDatabase" localSheetId="6" hidden="1">Empleados!$B$4:$K$416</definedName>
    <definedName name="_xlnm._FilterDatabase" localSheetId="10" hidden="1">Facturacion!$B$4:$N$394</definedName>
    <definedName name="_xlnm._FilterDatabase" localSheetId="11" hidden="1">'Facturacion 2'!$B$4:$L$152</definedName>
    <definedName name="_xlnm._FilterDatabase" localSheetId="3" hidden="1">Gastos!$B$6:$S$213</definedName>
    <definedName name="_xlnm._FilterDatabase" localSheetId="5" hidden="1">Ingresos!$B$5:$AF$116</definedName>
    <definedName name="_xlnm._FilterDatabase" localSheetId="13" hidden="1">Referencias!$B$6:$C$136</definedName>
    <definedName name="_xlnm._FilterDatabase" localSheetId="4" hidden="1">Saldos!$B$4:$H$141</definedName>
    <definedName name="_xlnm._FilterDatabase" localSheetId="7" hidden="1">Terciarizados!$B$4:$M$292</definedName>
    <definedName name="_xlnm._FilterDatabase" localSheetId="0" hidden="1">Trabajos!$A$4:$U$396</definedName>
    <definedName name="_xlnm._FilterDatabase" localSheetId="1" hidden="1">'Trabajos 2'!$B$4:$W$157</definedName>
    <definedName name="_xlnm._FilterDatabase" localSheetId="2" hidden="1">Viajes!$A$5:$U$310</definedName>
    <definedName name="Clientes" localSheetId="6">[1]Referencias!$B$7:$C$12</definedName>
    <definedName name="Clientes" localSheetId="3">[2]Referencias!$B$7:$C$50</definedName>
    <definedName name="Clientes" localSheetId="4">[3]Referencias!$B$7:$C$82</definedName>
    <definedName name="Clientes" localSheetId="7">[1]Referencias!$B$7:$C$12</definedName>
    <definedName name="Clientes">Referencias!$B$7:$C$154</definedName>
    <definedName name="imputacion" localSheetId="4">#REF!</definedName>
    <definedName name="imputacion" localSheetId="7">#REF!</definedName>
    <definedName name="imputacion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13" l="1"/>
  <c r="D105" i="13"/>
  <c r="D106" i="13"/>
  <c r="D107" i="13"/>
  <c r="D108" i="13"/>
  <c r="D109" i="13"/>
  <c r="D110" i="13"/>
  <c r="D111" i="13"/>
  <c r="D112" i="13"/>
  <c r="D113" i="13"/>
  <c r="D114" i="13"/>
  <c r="D115" i="13"/>
  <c r="T365" i="3"/>
  <c r="T366" i="3"/>
  <c r="T367" i="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03" i="13"/>
  <c r="H102" i="13"/>
  <c r="H101" i="13"/>
  <c r="G183" i="11"/>
  <c r="H100" i="13"/>
  <c r="H99" i="13"/>
  <c r="H98" i="13"/>
  <c r="G181" i="11"/>
  <c r="G179" i="11"/>
  <c r="G178" i="11"/>
  <c r="G175" i="11"/>
  <c r="G173" i="11"/>
  <c r="H97" i="13" l="1"/>
  <c r="G182" i="11" l="1"/>
  <c r="T363" i="3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O360" i="3"/>
  <c r="K360" i="16" s="1"/>
  <c r="O361" i="3"/>
  <c r="K361" i="16" s="1"/>
  <c r="O362" i="3"/>
  <c r="K362" i="16" s="1"/>
  <c r="O363" i="3"/>
  <c r="K363" i="16" s="1"/>
  <c r="O364" i="3"/>
  <c r="K364" i="16" s="1"/>
  <c r="O365" i="3"/>
  <c r="K365" i="16" s="1"/>
  <c r="O366" i="3"/>
  <c r="K366" i="16" s="1"/>
  <c r="O367" i="3"/>
  <c r="K367" i="16" s="1"/>
  <c r="O368" i="3"/>
  <c r="K368" i="16" s="1"/>
  <c r="O369" i="3"/>
  <c r="K369" i="16" s="1"/>
  <c r="O370" i="3"/>
  <c r="K370" i="16" s="1"/>
  <c r="O371" i="3"/>
  <c r="K371" i="16" s="1"/>
  <c r="O372" i="3"/>
  <c r="K372" i="16" s="1"/>
  <c r="O373" i="3"/>
  <c r="K373" i="16" s="1"/>
  <c r="O374" i="3"/>
  <c r="K374" i="16" s="1"/>
  <c r="O375" i="3"/>
  <c r="K375" i="16" s="1"/>
  <c r="O376" i="3"/>
  <c r="K376" i="16" s="1"/>
  <c r="O377" i="3"/>
  <c r="K377" i="16" s="1"/>
  <c r="O378" i="3"/>
  <c r="K378" i="16" s="1"/>
  <c r="O379" i="3"/>
  <c r="K379" i="16" s="1"/>
  <c r="O380" i="3"/>
  <c r="K380" i="16" s="1"/>
  <c r="O381" i="3"/>
  <c r="K381" i="16" s="1"/>
  <c r="O382" i="3"/>
  <c r="K382" i="16" s="1"/>
  <c r="O383" i="3"/>
  <c r="K383" i="16" s="1"/>
  <c r="O384" i="3"/>
  <c r="K384" i="16" s="1"/>
  <c r="O385" i="3"/>
  <c r="K385" i="16" s="1"/>
  <c r="O386" i="3"/>
  <c r="K386" i="16" s="1"/>
  <c r="O387" i="3"/>
  <c r="K387" i="16" s="1"/>
  <c r="O388" i="3"/>
  <c r="K388" i="16" s="1"/>
  <c r="O389" i="3"/>
  <c r="K389" i="16" s="1"/>
  <c r="O390" i="3"/>
  <c r="K390" i="16" s="1"/>
  <c r="O391" i="3"/>
  <c r="K391" i="16" s="1"/>
  <c r="O392" i="3"/>
  <c r="K392" i="16" s="1"/>
  <c r="O393" i="3"/>
  <c r="K393" i="16" s="1"/>
  <c r="O394" i="3"/>
  <c r="K394" i="16" s="1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J360" i="3"/>
  <c r="J361" i="3"/>
  <c r="J362" i="3"/>
  <c r="H362" i="16" s="1"/>
  <c r="J363" i="3"/>
  <c r="H363" i="16" s="1"/>
  <c r="J364" i="3"/>
  <c r="H364" i="16" s="1"/>
  <c r="J365" i="3"/>
  <c r="H365" i="16" s="1"/>
  <c r="J366" i="3"/>
  <c r="J367" i="3"/>
  <c r="H367" i="16" s="1"/>
  <c r="J368" i="3"/>
  <c r="H368" i="16" s="1"/>
  <c r="J369" i="3"/>
  <c r="P369" i="3" s="1"/>
  <c r="L369" i="16" s="1"/>
  <c r="J370" i="3"/>
  <c r="H370" i="16" s="1"/>
  <c r="J371" i="3"/>
  <c r="P371" i="3" s="1"/>
  <c r="L371" i="16" s="1"/>
  <c r="J372" i="3"/>
  <c r="H372" i="16" s="1"/>
  <c r="J373" i="3"/>
  <c r="H373" i="16" s="1"/>
  <c r="J374" i="3"/>
  <c r="P374" i="3" s="1"/>
  <c r="L374" i="16" s="1"/>
  <c r="J375" i="3"/>
  <c r="H375" i="16" s="1"/>
  <c r="J376" i="3"/>
  <c r="H376" i="16" s="1"/>
  <c r="J377" i="3"/>
  <c r="P377" i="3" s="1"/>
  <c r="L377" i="16" s="1"/>
  <c r="J378" i="3"/>
  <c r="P378" i="3" s="1"/>
  <c r="L378" i="16" s="1"/>
  <c r="J379" i="3"/>
  <c r="P379" i="3" s="1"/>
  <c r="L379" i="16" s="1"/>
  <c r="J380" i="3"/>
  <c r="H380" i="16" s="1"/>
  <c r="J381" i="3"/>
  <c r="H381" i="16" s="1"/>
  <c r="J382" i="3"/>
  <c r="H382" i="16" s="1"/>
  <c r="J383" i="3"/>
  <c r="H383" i="16" s="1"/>
  <c r="J384" i="3"/>
  <c r="H384" i="16" s="1"/>
  <c r="J385" i="3"/>
  <c r="P385" i="3" s="1"/>
  <c r="L385" i="16" s="1"/>
  <c r="J386" i="3"/>
  <c r="P386" i="3" s="1"/>
  <c r="L386" i="16" s="1"/>
  <c r="J387" i="3"/>
  <c r="P387" i="3" s="1"/>
  <c r="L387" i="16" s="1"/>
  <c r="J388" i="3"/>
  <c r="H388" i="16" s="1"/>
  <c r="J389" i="3"/>
  <c r="H389" i="16" s="1"/>
  <c r="J390" i="3"/>
  <c r="H390" i="16" s="1"/>
  <c r="J391" i="3"/>
  <c r="H391" i="16" s="1"/>
  <c r="J392" i="3"/>
  <c r="H392" i="16" s="1"/>
  <c r="J393" i="3"/>
  <c r="P393" i="3" s="1"/>
  <c r="L393" i="16" s="1"/>
  <c r="J394" i="3"/>
  <c r="P394" i="3" s="1"/>
  <c r="L394" i="16" s="1"/>
  <c r="F360" i="3"/>
  <c r="F361" i="3"/>
  <c r="F362" i="3"/>
  <c r="F363" i="3"/>
  <c r="C363" i="16" s="1"/>
  <c r="F364" i="3"/>
  <c r="C364" i="16" s="1"/>
  <c r="F365" i="3"/>
  <c r="C365" i="16" s="1"/>
  <c r="F366" i="3"/>
  <c r="C366" i="16" s="1"/>
  <c r="F367" i="3"/>
  <c r="C367" i="16" s="1"/>
  <c r="F368" i="3"/>
  <c r="C368" i="16" s="1"/>
  <c r="F369" i="3"/>
  <c r="C369" i="16" s="1"/>
  <c r="F370" i="3"/>
  <c r="C370" i="16" s="1"/>
  <c r="F371" i="3"/>
  <c r="C371" i="16" s="1"/>
  <c r="F372" i="3"/>
  <c r="C372" i="16" s="1"/>
  <c r="F373" i="3"/>
  <c r="C373" i="16" s="1"/>
  <c r="F374" i="3"/>
  <c r="C374" i="16" s="1"/>
  <c r="F375" i="3"/>
  <c r="C375" i="16" s="1"/>
  <c r="F376" i="3"/>
  <c r="C376" i="16" s="1"/>
  <c r="F377" i="3"/>
  <c r="C377" i="16" s="1"/>
  <c r="F378" i="3"/>
  <c r="C378" i="16" s="1"/>
  <c r="F379" i="3"/>
  <c r="C379" i="16" s="1"/>
  <c r="F380" i="3"/>
  <c r="C380" i="16" s="1"/>
  <c r="F381" i="3"/>
  <c r="C381" i="16" s="1"/>
  <c r="F382" i="3"/>
  <c r="C382" i="16" s="1"/>
  <c r="F383" i="3"/>
  <c r="C383" i="16" s="1"/>
  <c r="F384" i="3"/>
  <c r="C384" i="16" s="1"/>
  <c r="F385" i="3"/>
  <c r="C385" i="16" s="1"/>
  <c r="F386" i="3"/>
  <c r="C386" i="16" s="1"/>
  <c r="F387" i="3"/>
  <c r="C387" i="16" s="1"/>
  <c r="F388" i="3"/>
  <c r="C388" i="16" s="1"/>
  <c r="F389" i="3"/>
  <c r="C389" i="16" s="1"/>
  <c r="F390" i="3"/>
  <c r="C390" i="16" s="1"/>
  <c r="F391" i="3"/>
  <c r="C391" i="16" s="1"/>
  <c r="F392" i="3"/>
  <c r="C392" i="16" s="1"/>
  <c r="F393" i="3"/>
  <c r="C393" i="16" s="1"/>
  <c r="F394" i="3"/>
  <c r="C394" i="16" s="1"/>
  <c r="D360" i="3"/>
  <c r="D361" i="3"/>
  <c r="D362" i="3"/>
  <c r="D363" i="3"/>
  <c r="D363" i="16" s="1"/>
  <c r="D364" i="3"/>
  <c r="D364" i="16" s="1"/>
  <c r="D365" i="3"/>
  <c r="D365" i="16" s="1"/>
  <c r="D366" i="3"/>
  <c r="D366" i="16" s="1"/>
  <c r="D367" i="3"/>
  <c r="D367" i="16" s="1"/>
  <c r="D368" i="3"/>
  <c r="D368" i="16" s="1"/>
  <c r="D369" i="3"/>
  <c r="D369" i="16" s="1"/>
  <c r="D370" i="3"/>
  <c r="D370" i="16" s="1"/>
  <c r="D371" i="3"/>
  <c r="D371" i="16" s="1"/>
  <c r="D372" i="3"/>
  <c r="D372" i="16" s="1"/>
  <c r="D373" i="3"/>
  <c r="D373" i="16" s="1"/>
  <c r="D374" i="3"/>
  <c r="D374" i="16" s="1"/>
  <c r="D375" i="3"/>
  <c r="D375" i="16" s="1"/>
  <c r="D376" i="3"/>
  <c r="D376" i="16" s="1"/>
  <c r="D377" i="3"/>
  <c r="D377" i="16" s="1"/>
  <c r="D378" i="3"/>
  <c r="D378" i="16" s="1"/>
  <c r="D379" i="3"/>
  <c r="D379" i="16" s="1"/>
  <c r="D380" i="3"/>
  <c r="D380" i="16" s="1"/>
  <c r="D381" i="3"/>
  <c r="D381" i="16" s="1"/>
  <c r="D382" i="3"/>
  <c r="D382" i="16" s="1"/>
  <c r="D383" i="3"/>
  <c r="D383" i="16" s="1"/>
  <c r="D384" i="3"/>
  <c r="D384" i="16" s="1"/>
  <c r="D385" i="3"/>
  <c r="D385" i="16" s="1"/>
  <c r="D386" i="3"/>
  <c r="D386" i="16" s="1"/>
  <c r="D387" i="3"/>
  <c r="D387" i="16" s="1"/>
  <c r="D388" i="3"/>
  <c r="D388" i="16" s="1"/>
  <c r="D389" i="3"/>
  <c r="D389" i="16" s="1"/>
  <c r="D390" i="3"/>
  <c r="D390" i="16" s="1"/>
  <c r="D391" i="3"/>
  <c r="D391" i="16" s="1"/>
  <c r="D392" i="3"/>
  <c r="D392" i="16" s="1"/>
  <c r="D393" i="3"/>
  <c r="D393" i="16" s="1"/>
  <c r="D394" i="3"/>
  <c r="D394" i="16" s="1"/>
  <c r="G168" i="11"/>
  <c r="G164" i="11"/>
  <c r="G162" i="11"/>
  <c r="G161" i="11"/>
  <c r="P366" i="3" l="1"/>
  <c r="L366" i="16" s="1"/>
  <c r="P367" i="3"/>
  <c r="L367" i="16" s="1"/>
  <c r="H393" i="16"/>
  <c r="H386" i="16"/>
  <c r="P370" i="3"/>
  <c r="L370" i="16" s="1"/>
  <c r="H385" i="16"/>
  <c r="H378" i="16"/>
  <c r="P391" i="3"/>
  <c r="L391" i="16" s="1"/>
  <c r="H377" i="16"/>
  <c r="P383" i="3"/>
  <c r="L383" i="16" s="1"/>
  <c r="H369" i="16"/>
  <c r="P375" i="3"/>
  <c r="L375" i="16" s="1"/>
  <c r="H394" i="16"/>
  <c r="P390" i="3"/>
  <c r="L390" i="16" s="1"/>
  <c r="P392" i="3"/>
  <c r="L392" i="16" s="1"/>
  <c r="P384" i="3"/>
  <c r="L384" i="16" s="1"/>
  <c r="P376" i="3"/>
  <c r="L376" i="16" s="1"/>
  <c r="P368" i="3"/>
  <c r="L368" i="16" s="1"/>
  <c r="H387" i="16"/>
  <c r="H379" i="16"/>
  <c r="H371" i="16"/>
  <c r="P389" i="3"/>
  <c r="L389" i="16" s="1"/>
  <c r="P381" i="3"/>
  <c r="L381" i="16" s="1"/>
  <c r="P373" i="3"/>
  <c r="L373" i="16" s="1"/>
  <c r="P365" i="3"/>
  <c r="L365" i="16" s="1"/>
  <c r="P382" i="3"/>
  <c r="L382" i="16" s="1"/>
  <c r="P388" i="3"/>
  <c r="L388" i="16" s="1"/>
  <c r="P380" i="3"/>
  <c r="L380" i="16" s="1"/>
  <c r="P372" i="3"/>
  <c r="L372" i="16" s="1"/>
  <c r="P364" i="3"/>
  <c r="L364" i="16" s="1"/>
  <c r="H374" i="16"/>
  <c r="H366" i="16"/>
  <c r="P363" i="3"/>
  <c r="L363" i="16" s="1"/>
  <c r="P361" i="3"/>
  <c r="L361" i="16" s="1"/>
  <c r="P360" i="3"/>
  <c r="L360" i="16" s="1"/>
  <c r="P362" i="3"/>
  <c r="L362" i="16" s="1"/>
  <c r="H361" i="16"/>
  <c r="G180" i="11"/>
  <c r="G159" i="11"/>
  <c r="G157" i="11" l="1"/>
  <c r="H96" i="13" l="1"/>
  <c r="H95" i="13"/>
  <c r="G177" i="11"/>
  <c r="G176" i="11"/>
  <c r="G174" i="11"/>
  <c r="H94" i="13" l="1"/>
  <c r="H93" i="13"/>
  <c r="D93" i="13"/>
  <c r="D94" i="13"/>
  <c r="D95" i="13"/>
  <c r="D96" i="13"/>
  <c r="D97" i="13"/>
  <c r="D98" i="13"/>
  <c r="D99" i="13"/>
  <c r="D100" i="13"/>
  <c r="D101" i="13"/>
  <c r="D102" i="13"/>
  <c r="D103" i="13"/>
  <c r="G171" i="11" l="1"/>
  <c r="G158" i="11"/>
  <c r="G170" i="11"/>
  <c r="G169" i="11"/>
  <c r="J344" i="16" l="1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R395" i="3"/>
  <c r="O344" i="3"/>
  <c r="K344" i="16" s="1"/>
  <c r="O345" i="3"/>
  <c r="K345" i="16" s="1"/>
  <c r="O346" i="3"/>
  <c r="K346" i="16" s="1"/>
  <c r="O347" i="3"/>
  <c r="K347" i="16" s="1"/>
  <c r="O348" i="3"/>
  <c r="K348" i="16" s="1"/>
  <c r="O349" i="3"/>
  <c r="O350" i="3"/>
  <c r="K350" i="16" s="1"/>
  <c r="O351" i="3"/>
  <c r="K351" i="16" s="1"/>
  <c r="O352" i="3"/>
  <c r="K352" i="16" s="1"/>
  <c r="O353" i="3"/>
  <c r="K353" i="16" s="1"/>
  <c r="O354" i="3"/>
  <c r="K354" i="16" s="1"/>
  <c r="O355" i="3"/>
  <c r="K355" i="16" s="1"/>
  <c r="O356" i="3"/>
  <c r="K356" i="16" s="1"/>
  <c r="O357" i="3"/>
  <c r="K357" i="16" s="1"/>
  <c r="O358" i="3"/>
  <c r="K358" i="16" s="1"/>
  <c r="O359" i="3"/>
  <c r="K359" i="16" s="1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J344" i="3"/>
  <c r="H344" i="16" s="1"/>
  <c r="J345" i="3"/>
  <c r="J346" i="3"/>
  <c r="H346" i="16" s="1"/>
  <c r="J347" i="3"/>
  <c r="J348" i="3"/>
  <c r="J349" i="3"/>
  <c r="H349" i="16" s="1"/>
  <c r="J350" i="3"/>
  <c r="H350" i="16" s="1"/>
  <c r="J351" i="3"/>
  <c r="H351" i="16" s="1"/>
  <c r="J352" i="3"/>
  <c r="H352" i="16" s="1"/>
  <c r="J353" i="3"/>
  <c r="H353" i="16" s="1"/>
  <c r="J354" i="3"/>
  <c r="H354" i="16" s="1"/>
  <c r="J355" i="3"/>
  <c r="J356" i="3"/>
  <c r="J357" i="3"/>
  <c r="J358" i="3"/>
  <c r="J359" i="3"/>
  <c r="H359" i="16" s="1"/>
  <c r="H360" i="16"/>
  <c r="F344" i="3"/>
  <c r="C344" i="16" s="1"/>
  <c r="F345" i="3"/>
  <c r="C345" i="16" s="1"/>
  <c r="F346" i="3"/>
  <c r="C346" i="16" s="1"/>
  <c r="F347" i="3"/>
  <c r="C347" i="16" s="1"/>
  <c r="F348" i="3"/>
  <c r="C348" i="16" s="1"/>
  <c r="F349" i="3"/>
  <c r="C349" i="16" s="1"/>
  <c r="F350" i="3"/>
  <c r="C350" i="16" s="1"/>
  <c r="F351" i="3"/>
  <c r="C351" i="16" s="1"/>
  <c r="F352" i="3"/>
  <c r="C352" i="16" s="1"/>
  <c r="F353" i="3"/>
  <c r="C353" i="16" s="1"/>
  <c r="F354" i="3"/>
  <c r="C354" i="16" s="1"/>
  <c r="F355" i="3"/>
  <c r="C355" i="16" s="1"/>
  <c r="F356" i="3"/>
  <c r="C356" i="16" s="1"/>
  <c r="F357" i="3"/>
  <c r="C357" i="16" s="1"/>
  <c r="F358" i="3"/>
  <c r="C358" i="16" s="1"/>
  <c r="F359" i="3"/>
  <c r="C359" i="16" s="1"/>
  <c r="C360" i="16"/>
  <c r="C361" i="16"/>
  <c r="C362" i="16"/>
  <c r="D344" i="3"/>
  <c r="D344" i="16" s="1"/>
  <c r="D345" i="3"/>
  <c r="D345" i="16" s="1"/>
  <c r="D346" i="3"/>
  <c r="D346" i="16" s="1"/>
  <c r="D347" i="3"/>
  <c r="D347" i="16" s="1"/>
  <c r="D348" i="3"/>
  <c r="D348" i="16" s="1"/>
  <c r="D349" i="3"/>
  <c r="D349" i="16" s="1"/>
  <c r="D350" i="3"/>
  <c r="D350" i="16" s="1"/>
  <c r="D351" i="3"/>
  <c r="D351" i="16" s="1"/>
  <c r="D352" i="3"/>
  <c r="D352" i="16" s="1"/>
  <c r="D353" i="3"/>
  <c r="D353" i="16" s="1"/>
  <c r="D354" i="3"/>
  <c r="D354" i="16" s="1"/>
  <c r="D355" i="3"/>
  <c r="D355" i="16" s="1"/>
  <c r="D356" i="3"/>
  <c r="D356" i="16" s="1"/>
  <c r="D357" i="3"/>
  <c r="D357" i="16" s="1"/>
  <c r="D358" i="3"/>
  <c r="D358" i="16" s="1"/>
  <c r="D359" i="3"/>
  <c r="D359" i="16" s="1"/>
  <c r="D360" i="16"/>
  <c r="D361" i="16"/>
  <c r="D362" i="16"/>
  <c r="G167" i="11"/>
  <c r="H92" i="13"/>
  <c r="H91" i="13"/>
  <c r="H90" i="13"/>
  <c r="P357" i="3" l="1"/>
  <c r="L357" i="16" s="1"/>
  <c r="P356" i="3"/>
  <c r="L356" i="16" s="1"/>
  <c r="P358" i="3"/>
  <c r="L358" i="16" s="1"/>
  <c r="P355" i="3"/>
  <c r="L355" i="16" s="1"/>
  <c r="P349" i="3"/>
  <c r="L349" i="16" s="1"/>
  <c r="P354" i="3"/>
  <c r="L354" i="16" s="1"/>
  <c r="H358" i="16"/>
  <c r="P353" i="3"/>
  <c r="L353" i="16" s="1"/>
  <c r="H357" i="16"/>
  <c r="K349" i="16"/>
  <c r="P352" i="3"/>
  <c r="L352" i="16" s="1"/>
  <c r="H356" i="16"/>
  <c r="P359" i="3"/>
  <c r="L359" i="16" s="1"/>
  <c r="P351" i="3"/>
  <c r="L351" i="16" s="1"/>
  <c r="H355" i="16"/>
  <c r="P350" i="3"/>
  <c r="L350" i="16" s="1"/>
  <c r="P348" i="3"/>
  <c r="L348" i="16" s="1"/>
  <c r="P347" i="3"/>
  <c r="L347" i="16" s="1"/>
  <c r="H348" i="16"/>
  <c r="H347" i="16"/>
  <c r="P345" i="3"/>
  <c r="L345" i="16" s="1"/>
  <c r="H345" i="16"/>
  <c r="P346" i="3"/>
  <c r="L346" i="16" s="1"/>
  <c r="P344" i="3"/>
  <c r="L344" i="16" s="1"/>
  <c r="G166" i="11"/>
  <c r="G165" i="11"/>
  <c r="H89" i="13"/>
  <c r="D89" i="13"/>
  <c r="D90" i="13"/>
  <c r="D91" i="13"/>
  <c r="D92" i="13"/>
  <c r="E116" i="13"/>
  <c r="G163" i="11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394" i="17"/>
  <c r="H395" i="17"/>
  <c r="H396" i="17"/>
  <c r="H397" i="17"/>
  <c r="H398" i="17"/>
  <c r="H399" i="17"/>
  <c r="G156" i="11"/>
  <c r="G155" i="11"/>
  <c r="G154" i="11"/>
  <c r="G153" i="11"/>
  <c r="G152" i="11"/>
  <c r="H393" i="17"/>
  <c r="G151" i="11"/>
  <c r="H392" i="17"/>
  <c r="J84" i="20"/>
  <c r="J85" i="20"/>
  <c r="G150" i="11" l="1"/>
  <c r="G149" i="11"/>
  <c r="O82" i="18"/>
  <c r="G144" i="11" l="1"/>
  <c r="G145" i="11"/>
  <c r="G146" i="11"/>
  <c r="G147" i="11"/>
  <c r="G148" i="11"/>
  <c r="G143" i="11"/>
  <c r="G142" i="11" l="1"/>
  <c r="G141" i="11" l="1"/>
  <c r="G140" i="11" l="1"/>
  <c r="D73" i="13" l="1"/>
  <c r="G138" i="11" l="1"/>
  <c r="G139" i="11"/>
  <c r="G137" i="11"/>
  <c r="G129" i="11" l="1"/>
  <c r="G125" i="11"/>
  <c r="G119" i="11"/>
  <c r="G120" i="11"/>
  <c r="G118" i="11"/>
  <c r="G117" i="11"/>
  <c r="G112" i="11"/>
  <c r="G110" i="11"/>
  <c r="G105" i="11"/>
  <c r="G104" i="11"/>
  <c r="G102" i="11"/>
  <c r="G101" i="11"/>
  <c r="G100" i="11"/>
  <c r="G94" i="11"/>
  <c r="G92" i="11"/>
  <c r="G91" i="11"/>
  <c r="G89" i="11"/>
  <c r="G88" i="11"/>
  <c r="G86" i="11"/>
  <c r="G83" i="11"/>
  <c r="G82" i="11"/>
  <c r="G80" i="11"/>
  <c r="G78" i="11"/>
  <c r="G77" i="11"/>
  <c r="G76" i="11"/>
  <c r="G74" i="11"/>
  <c r="G72" i="11"/>
  <c r="G70" i="11"/>
  <c r="G69" i="11"/>
  <c r="G68" i="11"/>
  <c r="G64" i="11"/>
  <c r="H62" i="11"/>
  <c r="G61" i="11"/>
  <c r="G60" i="11"/>
  <c r="G59" i="11"/>
  <c r="G57" i="11"/>
  <c r="G56" i="11"/>
  <c r="G55" i="11"/>
  <c r="G54" i="11"/>
  <c r="G53" i="11"/>
  <c r="G51" i="11"/>
  <c r="G50" i="11"/>
  <c r="G48" i="11"/>
  <c r="G47" i="11"/>
  <c r="G45" i="11"/>
  <c r="G44" i="11"/>
  <c r="G41" i="11"/>
  <c r="G42" i="11"/>
  <c r="G40" i="11"/>
  <c r="G39" i="11"/>
  <c r="G37" i="11"/>
  <c r="H38" i="11"/>
  <c r="G33" i="11"/>
  <c r="G32" i="11"/>
  <c r="G29" i="11"/>
  <c r="G27" i="11"/>
  <c r="D321" i="3" l="1"/>
  <c r="H61" i="13" l="1"/>
  <c r="H62" i="13"/>
  <c r="J317" i="16" l="1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H361" i="17" l="1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60" i="17" l="1"/>
  <c r="J306" i="16" l="1"/>
  <c r="J307" i="16"/>
  <c r="J308" i="16"/>
  <c r="J309" i="16"/>
  <c r="J310" i="16"/>
  <c r="J311" i="16"/>
  <c r="J312" i="16"/>
  <c r="J313" i="16"/>
  <c r="J314" i="16"/>
  <c r="J315" i="16"/>
  <c r="J316" i="16"/>
  <c r="I306" i="16"/>
  <c r="I307" i="16"/>
  <c r="I308" i="16"/>
  <c r="I309" i="16"/>
  <c r="I310" i="16"/>
  <c r="I311" i="16"/>
  <c r="I312" i="16"/>
  <c r="I313" i="16"/>
  <c r="I314" i="16"/>
  <c r="I315" i="16"/>
  <c r="I316" i="16"/>
  <c r="G306" i="16"/>
  <c r="G307" i="16"/>
  <c r="G308" i="16"/>
  <c r="G309" i="16"/>
  <c r="G310" i="16"/>
  <c r="G311" i="16"/>
  <c r="G312" i="16"/>
  <c r="G313" i="16"/>
  <c r="G314" i="16"/>
  <c r="G315" i="16"/>
  <c r="G316" i="16"/>
  <c r="F306" i="16"/>
  <c r="F307" i="16"/>
  <c r="F308" i="16"/>
  <c r="F309" i="16"/>
  <c r="F310" i="16"/>
  <c r="F311" i="16"/>
  <c r="F312" i="16"/>
  <c r="F313" i="16"/>
  <c r="F314" i="16"/>
  <c r="F315" i="16"/>
  <c r="F316" i="16"/>
  <c r="E306" i="16"/>
  <c r="E307" i="16"/>
  <c r="E308" i="16"/>
  <c r="E309" i="16"/>
  <c r="E310" i="16"/>
  <c r="E311" i="16"/>
  <c r="E312" i="16"/>
  <c r="E313" i="16"/>
  <c r="E314" i="16"/>
  <c r="E315" i="16"/>
  <c r="E316" i="16"/>
  <c r="B306" i="16"/>
  <c r="B307" i="16"/>
  <c r="B308" i="16"/>
  <c r="B309" i="16"/>
  <c r="B310" i="16"/>
  <c r="B311" i="16"/>
  <c r="B312" i="16"/>
  <c r="B313" i="16"/>
  <c r="B314" i="16"/>
  <c r="B315" i="16"/>
  <c r="B316" i="16"/>
  <c r="E125" i="11" l="1"/>
  <c r="E124" i="11"/>
  <c r="H343" i="17" l="1"/>
  <c r="H335" i="17"/>
  <c r="H327" i="17"/>
  <c r="H321" i="17"/>
  <c r="H318" i="17"/>
  <c r="H312" i="17"/>
  <c r="H304" i="17"/>
  <c r="H299" i="17"/>
  <c r="H293" i="17"/>
  <c r="H286" i="17"/>
  <c r="H277" i="17"/>
  <c r="H271" i="17"/>
  <c r="H261" i="17"/>
  <c r="H249" i="17"/>
  <c r="H242" i="17"/>
  <c r="H221" i="17"/>
  <c r="H213" i="17"/>
  <c r="H206" i="17"/>
  <c r="H197" i="17"/>
  <c r="H193" i="17"/>
  <c r="H191" i="17"/>
  <c r="H185" i="17"/>
  <c r="H179" i="17"/>
  <c r="H164" i="17"/>
  <c r="H155" i="17"/>
  <c r="H148" i="17"/>
  <c r="H141" i="17"/>
  <c r="H134" i="17"/>
  <c r="H118" i="17"/>
  <c r="H113" i="17"/>
  <c r="H107" i="17"/>
  <c r="H102" i="17"/>
  <c r="H96" i="17"/>
  <c r="H91" i="17"/>
  <c r="H84" i="17"/>
  <c r="H75" i="17"/>
  <c r="H57" i="17"/>
  <c r="H47" i="17"/>
  <c r="H44" i="17"/>
  <c r="H27" i="17"/>
  <c r="H21" i="17"/>
  <c r="H15" i="17"/>
  <c r="H12" i="17"/>
  <c r="H9" i="17"/>
  <c r="H7" i="17"/>
  <c r="K347" i="9" l="1"/>
  <c r="K348" i="9"/>
  <c r="J347" i="9"/>
  <c r="J348" i="9"/>
  <c r="I347" i="9"/>
  <c r="I348" i="9"/>
  <c r="H347" i="9"/>
  <c r="H348" i="9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62" i="3"/>
  <c r="T393" i="3"/>
  <c r="T394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L306" i="3"/>
  <c r="L306" i="9" s="1"/>
  <c r="L307" i="3"/>
  <c r="L307" i="9" s="1"/>
  <c r="L308" i="3"/>
  <c r="L308" i="9" s="1"/>
  <c r="L309" i="3"/>
  <c r="L309" i="9" s="1"/>
  <c r="L310" i="3"/>
  <c r="L310" i="9" s="1"/>
  <c r="L311" i="3"/>
  <c r="L311" i="9" s="1"/>
  <c r="L312" i="3"/>
  <c r="L312" i="9" s="1"/>
  <c r="L313" i="3"/>
  <c r="L313" i="9" s="1"/>
  <c r="L314" i="3"/>
  <c r="L314" i="9" s="1"/>
  <c r="L315" i="3"/>
  <c r="L315" i="9" s="1"/>
  <c r="L316" i="3"/>
  <c r="L316" i="9" s="1"/>
  <c r="L317" i="3"/>
  <c r="L317" i="9" s="1"/>
  <c r="L318" i="3"/>
  <c r="L318" i="9" s="1"/>
  <c r="L319" i="3"/>
  <c r="L319" i="9" s="1"/>
  <c r="L320" i="3"/>
  <c r="L320" i="9" s="1"/>
  <c r="L321" i="3"/>
  <c r="L321" i="9" s="1"/>
  <c r="L322" i="3"/>
  <c r="L322" i="9" s="1"/>
  <c r="L323" i="3"/>
  <c r="L323" i="9" s="1"/>
  <c r="L324" i="3"/>
  <c r="L324" i="9" s="1"/>
  <c r="L325" i="3"/>
  <c r="L325" i="9" s="1"/>
  <c r="L326" i="3"/>
  <c r="L326" i="9" s="1"/>
  <c r="L327" i="3"/>
  <c r="L327" i="9" s="1"/>
  <c r="L328" i="3"/>
  <c r="L328" i="9" s="1"/>
  <c r="L329" i="3"/>
  <c r="L329" i="9" s="1"/>
  <c r="L330" i="3"/>
  <c r="L330" i="9" s="1"/>
  <c r="L331" i="3"/>
  <c r="L331" i="9" s="1"/>
  <c r="L332" i="3"/>
  <c r="L332" i="9" s="1"/>
  <c r="L333" i="3"/>
  <c r="L333" i="9" s="1"/>
  <c r="L334" i="3"/>
  <c r="L334" i="9" s="1"/>
  <c r="L335" i="3"/>
  <c r="L335" i="9" s="1"/>
  <c r="L336" i="3"/>
  <c r="L336" i="9" s="1"/>
  <c r="L337" i="3"/>
  <c r="L337" i="9" s="1"/>
  <c r="L338" i="3"/>
  <c r="L338" i="9" s="1"/>
  <c r="L339" i="3"/>
  <c r="L339" i="9" s="1"/>
  <c r="L340" i="3"/>
  <c r="L340" i="9" s="1"/>
  <c r="L341" i="3"/>
  <c r="L341" i="9" s="1"/>
  <c r="L342" i="3"/>
  <c r="L342" i="9" s="1"/>
  <c r="L343" i="3"/>
  <c r="L343" i="9" s="1"/>
  <c r="L344" i="9"/>
  <c r="L345" i="9"/>
  <c r="L346" i="9"/>
  <c r="L347" i="9"/>
  <c r="L348" i="9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42" i="9"/>
  <c r="B243" i="9"/>
  <c r="B244" i="9"/>
  <c r="B245" i="9"/>
  <c r="D334" i="9" l="1"/>
  <c r="D334" i="16"/>
  <c r="F322" i="9"/>
  <c r="I322" i="9" s="1"/>
  <c r="K322" i="16"/>
  <c r="D325" i="9"/>
  <c r="D325" i="16"/>
  <c r="D317" i="9"/>
  <c r="D317" i="16"/>
  <c r="E339" i="9"/>
  <c r="H339" i="9" s="1"/>
  <c r="H339" i="16"/>
  <c r="E331" i="9"/>
  <c r="H331" i="9" s="1"/>
  <c r="H331" i="16"/>
  <c r="F345" i="9"/>
  <c r="I345" i="9" s="1"/>
  <c r="F329" i="9"/>
  <c r="I329" i="9" s="1"/>
  <c r="K329" i="16"/>
  <c r="D348" i="9"/>
  <c r="D340" i="9"/>
  <c r="D340" i="16"/>
  <c r="D332" i="9"/>
  <c r="D332" i="16"/>
  <c r="D324" i="9"/>
  <c r="D324" i="16"/>
  <c r="C343" i="9"/>
  <c r="C343" i="16"/>
  <c r="C335" i="9"/>
  <c r="C335" i="16"/>
  <c r="C327" i="9"/>
  <c r="C327" i="16"/>
  <c r="C319" i="9"/>
  <c r="C319" i="16"/>
  <c r="E346" i="9"/>
  <c r="H346" i="9" s="1"/>
  <c r="E338" i="9"/>
  <c r="H338" i="9" s="1"/>
  <c r="H338" i="16"/>
  <c r="E330" i="9"/>
  <c r="H330" i="9" s="1"/>
  <c r="H330" i="16"/>
  <c r="E322" i="9"/>
  <c r="H322" i="9" s="1"/>
  <c r="H322" i="16"/>
  <c r="F344" i="9"/>
  <c r="I344" i="9" s="1"/>
  <c r="F336" i="9"/>
  <c r="I336" i="9" s="1"/>
  <c r="K336" i="16"/>
  <c r="F328" i="9"/>
  <c r="I328" i="9" s="1"/>
  <c r="K328" i="16"/>
  <c r="F320" i="9"/>
  <c r="I320" i="9" s="1"/>
  <c r="K320" i="16"/>
  <c r="C337" i="9"/>
  <c r="C337" i="16"/>
  <c r="E324" i="9"/>
  <c r="H324" i="9" s="1"/>
  <c r="H324" i="16"/>
  <c r="F338" i="9"/>
  <c r="I338" i="9" s="1"/>
  <c r="K338" i="16"/>
  <c r="C336" i="9"/>
  <c r="C336" i="16"/>
  <c r="E347" i="9"/>
  <c r="E323" i="9"/>
  <c r="H323" i="9" s="1"/>
  <c r="H323" i="16"/>
  <c r="F337" i="9"/>
  <c r="I337" i="9" s="1"/>
  <c r="K337" i="16"/>
  <c r="F321" i="9"/>
  <c r="I321" i="9" s="1"/>
  <c r="K321" i="16"/>
  <c r="D347" i="9"/>
  <c r="D339" i="9"/>
  <c r="D339" i="16"/>
  <c r="D331" i="9"/>
  <c r="D331" i="16"/>
  <c r="D323" i="9"/>
  <c r="D323" i="16"/>
  <c r="C342" i="9"/>
  <c r="C342" i="16"/>
  <c r="C334" i="9"/>
  <c r="C334" i="16"/>
  <c r="C326" i="9"/>
  <c r="C326" i="16"/>
  <c r="C318" i="9"/>
  <c r="C318" i="16"/>
  <c r="E345" i="9"/>
  <c r="H345" i="9" s="1"/>
  <c r="E337" i="9"/>
  <c r="H337" i="9" s="1"/>
  <c r="H337" i="16"/>
  <c r="E329" i="9"/>
  <c r="H329" i="9" s="1"/>
  <c r="H329" i="16"/>
  <c r="E321" i="9"/>
  <c r="H321" i="9" s="1"/>
  <c r="H321" i="16"/>
  <c r="F343" i="9"/>
  <c r="I343" i="9" s="1"/>
  <c r="K343" i="16"/>
  <c r="F335" i="9"/>
  <c r="I335" i="9" s="1"/>
  <c r="K335" i="16"/>
  <c r="F327" i="9"/>
  <c r="I327" i="9" s="1"/>
  <c r="K327" i="16"/>
  <c r="F319" i="9"/>
  <c r="I319" i="9" s="1"/>
  <c r="K319" i="16"/>
  <c r="D342" i="9"/>
  <c r="D342" i="16"/>
  <c r="C329" i="9"/>
  <c r="C329" i="16"/>
  <c r="E332" i="9"/>
  <c r="H332" i="9" s="1"/>
  <c r="H332" i="16"/>
  <c r="D333" i="9"/>
  <c r="D333" i="16"/>
  <c r="C320" i="9"/>
  <c r="C320" i="16"/>
  <c r="D346" i="9"/>
  <c r="D322" i="9"/>
  <c r="D322" i="16"/>
  <c r="C333" i="9"/>
  <c r="C333" i="16"/>
  <c r="C317" i="9"/>
  <c r="C317" i="16"/>
  <c r="E336" i="9"/>
  <c r="H336" i="9" s="1"/>
  <c r="H336" i="16"/>
  <c r="E320" i="9"/>
  <c r="H320" i="9" s="1"/>
  <c r="H320" i="16"/>
  <c r="F342" i="9"/>
  <c r="I342" i="9" s="1"/>
  <c r="K342" i="16"/>
  <c r="F326" i="9"/>
  <c r="I326" i="9" s="1"/>
  <c r="K326" i="16"/>
  <c r="F318" i="9"/>
  <c r="I318" i="9" s="1"/>
  <c r="K318" i="16"/>
  <c r="C321" i="9"/>
  <c r="C321" i="16"/>
  <c r="F330" i="9"/>
  <c r="I330" i="9" s="1"/>
  <c r="K330" i="16"/>
  <c r="C344" i="9"/>
  <c r="D338" i="9"/>
  <c r="D338" i="16"/>
  <c r="C341" i="9"/>
  <c r="C341" i="16"/>
  <c r="E328" i="9"/>
  <c r="H328" i="9" s="1"/>
  <c r="H328" i="16"/>
  <c r="F334" i="9"/>
  <c r="I334" i="9" s="1"/>
  <c r="K334" i="16"/>
  <c r="D345" i="9"/>
  <c r="D337" i="9"/>
  <c r="D337" i="16"/>
  <c r="D329" i="9"/>
  <c r="D329" i="16"/>
  <c r="D321" i="9"/>
  <c r="D321" i="16"/>
  <c r="C348" i="9"/>
  <c r="C340" i="9"/>
  <c r="C340" i="16"/>
  <c r="C332" i="9"/>
  <c r="C332" i="16"/>
  <c r="C324" i="9"/>
  <c r="C324" i="16"/>
  <c r="E343" i="9"/>
  <c r="H343" i="9" s="1"/>
  <c r="H343" i="16"/>
  <c r="E335" i="9"/>
  <c r="H335" i="9" s="1"/>
  <c r="H335" i="16"/>
  <c r="E327" i="9"/>
  <c r="H327" i="9" s="1"/>
  <c r="H327" i="16"/>
  <c r="E319" i="9"/>
  <c r="H319" i="9" s="1"/>
  <c r="H319" i="16"/>
  <c r="F341" i="9"/>
  <c r="I341" i="9" s="1"/>
  <c r="K341" i="16"/>
  <c r="F333" i="9"/>
  <c r="I333" i="9" s="1"/>
  <c r="K333" i="16"/>
  <c r="F325" i="9"/>
  <c r="I325" i="9" s="1"/>
  <c r="K325" i="16"/>
  <c r="F317" i="9"/>
  <c r="I317" i="9" s="1"/>
  <c r="K317" i="16"/>
  <c r="D326" i="9"/>
  <c r="D326" i="16"/>
  <c r="D318" i="9"/>
  <c r="D318" i="16"/>
  <c r="E348" i="9"/>
  <c r="D341" i="9"/>
  <c r="D341" i="16"/>
  <c r="C328" i="9"/>
  <c r="C328" i="16"/>
  <c r="D330" i="9"/>
  <c r="D330" i="16"/>
  <c r="C325" i="9"/>
  <c r="C325" i="16"/>
  <c r="E344" i="9"/>
  <c r="H344" i="9" s="1"/>
  <c r="D344" i="9"/>
  <c r="D336" i="9"/>
  <c r="D336" i="16"/>
  <c r="D328" i="9"/>
  <c r="D328" i="16"/>
  <c r="D320" i="9"/>
  <c r="D320" i="16"/>
  <c r="C347" i="9"/>
  <c r="C339" i="9"/>
  <c r="C339" i="16"/>
  <c r="C331" i="9"/>
  <c r="C331" i="16"/>
  <c r="C323" i="9"/>
  <c r="C323" i="16"/>
  <c r="E342" i="9"/>
  <c r="H342" i="9" s="1"/>
  <c r="H342" i="16"/>
  <c r="E334" i="9"/>
  <c r="H334" i="9" s="1"/>
  <c r="H334" i="16"/>
  <c r="E326" i="9"/>
  <c r="H326" i="9" s="1"/>
  <c r="H326" i="16"/>
  <c r="E318" i="9"/>
  <c r="H318" i="9" s="1"/>
  <c r="H318" i="16"/>
  <c r="F348" i="9"/>
  <c r="F340" i="9"/>
  <c r="I340" i="9" s="1"/>
  <c r="K340" i="16"/>
  <c r="F332" i="9"/>
  <c r="I332" i="9" s="1"/>
  <c r="K332" i="16"/>
  <c r="F324" i="9"/>
  <c r="I324" i="9" s="1"/>
  <c r="K324" i="16"/>
  <c r="C345" i="9"/>
  <c r="E340" i="9"/>
  <c r="H340" i="9" s="1"/>
  <c r="H340" i="16"/>
  <c r="F346" i="9"/>
  <c r="I346" i="9" s="1"/>
  <c r="D343" i="9"/>
  <c r="D343" i="16"/>
  <c r="D335" i="9"/>
  <c r="D335" i="16"/>
  <c r="D327" i="9"/>
  <c r="D327" i="16"/>
  <c r="D319" i="9"/>
  <c r="D319" i="16"/>
  <c r="C346" i="9"/>
  <c r="C338" i="9"/>
  <c r="C338" i="16"/>
  <c r="C330" i="9"/>
  <c r="C330" i="16"/>
  <c r="C322" i="9"/>
  <c r="C322" i="16"/>
  <c r="E341" i="9"/>
  <c r="H341" i="9" s="1"/>
  <c r="H341" i="16"/>
  <c r="E333" i="9"/>
  <c r="H333" i="9" s="1"/>
  <c r="H333" i="16"/>
  <c r="E325" i="9"/>
  <c r="H325" i="9" s="1"/>
  <c r="H325" i="16"/>
  <c r="E317" i="9"/>
  <c r="H317" i="9" s="1"/>
  <c r="K317" i="9" s="1"/>
  <c r="H317" i="16"/>
  <c r="F347" i="9"/>
  <c r="F339" i="9"/>
  <c r="I339" i="9" s="1"/>
  <c r="K339" i="16"/>
  <c r="F331" i="9"/>
  <c r="I331" i="9" s="1"/>
  <c r="K331" i="16"/>
  <c r="F323" i="9"/>
  <c r="I323" i="9" s="1"/>
  <c r="K323" i="16"/>
  <c r="D313" i="9"/>
  <c r="D313" i="16"/>
  <c r="C308" i="9"/>
  <c r="C308" i="16"/>
  <c r="F309" i="9"/>
  <c r="I309" i="9" s="1"/>
  <c r="K309" i="16"/>
  <c r="C307" i="9"/>
  <c r="C307" i="16"/>
  <c r="E310" i="9"/>
  <c r="H310" i="9" s="1"/>
  <c r="K310" i="9" s="1"/>
  <c r="H310" i="16"/>
  <c r="D311" i="9"/>
  <c r="D311" i="16"/>
  <c r="D310" i="9"/>
  <c r="D310" i="16"/>
  <c r="C313" i="9"/>
  <c r="C313" i="16"/>
  <c r="E316" i="9"/>
  <c r="H316" i="9" s="1"/>
  <c r="H316" i="16"/>
  <c r="E308" i="9"/>
  <c r="H308" i="9" s="1"/>
  <c r="J308" i="9" s="1"/>
  <c r="H308" i="16"/>
  <c r="F314" i="9"/>
  <c r="I314" i="9" s="1"/>
  <c r="K314" i="16"/>
  <c r="F306" i="9"/>
  <c r="I306" i="9" s="1"/>
  <c r="K306" i="16"/>
  <c r="F312" i="9"/>
  <c r="I312" i="9" s="1"/>
  <c r="K312" i="16"/>
  <c r="D316" i="9"/>
  <c r="D316" i="16"/>
  <c r="D308" i="9"/>
  <c r="D308" i="16"/>
  <c r="C311" i="9"/>
  <c r="C311" i="16"/>
  <c r="E314" i="9"/>
  <c r="H314" i="9" s="1"/>
  <c r="H314" i="16"/>
  <c r="E306" i="9"/>
  <c r="H306" i="9" s="1"/>
  <c r="K306" i="9" s="1"/>
  <c r="H306" i="16"/>
  <c r="D315" i="9"/>
  <c r="D315" i="16"/>
  <c r="D307" i="9"/>
  <c r="D307" i="16"/>
  <c r="C310" i="9"/>
  <c r="C310" i="16"/>
  <c r="E313" i="9"/>
  <c r="H313" i="9" s="1"/>
  <c r="K313" i="9" s="1"/>
  <c r="H313" i="16"/>
  <c r="F311" i="9"/>
  <c r="I311" i="9" s="1"/>
  <c r="K311" i="16"/>
  <c r="D314" i="9"/>
  <c r="D314" i="16"/>
  <c r="D306" i="9"/>
  <c r="D306" i="16"/>
  <c r="C309" i="9"/>
  <c r="C309" i="16"/>
  <c r="E312" i="9"/>
  <c r="H312" i="9" s="1"/>
  <c r="K312" i="9" s="1"/>
  <c r="H312" i="16"/>
  <c r="F310" i="9"/>
  <c r="I310" i="9" s="1"/>
  <c r="K310" i="16"/>
  <c r="D309" i="9"/>
  <c r="D309" i="16"/>
  <c r="C312" i="9"/>
  <c r="C312" i="16"/>
  <c r="E315" i="9"/>
  <c r="H315" i="9" s="1"/>
  <c r="H315" i="16"/>
  <c r="F316" i="9"/>
  <c r="I316" i="9" s="1"/>
  <c r="K316" i="16"/>
  <c r="F308" i="9"/>
  <c r="I308" i="9" s="1"/>
  <c r="K308" i="16"/>
  <c r="E307" i="9"/>
  <c r="H307" i="9" s="1"/>
  <c r="K307" i="9" s="1"/>
  <c r="H307" i="16"/>
  <c r="F313" i="9"/>
  <c r="I313" i="9" s="1"/>
  <c r="K313" i="16"/>
  <c r="C316" i="9"/>
  <c r="C316" i="16"/>
  <c r="E311" i="9"/>
  <c r="H311" i="9" s="1"/>
  <c r="K311" i="9" s="1"/>
  <c r="H311" i="16"/>
  <c r="D312" i="9"/>
  <c r="D312" i="16"/>
  <c r="C315" i="9"/>
  <c r="C315" i="16"/>
  <c r="C314" i="9"/>
  <c r="C314" i="16"/>
  <c r="C306" i="9"/>
  <c r="C306" i="16"/>
  <c r="E309" i="9"/>
  <c r="H309" i="9" s="1"/>
  <c r="K309" i="9" s="1"/>
  <c r="H309" i="16"/>
  <c r="F315" i="9"/>
  <c r="I315" i="9" s="1"/>
  <c r="K315" i="16"/>
  <c r="F307" i="9"/>
  <c r="I307" i="9" s="1"/>
  <c r="K307" i="16"/>
  <c r="P339" i="3"/>
  <c r="L339" i="16" s="1"/>
  <c r="P331" i="3"/>
  <c r="L331" i="16" s="1"/>
  <c r="P323" i="3"/>
  <c r="L323" i="16" s="1"/>
  <c r="P315" i="3"/>
  <c r="L315" i="16" s="1"/>
  <c r="P307" i="3"/>
  <c r="L307" i="16" s="1"/>
  <c r="P338" i="3"/>
  <c r="L338" i="16" s="1"/>
  <c r="P330" i="3"/>
  <c r="L330" i="16" s="1"/>
  <c r="P322" i="3"/>
  <c r="L322" i="16" s="1"/>
  <c r="P314" i="3"/>
  <c r="L314" i="16" s="1"/>
  <c r="P306" i="3"/>
  <c r="L306" i="16" s="1"/>
  <c r="P337" i="3"/>
  <c r="L337" i="16" s="1"/>
  <c r="P329" i="3"/>
  <c r="L329" i="16" s="1"/>
  <c r="P321" i="3"/>
  <c r="L321" i="16" s="1"/>
  <c r="P313" i="3"/>
  <c r="L313" i="16" s="1"/>
  <c r="P336" i="3"/>
  <c r="L336" i="16" s="1"/>
  <c r="P328" i="3"/>
  <c r="L328" i="16" s="1"/>
  <c r="P320" i="3"/>
  <c r="L320" i="16" s="1"/>
  <c r="P312" i="3"/>
  <c r="L312" i="16" s="1"/>
  <c r="P343" i="3"/>
  <c r="L343" i="16" s="1"/>
  <c r="P335" i="3"/>
  <c r="L335" i="16" s="1"/>
  <c r="P327" i="3"/>
  <c r="L327" i="16" s="1"/>
  <c r="P319" i="3"/>
  <c r="L319" i="16" s="1"/>
  <c r="P311" i="3"/>
  <c r="L311" i="16" s="1"/>
  <c r="P342" i="3"/>
  <c r="L342" i="16" s="1"/>
  <c r="P334" i="3"/>
  <c r="L334" i="16" s="1"/>
  <c r="P326" i="3"/>
  <c r="L326" i="16" s="1"/>
  <c r="P318" i="3"/>
  <c r="L318" i="16" s="1"/>
  <c r="P310" i="3"/>
  <c r="L310" i="16" s="1"/>
  <c r="P341" i="3"/>
  <c r="L341" i="16" s="1"/>
  <c r="P333" i="3"/>
  <c r="L333" i="16" s="1"/>
  <c r="P325" i="3"/>
  <c r="L325" i="16" s="1"/>
  <c r="P317" i="3"/>
  <c r="L317" i="16" s="1"/>
  <c r="P309" i="3"/>
  <c r="L309" i="16" s="1"/>
  <c r="P340" i="3"/>
  <c r="L340" i="16" s="1"/>
  <c r="P332" i="3"/>
  <c r="L332" i="16" s="1"/>
  <c r="P324" i="3"/>
  <c r="L324" i="16" s="1"/>
  <c r="P316" i="3"/>
  <c r="L316" i="16" s="1"/>
  <c r="P308" i="3"/>
  <c r="L308" i="16" s="1"/>
  <c r="K346" i="9" l="1"/>
  <c r="J346" i="9"/>
  <c r="K345" i="9"/>
  <c r="J345" i="9"/>
  <c r="K344" i="9"/>
  <c r="J344" i="9"/>
  <c r="K340" i="9"/>
  <c r="J340" i="9"/>
  <c r="K339" i="9"/>
  <c r="J339" i="9"/>
  <c r="J341" i="9"/>
  <c r="K341" i="9"/>
  <c r="K343" i="9"/>
  <c r="J343" i="9"/>
  <c r="K342" i="9"/>
  <c r="J342" i="9"/>
  <c r="K338" i="9"/>
  <c r="J338" i="9"/>
  <c r="K325" i="9"/>
  <c r="J325" i="9"/>
  <c r="K326" i="9"/>
  <c r="J326" i="9"/>
  <c r="J337" i="9"/>
  <c r="K337" i="9"/>
  <c r="K336" i="9"/>
  <c r="J336" i="9"/>
  <c r="J327" i="9"/>
  <c r="K327" i="9"/>
  <c r="K335" i="9"/>
  <c r="J335" i="9"/>
  <c r="K334" i="9"/>
  <c r="J334" i="9"/>
  <c r="K333" i="9"/>
  <c r="J333" i="9"/>
  <c r="K332" i="9"/>
  <c r="J332" i="9"/>
  <c r="J331" i="9"/>
  <c r="K331" i="9"/>
  <c r="J330" i="9"/>
  <c r="K330" i="9"/>
  <c r="J329" i="9"/>
  <c r="K329" i="9"/>
  <c r="J328" i="9"/>
  <c r="K328" i="9"/>
  <c r="K324" i="9"/>
  <c r="J324" i="9"/>
  <c r="J323" i="9"/>
  <c r="K323" i="9"/>
  <c r="K322" i="9"/>
  <c r="J322" i="9"/>
  <c r="K320" i="9"/>
  <c r="J320" i="9"/>
  <c r="K319" i="9"/>
  <c r="J319" i="9"/>
  <c r="K321" i="9"/>
  <c r="J321" i="9"/>
  <c r="K318" i="9"/>
  <c r="J318" i="9"/>
  <c r="J317" i="9"/>
  <c r="K308" i="9"/>
  <c r="J313" i="9"/>
  <c r="K314" i="9"/>
  <c r="J314" i="9"/>
  <c r="K316" i="9"/>
  <c r="J316" i="9"/>
  <c r="K315" i="9"/>
  <c r="J315" i="9"/>
  <c r="J306" i="9"/>
  <c r="J307" i="9"/>
  <c r="J309" i="9"/>
  <c r="J312" i="9"/>
  <c r="J311" i="9"/>
  <c r="J310" i="9"/>
  <c r="G222" i="16"/>
  <c r="G224" i="16"/>
  <c r="G240" i="16"/>
  <c r="G242" i="16"/>
  <c r="G281" i="16"/>
  <c r="G287" i="16"/>
  <c r="E131" i="38" l="1"/>
  <c r="E132" i="38"/>
  <c r="E133" i="38"/>
  <c r="E134" i="38"/>
  <c r="E135" i="38"/>
  <c r="E136" i="38"/>
  <c r="E137" i="38"/>
  <c r="E138" i="38"/>
  <c r="E139" i="38"/>
  <c r="E140" i="38"/>
  <c r="D134" i="38"/>
  <c r="D135" i="38"/>
  <c r="D136" i="38"/>
  <c r="D137" i="38"/>
  <c r="D138" i="38"/>
  <c r="D139" i="38"/>
  <c r="D140" i="38"/>
  <c r="C131" i="38"/>
  <c r="C132" i="38"/>
  <c r="C133" i="38"/>
  <c r="C134" i="38"/>
  <c r="C135" i="38"/>
  <c r="C136" i="38"/>
  <c r="C137" i="38"/>
  <c r="C138" i="38"/>
  <c r="C139" i="38"/>
  <c r="C140" i="38"/>
  <c r="C130" i="38"/>
  <c r="F137" i="38" l="1"/>
  <c r="F140" i="38"/>
  <c r="F139" i="38"/>
  <c r="F138" i="38"/>
  <c r="F136" i="38"/>
  <c r="F135" i="38"/>
  <c r="F134" i="38"/>
  <c r="H344" i="17" l="1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E114" i="11" l="1"/>
  <c r="E113" i="11"/>
  <c r="E111" i="11"/>
  <c r="E109" i="11"/>
  <c r="J53" i="41" l="1"/>
  <c r="L271" i="3" l="1"/>
  <c r="L271" i="9" s="1"/>
  <c r="C122" i="38" l="1"/>
  <c r="C123" i="38"/>
  <c r="C124" i="38"/>
  <c r="C125" i="38"/>
  <c r="C126" i="38"/>
  <c r="C127" i="38"/>
  <c r="C128" i="38"/>
  <c r="C129" i="38"/>
  <c r="E126" i="38"/>
  <c r="E127" i="38"/>
  <c r="E128" i="38"/>
  <c r="E129" i="38"/>
  <c r="E130" i="38"/>
  <c r="J11" i="39" l="1"/>
  <c r="J10" i="39"/>
  <c r="J9" i="39"/>
  <c r="N8" i="39"/>
  <c r="J8" i="39"/>
  <c r="N7" i="39"/>
  <c r="J7" i="39"/>
  <c r="J152" i="20"/>
  <c r="I152" i="20"/>
  <c r="G152" i="20"/>
  <c r="F152" i="20"/>
  <c r="E152" i="20"/>
  <c r="B152" i="20"/>
  <c r="J151" i="20"/>
  <c r="I151" i="20"/>
  <c r="G151" i="20"/>
  <c r="F151" i="20"/>
  <c r="E151" i="20"/>
  <c r="B151" i="20"/>
  <c r="J150" i="20"/>
  <c r="I150" i="20"/>
  <c r="G150" i="20"/>
  <c r="F150" i="20"/>
  <c r="E150" i="20"/>
  <c r="B150" i="20"/>
  <c r="J149" i="20"/>
  <c r="I149" i="20"/>
  <c r="G149" i="20"/>
  <c r="F149" i="20"/>
  <c r="E149" i="20"/>
  <c r="B149" i="20"/>
  <c r="J148" i="20"/>
  <c r="I148" i="20"/>
  <c r="G148" i="20"/>
  <c r="F148" i="20"/>
  <c r="E148" i="20"/>
  <c r="B148" i="20"/>
  <c r="J147" i="20"/>
  <c r="I147" i="20"/>
  <c r="G147" i="20"/>
  <c r="F147" i="20"/>
  <c r="E147" i="20"/>
  <c r="B147" i="20"/>
  <c r="J146" i="20"/>
  <c r="I146" i="20"/>
  <c r="G146" i="20"/>
  <c r="F146" i="20"/>
  <c r="E146" i="20"/>
  <c r="B146" i="20"/>
  <c r="J145" i="20"/>
  <c r="I145" i="20"/>
  <c r="G145" i="20"/>
  <c r="F145" i="20"/>
  <c r="E145" i="20"/>
  <c r="B145" i="20"/>
  <c r="J144" i="20"/>
  <c r="I144" i="20"/>
  <c r="G144" i="20"/>
  <c r="F144" i="20"/>
  <c r="E144" i="20"/>
  <c r="B144" i="20"/>
  <c r="J143" i="20"/>
  <c r="I143" i="20"/>
  <c r="G143" i="20"/>
  <c r="F143" i="20"/>
  <c r="E143" i="20"/>
  <c r="B143" i="20"/>
  <c r="J142" i="20"/>
  <c r="I142" i="20"/>
  <c r="G142" i="20"/>
  <c r="F142" i="20"/>
  <c r="E142" i="20"/>
  <c r="B142" i="20"/>
  <c r="J141" i="20"/>
  <c r="I141" i="20"/>
  <c r="G141" i="20"/>
  <c r="F141" i="20"/>
  <c r="E141" i="20"/>
  <c r="B141" i="20"/>
  <c r="J140" i="20"/>
  <c r="I140" i="20"/>
  <c r="G140" i="20"/>
  <c r="F140" i="20"/>
  <c r="E140" i="20"/>
  <c r="B140" i="20"/>
  <c r="J139" i="20"/>
  <c r="I139" i="20"/>
  <c r="G139" i="20"/>
  <c r="F139" i="20"/>
  <c r="E139" i="20"/>
  <c r="B139" i="20"/>
  <c r="J138" i="20"/>
  <c r="I138" i="20"/>
  <c r="G138" i="20"/>
  <c r="F138" i="20"/>
  <c r="E138" i="20"/>
  <c r="B138" i="20"/>
  <c r="J137" i="20"/>
  <c r="I137" i="20"/>
  <c r="G137" i="20"/>
  <c r="F137" i="20"/>
  <c r="E137" i="20"/>
  <c r="B137" i="20"/>
  <c r="J136" i="20"/>
  <c r="I136" i="20"/>
  <c r="G136" i="20"/>
  <c r="F136" i="20"/>
  <c r="E136" i="20"/>
  <c r="B136" i="20"/>
  <c r="J135" i="20"/>
  <c r="I135" i="20"/>
  <c r="G135" i="20"/>
  <c r="F135" i="20"/>
  <c r="E135" i="20"/>
  <c r="B135" i="20"/>
  <c r="J134" i="20"/>
  <c r="I134" i="20"/>
  <c r="G134" i="20"/>
  <c r="F134" i="20"/>
  <c r="E134" i="20"/>
  <c r="B134" i="20"/>
  <c r="J133" i="20"/>
  <c r="I133" i="20"/>
  <c r="G133" i="20"/>
  <c r="F133" i="20"/>
  <c r="E133" i="20"/>
  <c r="B133" i="20"/>
  <c r="J132" i="20"/>
  <c r="I132" i="20"/>
  <c r="G132" i="20"/>
  <c r="F132" i="20"/>
  <c r="E132" i="20"/>
  <c r="B132" i="20"/>
  <c r="J131" i="20"/>
  <c r="I131" i="20"/>
  <c r="G131" i="20"/>
  <c r="F131" i="20"/>
  <c r="E131" i="20"/>
  <c r="B131" i="20"/>
  <c r="J130" i="20"/>
  <c r="I130" i="20"/>
  <c r="G130" i="20"/>
  <c r="F130" i="20"/>
  <c r="E130" i="20"/>
  <c r="B130" i="20"/>
  <c r="J129" i="20"/>
  <c r="I129" i="20"/>
  <c r="G129" i="20"/>
  <c r="F129" i="20"/>
  <c r="E129" i="20"/>
  <c r="B129" i="20"/>
  <c r="J128" i="20"/>
  <c r="I128" i="20"/>
  <c r="G128" i="20"/>
  <c r="F128" i="20"/>
  <c r="E128" i="20"/>
  <c r="B128" i="20"/>
  <c r="J127" i="20"/>
  <c r="I127" i="20"/>
  <c r="G127" i="20"/>
  <c r="F127" i="20"/>
  <c r="E127" i="20"/>
  <c r="B127" i="20"/>
  <c r="J126" i="20"/>
  <c r="I126" i="20"/>
  <c r="G126" i="20"/>
  <c r="F126" i="20"/>
  <c r="E126" i="20"/>
  <c r="B126" i="20"/>
  <c r="J125" i="20"/>
  <c r="I125" i="20"/>
  <c r="G125" i="20"/>
  <c r="F125" i="20"/>
  <c r="E125" i="20"/>
  <c r="B125" i="20"/>
  <c r="J124" i="20"/>
  <c r="I124" i="20"/>
  <c r="G124" i="20"/>
  <c r="F124" i="20"/>
  <c r="E124" i="20"/>
  <c r="B124" i="20"/>
  <c r="J123" i="20"/>
  <c r="I123" i="20"/>
  <c r="G123" i="20"/>
  <c r="F123" i="20"/>
  <c r="E123" i="20"/>
  <c r="B123" i="20"/>
  <c r="J122" i="20"/>
  <c r="I122" i="20"/>
  <c r="G122" i="20"/>
  <c r="F122" i="20"/>
  <c r="E122" i="20"/>
  <c r="B122" i="20"/>
  <c r="J121" i="20"/>
  <c r="I121" i="20"/>
  <c r="G121" i="20"/>
  <c r="F121" i="20"/>
  <c r="E121" i="20"/>
  <c r="B121" i="20"/>
  <c r="J120" i="20"/>
  <c r="I120" i="20"/>
  <c r="G120" i="20"/>
  <c r="F120" i="20"/>
  <c r="E120" i="20"/>
  <c r="B120" i="20"/>
  <c r="J119" i="20"/>
  <c r="I119" i="20"/>
  <c r="G119" i="20"/>
  <c r="F119" i="20"/>
  <c r="E119" i="20"/>
  <c r="B119" i="20"/>
  <c r="J118" i="20"/>
  <c r="I118" i="20"/>
  <c r="G118" i="20"/>
  <c r="F118" i="20"/>
  <c r="E118" i="20"/>
  <c r="B118" i="20"/>
  <c r="J117" i="20"/>
  <c r="I117" i="20"/>
  <c r="G117" i="20"/>
  <c r="F117" i="20"/>
  <c r="E117" i="20"/>
  <c r="B117" i="20"/>
  <c r="J116" i="20"/>
  <c r="I116" i="20"/>
  <c r="G116" i="20"/>
  <c r="F116" i="20"/>
  <c r="E116" i="20"/>
  <c r="B116" i="20"/>
  <c r="J115" i="20"/>
  <c r="I115" i="20"/>
  <c r="G115" i="20"/>
  <c r="F115" i="20"/>
  <c r="E115" i="20"/>
  <c r="B115" i="20"/>
  <c r="J114" i="20"/>
  <c r="I114" i="20"/>
  <c r="G114" i="20"/>
  <c r="F114" i="20"/>
  <c r="E114" i="20"/>
  <c r="B114" i="20"/>
  <c r="J113" i="20"/>
  <c r="I113" i="20"/>
  <c r="G113" i="20"/>
  <c r="F113" i="20"/>
  <c r="E113" i="20"/>
  <c r="B113" i="20"/>
  <c r="J112" i="20"/>
  <c r="I112" i="20"/>
  <c r="G112" i="20"/>
  <c r="F112" i="20"/>
  <c r="E112" i="20"/>
  <c r="B112" i="20"/>
  <c r="J111" i="20"/>
  <c r="I111" i="20"/>
  <c r="G111" i="20"/>
  <c r="F111" i="20"/>
  <c r="E111" i="20"/>
  <c r="B111" i="20"/>
  <c r="J110" i="20"/>
  <c r="I110" i="20"/>
  <c r="G110" i="20"/>
  <c r="F110" i="20"/>
  <c r="E110" i="20"/>
  <c r="B110" i="20"/>
  <c r="J109" i="20"/>
  <c r="I109" i="20"/>
  <c r="G109" i="20"/>
  <c r="F109" i="20"/>
  <c r="E109" i="20"/>
  <c r="B109" i="20"/>
  <c r="J108" i="20"/>
  <c r="I108" i="20"/>
  <c r="G108" i="20"/>
  <c r="F108" i="20"/>
  <c r="E108" i="20"/>
  <c r="B108" i="20"/>
  <c r="J107" i="20"/>
  <c r="I107" i="20"/>
  <c r="G107" i="20"/>
  <c r="F107" i="20"/>
  <c r="E107" i="20"/>
  <c r="B107" i="20"/>
  <c r="J106" i="20"/>
  <c r="I106" i="20"/>
  <c r="G106" i="20"/>
  <c r="F106" i="20"/>
  <c r="E106" i="20"/>
  <c r="B106" i="20"/>
  <c r="J105" i="20"/>
  <c r="I105" i="20"/>
  <c r="G105" i="20"/>
  <c r="F105" i="20"/>
  <c r="E105" i="20"/>
  <c r="B105" i="20"/>
  <c r="J104" i="20"/>
  <c r="I104" i="20"/>
  <c r="G104" i="20"/>
  <c r="F104" i="20"/>
  <c r="E104" i="20"/>
  <c r="B104" i="20"/>
  <c r="J103" i="20"/>
  <c r="I103" i="20"/>
  <c r="G103" i="20"/>
  <c r="F103" i="20"/>
  <c r="E103" i="20"/>
  <c r="B103" i="20"/>
  <c r="J102" i="20"/>
  <c r="I102" i="20"/>
  <c r="G102" i="20"/>
  <c r="F102" i="20"/>
  <c r="E102" i="20"/>
  <c r="B102" i="20"/>
  <c r="J101" i="20"/>
  <c r="I101" i="20"/>
  <c r="G101" i="20"/>
  <c r="F101" i="20"/>
  <c r="E101" i="20"/>
  <c r="B101" i="20"/>
  <c r="J100" i="20"/>
  <c r="I100" i="20"/>
  <c r="G100" i="20"/>
  <c r="F100" i="20"/>
  <c r="E100" i="20"/>
  <c r="B100" i="20"/>
  <c r="J99" i="20"/>
  <c r="I99" i="20"/>
  <c r="G99" i="20"/>
  <c r="F99" i="20"/>
  <c r="E99" i="20"/>
  <c r="B99" i="20"/>
  <c r="J98" i="20"/>
  <c r="I98" i="20"/>
  <c r="G98" i="20"/>
  <c r="F98" i="20"/>
  <c r="E98" i="20"/>
  <c r="B98" i="20"/>
  <c r="J97" i="20"/>
  <c r="I97" i="20"/>
  <c r="G97" i="20"/>
  <c r="F97" i="20"/>
  <c r="E97" i="20"/>
  <c r="B97" i="20"/>
  <c r="J96" i="20"/>
  <c r="I96" i="20"/>
  <c r="G96" i="20"/>
  <c r="F96" i="20"/>
  <c r="E96" i="20"/>
  <c r="B96" i="20"/>
  <c r="J95" i="20"/>
  <c r="I95" i="20"/>
  <c r="G95" i="20"/>
  <c r="F95" i="20"/>
  <c r="E95" i="20"/>
  <c r="B95" i="20"/>
  <c r="J94" i="20"/>
  <c r="I94" i="20"/>
  <c r="G94" i="20"/>
  <c r="F94" i="20"/>
  <c r="E94" i="20"/>
  <c r="B94" i="20"/>
  <c r="J93" i="20"/>
  <c r="I93" i="20"/>
  <c r="G93" i="20"/>
  <c r="F93" i="20"/>
  <c r="E93" i="20"/>
  <c r="B93" i="20"/>
  <c r="J92" i="20"/>
  <c r="I92" i="20"/>
  <c r="G92" i="20"/>
  <c r="F92" i="20"/>
  <c r="E92" i="20"/>
  <c r="B92" i="20"/>
  <c r="J91" i="20"/>
  <c r="I91" i="20"/>
  <c r="G91" i="20"/>
  <c r="F91" i="20"/>
  <c r="E91" i="20"/>
  <c r="B91" i="20"/>
  <c r="J90" i="20"/>
  <c r="I90" i="20"/>
  <c r="G90" i="20"/>
  <c r="F90" i="20"/>
  <c r="E90" i="20"/>
  <c r="B90" i="20"/>
  <c r="J89" i="20"/>
  <c r="I89" i="20"/>
  <c r="G89" i="20"/>
  <c r="F89" i="20"/>
  <c r="E89" i="20"/>
  <c r="B89" i="20"/>
  <c r="J88" i="20"/>
  <c r="I88" i="20"/>
  <c r="G88" i="20"/>
  <c r="F88" i="20"/>
  <c r="E88" i="20"/>
  <c r="B88" i="20"/>
  <c r="J87" i="20"/>
  <c r="I87" i="20"/>
  <c r="G87" i="20"/>
  <c r="F87" i="20"/>
  <c r="E87" i="20"/>
  <c r="B87" i="20"/>
  <c r="J86" i="20"/>
  <c r="I86" i="20"/>
  <c r="G86" i="20"/>
  <c r="F86" i="20"/>
  <c r="E86" i="20"/>
  <c r="B86" i="20"/>
  <c r="I85" i="20"/>
  <c r="G85" i="20"/>
  <c r="F85" i="20"/>
  <c r="E85" i="20"/>
  <c r="B85" i="20"/>
  <c r="I84" i="20"/>
  <c r="G84" i="20"/>
  <c r="F84" i="20"/>
  <c r="E84" i="20"/>
  <c r="B84" i="20"/>
  <c r="J83" i="20"/>
  <c r="I83" i="20"/>
  <c r="G83" i="20"/>
  <c r="F83" i="20"/>
  <c r="E83" i="20"/>
  <c r="B83" i="20"/>
  <c r="J82" i="20"/>
  <c r="I82" i="20"/>
  <c r="G82" i="20"/>
  <c r="F82" i="20"/>
  <c r="E82" i="20"/>
  <c r="B82" i="20"/>
  <c r="J81" i="20"/>
  <c r="I81" i="20"/>
  <c r="G81" i="20"/>
  <c r="F81" i="20"/>
  <c r="E81" i="20"/>
  <c r="B81" i="20"/>
  <c r="J80" i="20"/>
  <c r="I80" i="20"/>
  <c r="G80" i="20"/>
  <c r="F80" i="20"/>
  <c r="E80" i="20"/>
  <c r="B80" i="20"/>
  <c r="J79" i="20"/>
  <c r="I79" i="20"/>
  <c r="G79" i="20"/>
  <c r="F79" i="20"/>
  <c r="E79" i="20"/>
  <c r="B79" i="20"/>
  <c r="J78" i="20"/>
  <c r="I78" i="20"/>
  <c r="G78" i="20"/>
  <c r="F78" i="20"/>
  <c r="E78" i="20"/>
  <c r="B78" i="20"/>
  <c r="J77" i="20"/>
  <c r="I77" i="20"/>
  <c r="G77" i="20"/>
  <c r="F77" i="20"/>
  <c r="E77" i="20"/>
  <c r="B77" i="20"/>
  <c r="J76" i="20"/>
  <c r="I76" i="20"/>
  <c r="G76" i="20"/>
  <c r="F76" i="20"/>
  <c r="E76" i="20"/>
  <c r="B76" i="20"/>
  <c r="J75" i="20"/>
  <c r="I75" i="20"/>
  <c r="G75" i="20"/>
  <c r="F75" i="20"/>
  <c r="E75" i="20"/>
  <c r="B75" i="20"/>
  <c r="J74" i="20"/>
  <c r="I74" i="20"/>
  <c r="G74" i="20"/>
  <c r="F74" i="20"/>
  <c r="E74" i="20"/>
  <c r="B74" i="20"/>
  <c r="J73" i="20"/>
  <c r="I73" i="20"/>
  <c r="G73" i="20"/>
  <c r="F73" i="20"/>
  <c r="E73" i="20"/>
  <c r="B73" i="20"/>
  <c r="J72" i="20"/>
  <c r="I72" i="20"/>
  <c r="G72" i="20"/>
  <c r="F72" i="20"/>
  <c r="E72" i="20"/>
  <c r="B72" i="20"/>
  <c r="J71" i="20"/>
  <c r="I71" i="20"/>
  <c r="G71" i="20"/>
  <c r="F71" i="20"/>
  <c r="E71" i="20"/>
  <c r="B71" i="20"/>
  <c r="J70" i="20"/>
  <c r="I70" i="20"/>
  <c r="G70" i="20"/>
  <c r="F70" i="20"/>
  <c r="E70" i="20"/>
  <c r="B70" i="20"/>
  <c r="J69" i="20"/>
  <c r="I69" i="20"/>
  <c r="G69" i="20"/>
  <c r="F69" i="20"/>
  <c r="E69" i="20"/>
  <c r="B69" i="20"/>
  <c r="J68" i="20"/>
  <c r="I68" i="20"/>
  <c r="G68" i="20"/>
  <c r="F68" i="20"/>
  <c r="E68" i="20"/>
  <c r="B68" i="20"/>
  <c r="J67" i="20"/>
  <c r="I67" i="20"/>
  <c r="G67" i="20"/>
  <c r="F67" i="20"/>
  <c r="E67" i="20"/>
  <c r="B67" i="20"/>
  <c r="J66" i="20"/>
  <c r="I66" i="20"/>
  <c r="G66" i="20"/>
  <c r="F66" i="20"/>
  <c r="E66" i="20"/>
  <c r="B66" i="20"/>
  <c r="J65" i="20"/>
  <c r="I65" i="20"/>
  <c r="G65" i="20"/>
  <c r="F65" i="20"/>
  <c r="E65" i="20"/>
  <c r="B65" i="20"/>
  <c r="J64" i="20"/>
  <c r="I64" i="20"/>
  <c r="G64" i="20"/>
  <c r="F64" i="20"/>
  <c r="E64" i="20"/>
  <c r="B64" i="20"/>
  <c r="J63" i="20"/>
  <c r="I63" i="20"/>
  <c r="G63" i="20"/>
  <c r="F63" i="20"/>
  <c r="E63" i="20"/>
  <c r="B63" i="20"/>
  <c r="J62" i="20"/>
  <c r="I62" i="20"/>
  <c r="G62" i="20"/>
  <c r="F62" i="20"/>
  <c r="E62" i="20"/>
  <c r="B62" i="20"/>
  <c r="J61" i="20"/>
  <c r="I61" i="20"/>
  <c r="G61" i="20"/>
  <c r="F61" i="20"/>
  <c r="E61" i="20"/>
  <c r="B61" i="20"/>
  <c r="J60" i="20"/>
  <c r="I60" i="20"/>
  <c r="G60" i="20"/>
  <c r="F60" i="20"/>
  <c r="E60" i="20"/>
  <c r="B60" i="20"/>
  <c r="J59" i="20"/>
  <c r="I59" i="20"/>
  <c r="G59" i="20"/>
  <c r="F59" i="20"/>
  <c r="E59" i="20"/>
  <c r="B59" i="20"/>
  <c r="J58" i="20"/>
  <c r="I58" i="20"/>
  <c r="G58" i="20"/>
  <c r="F58" i="20"/>
  <c r="E58" i="20"/>
  <c r="B58" i="20"/>
  <c r="J57" i="20"/>
  <c r="I57" i="20"/>
  <c r="G57" i="20"/>
  <c r="F57" i="20"/>
  <c r="E57" i="20"/>
  <c r="B57" i="20"/>
  <c r="J56" i="20"/>
  <c r="I56" i="20"/>
  <c r="G56" i="20"/>
  <c r="F56" i="20"/>
  <c r="E56" i="20"/>
  <c r="B56" i="20"/>
  <c r="J55" i="20"/>
  <c r="I55" i="20"/>
  <c r="G55" i="20"/>
  <c r="F55" i="20"/>
  <c r="E55" i="20"/>
  <c r="B55" i="20"/>
  <c r="J54" i="20"/>
  <c r="I54" i="20"/>
  <c r="G54" i="20"/>
  <c r="F54" i="20"/>
  <c r="E54" i="20"/>
  <c r="B54" i="20"/>
  <c r="J53" i="20"/>
  <c r="I53" i="20"/>
  <c r="G53" i="20"/>
  <c r="F53" i="20"/>
  <c r="E53" i="20"/>
  <c r="B53" i="20"/>
  <c r="J52" i="20"/>
  <c r="I52" i="20"/>
  <c r="G52" i="20"/>
  <c r="F52" i="20"/>
  <c r="E52" i="20"/>
  <c r="B52" i="20"/>
  <c r="J51" i="20"/>
  <c r="I51" i="20"/>
  <c r="G51" i="20"/>
  <c r="F51" i="20"/>
  <c r="E51" i="20"/>
  <c r="B51" i="20"/>
  <c r="J50" i="20"/>
  <c r="I50" i="20"/>
  <c r="G50" i="20"/>
  <c r="F50" i="20"/>
  <c r="E50" i="20"/>
  <c r="B50" i="20"/>
  <c r="J49" i="20"/>
  <c r="I49" i="20"/>
  <c r="G49" i="20"/>
  <c r="F49" i="20"/>
  <c r="E49" i="20"/>
  <c r="B49" i="20"/>
  <c r="J48" i="20"/>
  <c r="I48" i="20"/>
  <c r="G48" i="20"/>
  <c r="F48" i="20"/>
  <c r="E48" i="20"/>
  <c r="B48" i="20"/>
  <c r="J47" i="20"/>
  <c r="I47" i="20"/>
  <c r="G47" i="20"/>
  <c r="F47" i="20"/>
  <c r="E47" i="20"/>
  <c r="B47" i="20"/>
  <c r="J46" i="20"/>
  <c r="I46" i="20"/>
  <c r="G46" i="20"/>
  <c r="F46" i="20"/>
  <c r="E46" i="20"/>
  <c r="B46" i="20"/>
  <c r="J45" i="20"/>
  <c r="I45" i="20"/>
  <c r="G45" i="20"/>
  <c r="F45" i="20"/>
  <c r="E45" i="20"/>
  <c r="B45" i="20"/>
  <c r="J44" i="20"/>
  <c r="I44" i="20"/>
  <c r="G44" i="20"/>
  <c r="F44" i="20"/>
  <c r="E44" i="20"/>
  <c r="B44" i="20"/>
  <c r="J43" i="20"/>
  <c r="I43" i="20"/>
  <c r="G43" i="20"/>
  <c r="F43" i="20"/>
  <c r="E43" i="20"/>
  <c r="B43" i="20"/>
  <c r="J42" i="20"/>
  <c r="I42" i="20"/>
  <c r="G42" i="20"/>
  <c r="F42" i="20"/>
  <c r="E42" i="20"/>
  <c r="B42" i="20"/>
  <c r="J41" i="20"/>
  <c r="I41" i="20"/>
  <c r="G41" i="20"/>
  <c r="F41" i="20"/>
  <c r="E41" i="20"/>
  <c r="B41" i="20"/>
  <c r="J40" i="20"/>
  <c r="I40" i="20"/>
  <c r="G40" i="20"/>
  <c r="F40" i="20"/>
  <c r="E40" i="20"/>
  <c r="B40" i="20"/>
  <c r="J39" i="20"/>
  <c r="I39" i="20"/>
  <c r="G39" i="20"/>
  <c r="F39" i="20"/>
  <c r="E39" i="20"/>
  <c r="B39" i="20"/>
  <c r="J38" i="20"/>
  <c r="I38" i="20"/>
  <c r="G38" i="20"/>
  <c r="F38" i="20"/>
  <c r="E38" i="20"/>
  <c r="B38" i="20"/>
  <c r="J37" i="20"/>
  <c r="I37" i="20"/>
  <c r="G37" i="20"/>
  <c r="F37" i="20"/>
  <c r="E37" i="20"/>
  <c r="B37" i="20"/>
  <c r="J36" i="20"/>
  <c r="I36" i="20"/>
  <c r="G36" i="20"/>
  <c r="F36" i="20"/>
  <c r="E36" i="20"/>
  <c r="B36" i="20"/>
  <c r="J35" i="20"/>
  <c r="I35" i="20"/>
  <c r="G35" i="20"/>
  <c r="F35" i="20"/>
  <c r="E35" i="20"/>
  <c r="B35" i="20"/>
  <c r="J34" i="20"/>
  <c r="I34" i="20"/>
  <c r="G34" i="20"/>
  <c r="F34" i="20"/>
  <c r="E34" i="20"/>
  <c r="B34" i="20"/>
  <c r="J33" i="20"/>
  <c r="I33" i="20"/>
  <c r="G33" i="20"/>
  <c r="F33" i="20"/>
  <c r="E33" i="20"/>
  <c r="B33" i="20"/>
  <c r="J32" i="20"/>
  <c r="I32" i="20"/>
  <c r="G32" i="20"/>
  <c r="F32" i="20"/>
  <c r="E32" i="20"/>
  <c r="B32" i="20"/>
  <c r="J31" i="20"/>
  <c r="I31" i="20"/>
  <c r="G31" i="20"/>
  <c r="F31" i="20"/>
  <c r="E31" i="20"/>
  <c r="B31" i="20"/>
  <c r="J30" i="20"/>
  <c r="I30" i="20"/>
  <c r="G30" i="20"/>
  <c r="F30" i="20"/>
  <c r="E30" i="20"/>
  <c r="B30" i="20"/>
  <c r="J29" i="20"/>
  <c r="I29" i="20"/>
  <c r="G29" i="20"/>
  <c r="F29" i="20"/>
  <c r="E29" i="20"/>
  <c r="B29" i="20"/>
  <c r="J28" i="20"/>
  <c r="I28" i="20"/>
  <c r="G28" i="20"/>
  <c r="F28" i="20"/>
  <c r="E28" i="20"/>
  <c r="B28" i="20"/>
  <c r="J27" i="20"/>
  <c r="I27" i="20"/>
  <c r="G27" i="20"/>
  <c r="F27" i="20"/>
  <c r="E27" i="20"/>
  <c r="B27" i="20"/>
  <c r="J26" i="20"/>
  <c r="I26" i="20"/>
  <c r="G26" i="20"/>
  <c r="F26" i="20"/>
  <c r="E26" i="20"/>
  <c r="B26" i="20"/>
  <c r="J25" i="20"/>
  <c r="I25" i="20"/>
  <c r="G25" i="20"/>
  <c r="F25" i="20"/>
  <c r="E25" i="20"/>
  <c r="B25" i="20"/>
  <c r="J24" i="20"/>
  <c r="I24" i="20"/>
  <c r="G24" i="20"/>
  <c r="F24" i="20"/>
  <c r="E24" i="20"/>
  <c r="B24" i="20"/>
  <c r="J23" i="20"/>
  <c r="I23" i="20"/>
  <c r="G23" i="20"/>
  <c r="F23" i="20"/>
  <c r="E23" i="20"/>
  <c r="B23" i="20"/>
  <c r="J22" i="20"/>
  <c r="I22" i="20"/>
  <c r="G22" i="20"/>
  <c r="F22" i="20"/>
  <c r="E22" i="20"/>
  <c r="B22" i="20"/>
  <c r="J21" i="20"/>
  <c r="I21" i="20"/>
  <c r="G21" i="20"/>
  <c r="F21" i="20"/>
  <c r="E21" i="20"/>
  <c r="B21" i="20"/>
  <c r="J20" i="20"/>
  <c r="I20" i="20"/>
  <c r="G20" i="20"/>
  <c r="F20" i="20"/>
  <c r="E20" i="20"/>
  <c r="B20" i="20"/>
  <c r="J19" i="20"/>
  <c r="I19" i="20"/>
  <c r="G19" i="20"/>
  <c r="F19" i="20"/>
  <c r="E19" i="20"/>
  <c r="B19" i="20"/>
  <c r="J18" i="20"/>
  <c r="I18" i="20"/>
  <c r="G18" i="20"/>
  <c r="F18" i="20"/>
  <c r="E18" i="20"/>
  <c r="B18" i="20"/>
  <c r="J17" i="20"/>
  <c r="I17" i="20"/>
  <c r="G17" i="20"/>
  <c r="F17" i="20"/>
  <c r="E17" i="20"/>
  <c r="B17" i="20"/>
  <c r="J16" i="20"/>
  <c r="I16" i="20"/>
  <c r="G16" i="20"/>
  <c r="F16" i="20"/>
  <c r="E16" i="20"/>
  <c r="B16" i="20"/>
  <c r="J15" i="20"/>
  <c r="I15" i="20"/>
  <c r="G15" i="20"/>
  <c r="F15" i="20"/>
  <c r="E15" i="20"/>
  <c r="B15" i="20"/>
  <c r="J14" i="20"/>
  <c r="I14" i="20"/>
  <c r="G14" i="20"/>
  <c r="F14" i="20"/>
  <c r="E14" i="20"/>
  <c r="B14" i="20"/>
  <c r="J13" i="20"/>
  <c r="I13" i="20"/>
  <c r="G13" i="20"/>
  <c r="F13" i="20"/>
  <c r="E13" i="20"/>
  <c r="B13" i="20"/>
  <c r="J12" i="20"/>
  <c r="I12" i="20"/>
  <c r="G12" i="20"/>
  <c r="F12" i="20"/>
  <c r="E12" i="20"/>
  <c r="B12" i="20"/>
  <c r="J11" i="20"/>
  <c r="I11" i="20"/>
  <c r="G11" i="20"/>
  <c r="F11" i="20"/>
  <c r="E11" i="20"/>
  <c r="B11" i="20"/>
  <c r="J10" i="20"/>
  <c r="I10" i="20"/>
  <c r="G10" i="20"/>
  <c r="F10" i="20"/>
  <c r="E10" i="20"/>
  <c r="B10" i="20"/>
  <c r="J9" i="20"/>
  <c r="I9" i="20"/>
  <c r="G9" i="20"/>
  <c r="F9" i="20"/>
  <c r="E9" i="20"/>
  <c r="B9" i="20"/>
  <c r="J8" i="20"/>
  <c r="I8" i="20"/>
  <c r="G8" i="20"/>
  <c r="F8" i="20"/>
  <c r="E8" i="20"/>
  <c r="B8" i="20"/>
  <c r="J7" i="20"/>
  <c r="I7" i="20"/>
  <c r="G7" i="20"/>
  <c r="F7" i="20"/>
  <c r="E7" i="20"/>
  <c r="B7" i="20"/>
  <c r="J6" i="20"/>
  <c r="I6" i="20"/>
  <c r="G6" i="20"/>
  <c r="F6" i="20"/>
  <c r="E6" i="20"/>
  <c r="B6" i="20"/>
  <c r="J5" i="20"/>
  <c r="I5" i="20"/>
  <c r="G5" i="20"/>
  <c r="F5" i="20"/>
  <c r="E5" i="20"/>
  <c r="B5" i="20"/>
  <c r="J305" i="16"/>
  <c r="I305" i="16"/>
  <c r="G305" i="16"/>
  <c r="F305" i="16"/>
  <c r="E305" i="16"/>
  <c r="B305" i="16"/>
  <c r="J304" i="16"/>
  <c r="I304" i="16"/>
  <c r="G304" i="16"/>
  <c r="F304" i="16"/>
  <c r="E304" i="16"/>
  <c r="B304" i="16"/>
  <c r="J303" i="16"/>
  <c r="I303" i="16"/>
  <c r="G303" i="16"/>
  <c r="F303" i="16"/>
  <c r="E303" i="16"/>
  <c r="B303" i="16"/>
  <c r="J302" i="16"/>
  <c r="I302" i="16"/>
  <c r="G302" i="16"/>
  <c r="F302" i="16"/>
  <c r="E302" i="16"/>
  <c r="B302" i="16"/>
  <c r="J301" i="16"/>
  <c r="I301" i="16"/>
  <c r="G301" i="16"/>
  <c r="F301" i="16"/>
  <c r="E301" i="16"/>
  <c r="B301" i="16"/>
  <c r="J300" i="16"/>
  <c r="I300" i="16"/>
  <c r="G300" i="16"/>
  <c r="F300" i="16"/>
  <c r="E300" i="16"/>
  <c r="B300" i="16"/>
  <c r="J299" i="16"/>
  <c r="I299" i="16"/>
  <c r="G299" i="16"/>
  <c r="F299" i="16"/>
  <c r="E299" i="16"/>
  <c r="B299" i="16"/>
  <c r="J298" i="16"/>
  <c r="I298" i="16"/>
  <c r="G298" i="16"/>
  <c r="F298" i="16"/>
  <c r="E298" i="16"/>
  <c r="B298" i="16"/>
  <c r="J297" i="16"/>
  <c r="I297" i="16"/>
  <c r="G297" i="16"/>
  <c r="F297" i="16"/>
  <c r="E297" i="16"/>
  <c r="B297" i="16"/>
  <c r="J296" i="16"/>
  <c r="I296" i="16"/>
  <c r="G296" i="16"/>
  <c r="F296" i="16"/>
  <c r="E296" i="16"/>
  <c r="B296" i="16"/>
  <c r="J295" i="16"/>
  <c r="I295" i="16"/>
  <c r="G295" i="16"/>
  <c r="F295" i="16"/>
  <c r="E295" i="16"/>
  <c r="B295" i="16"/>
  <c r="J294" i="16"/>
  <c r="I294" i="16"/>
  <c r="G294" i="16"/>
  <c r="F294" i="16"/>
  <c r="E294" i="16"/>
  <c r="B294" i="16"/>
  <c r="J293" i="16"/>
  <c r="I293" i="16"/>
  <c r="G293" i="16"/>
  <c r="F293" i="16"/>
  <c r="E293" i="16"/>
  <c r="B293" i="16"/>
  <c r="J292" i="16"/>
  <c r="I292" i="16"/>
  <c r="G292" i="16"/>
  <c r="F292" i="16"/>
  <c r="E292" i="16"/>
  <c r="B292" i="16"/>
  <c r="J291" i="16"/>
  <c r="I291" i="16"/>
  <c r="G291" i="16"/>
  <c r="F291" i="16"/>
  <c r="E291" i="16"/>
  <c r="B291" i="16"/>
  <c r="J290" i="16"/>
  <c r="I290" i="16"/>
  <c r="G290" i="16"/>
  <c r="F290" i="16"/>
  <c r="E290" i="16"/>
  <c r="B290" i="16"/>
  <c r="J289" i="16"/>
  <c r="I289" i="16"/>
  <c r="G289" i="16"/>
  <c r="F289" i="16"/>
  <c r="E289" i="16"/>
  <c r="B289" i="16"/>
  <c r="J288" i="16"/>
  <c r="I288" i="16"/>
  <c r="G288" i="16"/>
  <c r="F288" i="16"/>
  <c r="E288" i="16"/>
  <c r="B288" i="16"/>
  <c r="J287" i="16"/>
  <c r="I287" i="16"/>
  <c r="F287" i="16"/>
  <c r="E287" i="16"/>
  <c r="B287" i="16"/>
  <c r="J286" i="16"/>
  <c r="I286" i="16"/>
  <c r="G286" i="16"/>
  <c r="F286" i="16"/>
  <c r="E286" i="16"/>
  <c r="B286" i="16"/>
  <c r="J285" i="16"/>
  <c r="I285" i="16"/>
  <c r="G285" i="16"/>
  <c r="F285" i="16"/>
  <c r="E285" i="16"/>
  <c r="B285" i="16"/>
  <c r="J284" i="16"/>
  <c r="I284" i="16"/>
  <c r="G284" i="16"/>
  <c r="F284" i="16"/>
  <c r="E284" i="16"/>
  <c r="B284" i="16"/>
  <c r="J283" i="16"/>
  <c r="I283" i="16"/>
  <c r="G283" i="16"/>
  <c r="F283" i="16"/>
  <c r="E283" i="16"/>
  <c r="B283" i="16"/>
  <c r="J282" i="16"/>
  <c r="I282" i="16"/>
  <c r="G282" i="16"/>
  <c r="F282" i="16"/>
  <c r="E282" i="16"/>
  <c r="B282" i="16"/>
  <c r="J281" i="16"/>
  <c r="I281" i="16"/>
  <c r="F281" i="16"/>
  <c r="E281" i="16"/>
  <c r="B281" i="16"/>
  <c r="J280" i="16"/>
  <c r="I280" i="16"/>
  <c r="G280" i="16"/>
  <c r="F280" i="16"/>
  <c r="E280" i="16"/>
  <c r="B280" i="16"/>
  <c r="J279" i="16"/>
  <c r="I279" i="16"/>
  <c r="G279" i="16"/>
  <c r="F279" i="16"/>
  <c r="E279" i="16"/>
  <c r="B279" i="16"/>
  <c r="J278" i="16"/>
  <c r="I278" i="16"/>
  <c r="G278" i="16"/>
  <c r="F278" i="16"/>
  <c r="E278" i="16"/>
  <c r="B278" i="16"/>
  <c r="J277" i="16"/>
  <c r="I277" i="16"/>
  <c r="G277" i="16"/>
  <c r="F277" i="16"/>
  <c r="E277" i="16"/>
  <c r="B277" i="16"/>
  <c r="J276" i="16"/>
  <c r="I276" i="16"/>
  <c r="G276" i="16"/>
  <c r="F276" i="16"/>
  <c r="E276" i="16"/>
  <c r="B276" i="16"/>
  <c r="J275" i="16"/>
  <c r="I275" i="16"/>
  <c r="G275" i="16"/>
  <c r="F275" i="16"/>
  <c r="E275" i="16"/>
  <c r="B275" i="16"/>
  <c r="J274" i="16"/>
  <c r="I274" i="16"/>
  <c r="G274" i="16"/>
  <c r="F274" i="16"/>
  <c r="E274" i="16"/>
  <c r="B274" i="16"/>
  <c r="J273" i="16"/>
  <c r="I273" i="16"/>
  <c r="G273" i="16"/>
  <c r="F273" i="16"/>
  <c r="E273" i="16"/>
  <c r="B273" i="16"/>
  <c r="J272" i="16"/>
  <c r="I272" i="16"/>
  <c r="G272" i="16"/>
  <c r="F272" i="16"/>
  <c r="E272" i="16"/>
  <c r="B272" i="16"/>
  <c r="J271" i="16"/>
  <c r="I271" i="16"/>
  <c r="G271" i="16"/>
  <c r="F271" i="16"/>
  <c r="E271" i="16"/>
  <c r="B271" i="16"/>
  <c r="J270" i="16"/>
  <c r="I270" i="16"/>
  <c r="G270" i="16"/>
  <c r="F270" i="16"/>
  <c r="E270" i="16"/>
  <c r="B270" i="16"/>
  <c r="J269" i="16"/>
  <c r="I269" i="16"/>
  <c r="G269" i="16"/>
  <c r="F269" i="16"/>
  <c r="E269" i="16"/>
  <c r="B269" i="16"/>
  <c r="J268" i="16"/>
  <c r="I268" i="16"/>
  <c r="G268" i="16"/>
  <c r="F268" i="16"/>
  <c r="E268" i="16"/>
  <c r="B268" i="16"/>
  <c r="J267" i="16"/>
  <c r="I267" i="16"/>
  <c r="G267" i="16"/>
  <c r="F267" i="16"/>
  <c r="E267" i="16"/>
  <c r="B267" i="16"/>
  <c r="J266" i="16"/>
  <c r="I266" i="16"/>
  <c r="G266" i="16"/>
  <c r="F266" i="16"/>
  <c r="E266" i="16"/>
  <c r="B266" i="16"/>
  <c r="J265" i="16"/>
  <c r="I265" i="16"/>
  <c r="G265" i="16"/>
  <c r="F265" i="16"/>
  <c r="E265" i="16"/>
  <c r="B265" i="16"/>
  <c r="J264" i="16"/>
  <c r="I264" i="16"/>
  <c r="G264" i="16"/>
  <c r="F264" i="16"/>
  <c r="E264" i="16"/>
  <c r="B264" i="16"/>
  <c r="J263" i="16"/>
  <c r="I263" i="16"/>
  <c r="G263" i="16"/>
  <c r="F263" i="16"/>
  <c r="E263" i="16"/>
  <c r="B263" i="16"/>
  <c r="J262" i="16"/>
  <c r="I262" i="16"/>
  <c r="G262" i="16"/>
  <c r="F262" i="16"/>
  <c r="E262" i="16"/>
  <c r="B262" i="16"/>
  <c r="J261" i="16"/>
  <c r="I261" i="16"/>
  <c r="G261" i="16"/>
  <c r="F261" i="16"/>
  <c r="E261" i="16"/>
  <c r="B261" i="16"/>
  <c r="J260" i="16"/>
  <c r="I260" i="16"/>
  <c r="G260" i="16"/>
  <c r="F260" i="16"/>
  <c r="E260" i="16"/>
  <c r="B260" i="16"/>
  <c r="J259" i="16"/>
  <c r="I259" i="16"/>
  <c r="G259" i="16"/>
  <c r="F259" i="16"/>
  <c r="E259" i="16"/>
  <c r="B259" i="16"/>
  <c r="J258" i="16"/>
  <c r="I258" i="16"/>
  <c r="G258" i="16"/>
  <c r="F258" i="16"/>
  <c r="E258" i="16"/>
  <c r="B258" i="16"/>
  <c r="J257" i="16"/>
  <c r="I257" i="16"/>
  <c r="G257" i="16"/>
  <c r="F257" i="16"/>
  <c r="E257" i="16"/>
  <c r="B257" i="16"/>
  <c r="J256" i="16"/>
  <c r="I256" i="16"/>
  <c r="G256" i="16"/>
  <c r="F256" i="16"/>
  <c r="E256" i="16"/>
  <c r="B256" i="16"/>
  <c r="J255" i="16"/>
  <c r="I255" i="16"/>
  <c r="G255" i="16"/>
  <c r="F255" i="16"/>
  <c r="E255" i="16"/>
  <c r="B255" i="16"/>
  <c r="J254" i="16"/>
  <c r="I254" i="16"/>
  <c r="G254" i="16"/>
  <c r="F254" i="16"/>
  <c r="E254" i="16"/>
  <c r="B254" i="16"/>
  <c r="J253" i="16"/>
  <c r="I253" i="16"/>
  <c r="G253" i="16"/>
  <c r="F253" i="16"/>
  <c r="E253" i="16"/>
  <c r="B253" i="16"/>
  <c r="J252" i="16"/>
  <c r="I252" i="16"/>
  <c r="G252" i="16"/>
  <c r="F252" i="16"/>
  <c r="E252" i="16"/>
  <c r="B252" i="16"/>
  <c r="J251" i="16"/>
  <c r="I251" i="16"/>
  <c r="G251" i="16"/>
  <c r="F251" i="16"/>
  <c r="E251" i="16"/>
  <c r="B251" i="16"/>
  <c r="J250" i="16"/>
  <c r="I250" i="16"/>
  <c r="G250" i="16"/>
  <c r="F250" i="16"/>
  <c r="E250" i="16"/>
  <c r="B250" i="16"/>
  <c r="J249" i="16"/>
  <c r="I249" i="16"/>
  <c r="G249" i="16"/>
  <c r="F249" i="16"/>
  <c r="E249" i="16"/>
  <c r="B249" i="16"/>
  <c r="J248" i="16"/>
  <c r="I248" i="16"/>
  <c r="G248" i="16"/>
  <c r="F248" i="16"/>
  <c r="E248" i="16"/>
  <c r="B248" i="16"/>
  <c r="J247" i="16"/>
  <c r="I247" i="16"/>
  <c r="G247" i="16"/>
  <c r="F247" i="16"/>
  <c r="E247" i="16"/>
  <c r="B247" i="16"/>
  <c r="J246" i="16"/>
  <c r="I246" i="16"/>
  <c r="G246" i="16"/>
  <c r="F246" i="16"/>
  <c r="E246" i="16"/>
  <c r="B246" i="16"/>
  <c r="J245" i="16"/>
  <c r="I245" i="16"/>
  <c r="G245" i="16"/>
  <c r="F245" i="16"/>
  <c r="E245" i="16"/>
  <c r="B245" i="16"/>
  <c r="J244" i="16"/>
  <c r="I244" i="16"/>
  <c r="G244" i="16"/>
  <c r="F244" i="16"/>
  <c r="E244" i="16"/>
  <c r="B244" i="16"/>
  <c r="J243" i="16"/>
  <c r="I243" i="16"/>
  <c r="G243" i="16"/>
  <c r="F243" i="16"/>
  <c r="E243" i="16"/>
  <c r="B243" i="16"/>
  <c r="J242" i="16"/>
  <c r="I242" i="16"/>
  <c r="F242" i="16"/>
  <c r="E242" i="16"/>
  <c r="B242" i="16"/>
  <c r="J241" i="16"/>
  <c r="I241" i="16"/>
  <c r="G241" i="16"/>
  <c r="F241" i="16"/>
  <c r="E241" i="16"/>
  <c r="B241" i="16"/>
  <c r="J240" i="16"/>
  <c r="I240" i="16"/>
  <c r="F240" i="16"/>
  <c r="E240" i="16"/>
  <c r="B240" i="16"/>
  <c r="J239" i="16"/>
  <c r="I239" i="16"/>
  <c r="G239" i="16"/>
  <c r="F239" i="16"/>
  <c r="E239" i="16"/>
  <c r="B239" i="16"/>
  <c r="J238" i="16"/>
  <c r="I238" i="16"/>
  <c r="G238" i="16"/>
  <c r="F238" i="16"/>
  <c r="E238" i="16"/>
  <c r="B238" i="16"/>
  <c r="J237" i="16"/>
  <c r="I237" i="16"/>
  <c r="G237" i="16"/>
  <c r="F237" i="16"/>
  <c r="E237" i="16"/>
  <c r="B237" i="16"/>
  <c r="J236" i="16"/>
  <c r="I236" i="16"/>
  <c r="G236" i="16"/>
  <c r="F236" i="16"/>
  <c r="E236" i="16"/>
  <c r="B236" i="16"/>
  <c r="J235" i="16"/>
  <c r="I235" i="16"/>
  <c r="G235" i="16"/>
  <c r="F235" i="16"/>
  <c r="E235" i="16"/>
  <c r="B235" i="16"/>
  <c r="J234" i="16"/>
  <c r="I234" i="16"/>
  <c r="G234" i="16"/>
  <c r="F234" i="16"/>
  <c r="E234" i="16"/>
  <c r="B234" i="16"/>
  <c r="J233" i="16"/>
  <c r="I233" i="16"/>
  <c r="G233" i="16"/>
  <c r="F233" i="16"/>
  <c r="E233" i="16"/>
  <c r="B233" i="16"/>
  <c r="J232" i="16"/>
  <c r="I232" i="16"/>
  <c r="G232" i="16"/>
  <c r="F232" i="16"/>
  <c r="E232" i="16"/>
  <c r="B232" i="16"/>
  <c r="J231" i="16"/>
  <c r="I231" i="16"/>
  <c r="G231" i="16"/>
  <c r="F231" i="16"/>
  <c r="E231" i="16"/>
  <c r="B231" i="16"/>
  <c r="J230" i="16"/>
  <c r="I230" i="16"/>
  <c r="G230" i="16"/>
  <c r="F230" i="16"/>
  <c r="E230" i="16"/>
  <c r="B230" i="16"/>
  <c r="J229" i="16"/>
  <c r="I229" i="16"/>
  <c r="G229" i="16"/>
  <c r="F229" i="16"/>
  <c r="E229" i="16"/>
  <c r="B229" i="16"/>
  <c r="J228" i="16"/>
  <c r="I228" i="16"/>
  <c r="G228" i="16"/>
  <c r="F228" i="16"/>
  <c r="E228" i="16"/>
  <c r="B228" i="16"/>
  <c r="J227" i="16"/>
  <c r="I227" i="16"/>
  <c r="G227" i="16"/>
  <c r="F227" i="16"/>
  <c r="E227" i="16"/>
  <c r="B227" i="16"/>
  <c r="J226" i="16"/>
  <c r="I226" i="16"/>
  <c r="G226" i="16"/>
  <c r="F226" i="16"/>
  <c r="E226" i="16"/>
  <c r="B226" i="16"/>
  <c r="J225" i="16"/>
  <c r="I225" i="16"/>
  <c r="G225" i="16"/>
  <c r="F225" i="16"/>
  <c r="E225" i="16"/>
  <c r="B225" i="16"/>
  <c r="J224" i="16"/>
  <c r="I224" i="16"/>
  <c r="F224" i="16"/>
  <c r="E224" i="16"/>
  <c r="B224" i="16"/>
  <c r="J223" i="16"/>
  <c r="I223" i="16"/>
  <c r="G223" i="16"/>
  <c r="F223" i="16"/>
  <c r="E223" i="16"/>
  <c r="B223" i="16"/>
  <c r="J222" i="16"/>
  <c r="I222" i="16"/>
  <c r="F222" i="16"/>
  <c r="E222" i="16"/>
  <c r="B222" i="16"/>
  <c r="J221" i="16"/>
  <c r="I221" i="16"/>
  <c r="G221" i="16"/>
  <c r="F221" i="16"/>
  <c r="E221" i="16"/>
  <c r="B221" i="16"/>
  <c r="J220" i="16"/>
  <c r="I220" i="16"/>
  <c r="G220" i="16"/>
  <c r="F220" i="16"/>
  <c r="E220" i="16"/>
  <c r="B220" i="16"/>
  <c r="J219" i="16"/>
  <c r="I219" i="16"/>
  <c r="G219" i="16"/>
  <c r="F219" i="16"/>
  <c r="E219" i="16"/>
  <c r="B219" i="16"/>
  <c r="J218" i="16"/>
  <c r="I218" i="16"/>
  <c r="G218" i="16"/>
  <c r="F218" i="16"/>
  <c r="E218" i="16"/>
  <c r="B218" i="16"/>
  <c r="J217" i="16"/>
  <c r="I217" i="16"/>
  <c r="G217" i="16"/>
  <c r="F217" i="16"/>
  <c r="E217" i="16"/>
  <c r="B217" i="16"/>
  <c r="J216" i="16"/>
  <c r="I216" i="16"/>
  <c r="G216" i="16"/>
  <c r="F216" i="16"/>
  <c r="E216" i="16"/>
  <c r="B216" i="16"/>
  <c r="J215" i="16"/>
  <c r="I215" i="16"/>
  <c r="G215" i="16"/>
  <c r="F215" i="16"/>
  <c r="E215" i="16"/>
  <c r="B215" i="16"/>
  <c r="J214" i="16"/>
  <c r="I214" i="16"/>
  <c r="G214" i="16"/>
  <c r="F214" i="16"/>
  <c r="E214" i="16"/>
  <c r="B214" i="16"/>
  <c r="J213" i="16"/>
  <c r="I213" i="16"/>
  <c r="G213" i="16"/>
  <c r="F213" i="16"/>
  <c r="E213" i="16"/>
  <c r="B213" i="16"/>
  <c r="J212" i="16"/>
  <c r="I212" i="16"/>
  <c r="G212" i="16"/>
  <c r="F212" i="16"/>
  <c r="E212" i="16"/>
  <c r="B212" i="16"/>
  <c r="J211" i="16"/>
  <c r="I211" i="16"/>
  <c r="G211" i="16"/>
  <c r="F211" i="16"/>
  <c r="E211" i="16"/>
  <c r="B211" i="16"/>
  <c r="J210" i="16"/>
  <c r="I210" i="16"/>
  <c r="G210" i="16"/>
  <c r="F210" i="16"/>
  <c r="E210" i="16"/>
  <c r="B210" i="16"/>
  <c r="J209" i="16"/>
  <c r="I209" i="16"/>
  <c r="G209" i="16"/>
  <c r="F209" i="16"/>
  <c r="E209" i="16"/>
  <c r="B209" i="16"/>
  <c r="J208" i="16"/>
  <c r="I208" i="16"/>
  <c r="G208" i="16"/>
  <c r="F208" i="16"/>
  <c r="E208" i="16"/>
  <c r="B208" i="16"/>
  <c r="J207" i="16"/>
  <c r="I207" i="16"/>
  <c r="G207" i="16"/>
  <c r="F207" i="16"/>
  <c r="E207" i="16"/>
  <c r="B207" i="16"/>
  <c r="J206" i="16"/>
  <c r="I206" i="16"/>
  <c r="G206" i="16"/>
  <c r="F206" i="16"/>
  <c r="E206" i="16"/>
  <c r="B206" i="16"/>
  <c r="J205" i="16"/>
  <c r="I205" i="16"/>
  <c r="G205" i="16"/>
  <c r="F205" i="16"/>
  <c r="E205" i="16"/>
  <c r="B205" i="16"/>
  <c r="J204" i="16"/>
  <c r="I204" i="16"/>
  <c r="G204" i="16"/>
  <c r="F204" i="16"/>
  <c r="E204" i="16"/>
  <c r="B204" i="16"/>
  <c r="J203" i="16"/>
  <c r="I203" i="16"/>
  <c r="G203" i="16"/>
  <c r="F203" i="16"/>
  <c r="E203" i="16"/>
  <c r="B203" i="16"/>
  <c r="J202" i="16"/>
  <c r="I202" i="16"/>
  <c r="G202" i="16"/>
  <c r="F202" i="16"/>
  <c r="E202" i="16"/>
  <c r="B202" i="16"/>
  <c r="J201" i="16"/>
  <c r="I201" i="16"/>
  <c r="G201" i="16"/>
  <c r="F201" i="16"/>
  <c r="E201" i="16"/>
  <c r="B201" i="16"/>
  <c r="J200" i="16"/>
  <c r="I200" i="16"/>
  <c r="G200" i="16"/>
  <c r="F200" i="16"/>
  <c r="E200" i="16"/>
  <c r="B200" i="16"/>
  <c r="J199" i="16"/>
  <c r="I199" i="16"/>
  <c r="G199" i="16"/>
  <c r="F199" i="16"/>
  <c r="E199" i="16"/>
  <c r="B199" i="16"/>
  <c r="J198" i="16"/>
  <c r="I198" i="16"/>
  <c r="G198" i="16"/>
  <c r="F198" i="16"/>
  <c r="E198" i="16"/>
  <c r="B198" i="16"/>
  <c r="J197" i="16"/>
  <c r="I197" i="16"/>
  <c r="G197" i="16"/>
  <c r="F197" i="16"/>
  <c r="E197" i="16"/>
  <c r="B197" i="16"/>
  <c r="J196" i="16"/>
  <c r="I196" i="16"/>
  <c r="G196" i="16"/>
  <c r="F196" i="16"/>
  <c r="E196" i="16"/>
  <c r="B196" i="16"/>
  <c r="J195" i="16"/>
  <c r="I195" i="16"/>
  <c r="G195" i="16"/>
  <c r="F195" i="16"/>
  <c r="E195" i="16"/>
  <c r="B195" i="16"/>
  <c r="J194" i="16"/>
  <c r="I194" i="16"/>
  <c r="G194" i="16"/>
  <c r="F194" i="16"/>
  <c r="E194" i="16"/>
  <c r="B194" i="16"/>
  <c r="J193" i="16"/>
  <c r="I193" i="16"/>
  <c r="G193" i="16"/>
  <c r="F193" i="16"/>
  <c r="E193" i="16"/>
  <c r="B193" i="16"/>
  <c r="J192" i="16"/>
  <c r="I192" i="16"/>
  <c r="G192" i="16"/>
  <c r="F192" i="16"/>
  <c r="E192" i="16"/>
  <c r="B192" i="16"/>
  <c r="J191" i="16"/>
  <c r="I191" i="16"/>
  <c r="G191" i="16"/>
  <c r="F191" i="16"/>
  <c r="E191" i="16"/>
  <c r="B191" i="16"/>
  <c r="J190" i="16"/>
  <c r="I190" i="16"/>
  <c r="G190" i="16"/>
  <c r="F190" i="16"/>
  <c r="E190" i="16"/>
  <c r="B190" i="16"/>
  <c r="J189" i="16"/>
  <c r="I189" i="16"/>
  <c r="G189" i="16"/>
  <c r="F189" i="16"/>
  <c r="E189" i="16"/>
  <c r="B189" i="16"/>
  <c r="J188" i="16"/>
  <c r="I188" i="16"/>
  <c r="G188" i="16"/>
  <c r="F188" i="16"/>
  <c r="E188" i="16"/>
  <c r="B188" i="16"/>
  <c r="J187" i="16"/>
  <c r="I187" i="16"/>
  <c r="G187" i="16"/>
  <c r="F187" i="16"/>
  <c r="E187" i="16"/>
  <c r="B187" i="16"/>
  <c r="J186" i="16"/>
  <c r="I186" i="16"/>
  <c r="G186" i="16"/>
  <c r="F186" i="16"/>
  <c r="E186" i="16"/>
  <c r="B186" i="16"/>
  <c r="J185" i="16"/>
  <c r="I185" i="16"/>
  <c r="G185" i="16"/>
  <c r="F185" i="16"/>
  <c r="E185" i="16"/>
  <c r="B185" i="16"/>
  <c r="J184" i="16"/>
  <c r="I184" i="16"/>
  <c r="G184" i="16"/>
  <c r="F184" i="16"/>
  <c r="E184" i="16"/>
  <c r="B184" i="16"/>
  <c r="J183" i="16"/>
  <c r="I183" i="16"/>
  <c r="G183" i="16"/>
  <c r="F183" i="16"/>
  <c r="E183" i="16"/>
  <c r="B183" i="16"/>
  <c r="J182" i="16"/>
  <c r="I182" i="16"/>
  <c r="G182" i="16"/>
  <c r="F182" i="16"/>
  <c r="E182" i="16"/>
  <c r="B182" i="16"/>
  <c r="J181" i="16"/>
  <c r="I181" i="16"/>
  <c r="G181" i="16"/>
  <c r="F181" i="16"/>
  <c r="E181" i="16"/>
  <c r="B181" i="16"/>
  <c r="J180" i="16"/>
  <c r="I180" i="16"/>
  <c r="G180" i="16"/>
  <c r="F180" i="16"/>
  <c r="E180" i="16"/>
  <c r="B180" i="16"/>
  <c r="J179" i="16"/>
  <c r="I179" i="16"/>
  <c r="G179" i="16"/>
  <c r="F179" i="16"/>
  <c r="E179" i="16"/>
  <c r="B179" i="16"/>
  <c r="J178" i="16"/>
  <c r="I178" i="16"/>
  <c r="G178" i="16"/>
  <c r="F178" i="16"/>
  <c r="E178" i="16"/>
  <c r="B178" i="16"/>
  <c r="J177" i="16"/>
  <c r="I177" i="16"/>
  <c r="G177" i="16"/>
  <c r="F177" i="16"/>
  <c r="E177" i="16"/>
  <c r="B177" i="16"/>
  <c r="J176" i="16"/>
  <c r="I176" i="16"/>
  <c r="G176" i="16"/>
  <c r="F176" i="16"/>
  <c r="E176" i="16"/>
  <c r="B176" i="16"/>
  <c r="J175" i="16"/>
  <c r="I175" i="16"/>
  <c r="G175" i="16"/>
  <c r="F175" i="16"/>
  <c r="E175" i="16"/>
  <c r="B175" i="16"/>
  <c r="J174" i="16"/>
  <c r="I174" i="16"/>
  <c r="G174" i="16"/>
  <c r="F174" i="16"/>
  <c r="E174" i="16"/>
  <c r="B174" i="16"/>
  <c r="J173" i="16"/>
  <c r="I173" i="16"/>
  <c r="G173" i="16"/>
  <c r="F173" i="16"/>
  <c r="E173" i="16"/>
  <c r="B173" i="16"/>
  <c r="J172" i="16"/>
  <c r="I172" i="16"/>
  <c r="G172" i="16"/>
  <c r="F172" i="16"/>
  <c r="E172" i="16"/>
  <c r="B172" i="16"/>
  <c r="J171" i="16"/>
  <c r="I171" i="16"/>
  <c r="G171" i="16"/>
  <c r="F171" i="16"/>
  <c r="E171" i="16"/>
  <c r="B171" i="16"/>
  <c r="J170" i="16"/>
  <c r="I170" i="16"/>
  <c r="G170" i="16"/>
  <c r="F170" i="16"/>
  <c r="E170" i="16"/>
  <c r="B170" i="16"/>
  <c r="J169" i="16"/>
  <c r="I169" i="16"/>
  <c r="G169" i="16"/>
  <c r="F169" i="16"/>
  <c r="E169" i="16"/>
  <c r="B169" i="16"/>
  <c r="J168" i="16"/>
  <c r="I168" i="16"/>
  <c r="G168" i="16"/>
  <c r="F168" i="16"/>
  <c r="E168" i="16"/>
  <c r="B168" i="16"/>
  <c r="J167" i="16"/>
  <c r="I167" i="16"/>
  <c r="G167" i="16"/>
  <c r="F167" i="16"/>
  <c r="E167" i="16"/>
  <c r="B167" i="16"/>
  <c r="J166" i="16"/>
  <c r="I166" i="16"/>
  <c r="G166" i="16"/>
  <c r="F166" i="16"/>
  <c r="E166" i="16"/>
  <c r="B166" i="16"/>
  <c r="J165" i="16"/>
  <c r="I165" i="16"/>
  <c r="G165" i="16"/>
  <c r="F165" i="16"/>
  <c r="E165" i="16"/>
  <c r="B165" i="16"/>
  <c r="J164" i="16"/>
  <c r="I164" i="16"/>
  <c r="G164" i="16"/>
  <c r="F164" i="16"/>
  <c r="E164" i="16"/>
  <c r="B164" i="16"/>
  <c r="J163" i="16"/>
  <c r="I163" i="16"/>
  <c r="G163" i="16"/>
  <c r="F163" i="16"/>
  <c r="E163" i="16"/>
  <c r="B163" i="16"/>
  <c r="J162" i="16"/>
  <c r="I162" i="16"/>
  <c r="G162" i="16"/>
  <c r="F162" i="16"/>
  <c r="E162" i="16"/>
  <c r="B162" i="16"/>
  <c r="J161" i="16"/>
  <c r="I161" i="16"/>
  <c r="G161" i="16"/>
  <c r="F161" i="16"/>
  <c r="E161" i="16"/>
  <c r="B161" i="16"/>
  <c r="J160" i="16"/>
  <c r="I160" i="16"/>
  <c r="G160" i="16"/>
  <c r="F160" i="16"/>
  <c r="E160" i="16"/>
  <c r="B160" i="16"/>
  <c r="J159" i="16"/>
  <c r="I159" i="16"/>
  <c r="G159" i="16"/>
  <c r="F159" i="16"/>
  <c r="E159" i="16"/>
  <c r="B159" i="16"/>
  <c r="J158" i="16"/>
  <c r="I158" i="16"/>
  <c r="G158" i="16"/>
  <c r="F158" i="16"/>
  <c r="E158" i="16"/>
  <c r="B158" i="16"/>
  <c r="J157" i="16"/>
  <c r="I157" i="16"/>
  <c r="G157" i="16"/>
  <c r="F157" i="16"/>
  <c r="E157" i="16"/>
  <c r="B157" i="16"/>
  <c r="J156" i="16"/>
  <c r="I156" i="16"/>
  <c r="G156" i="16"/>
  <c r="F156" i="16"/>
  <c r="E156" i="16"/>
  <c r="B156" i="16"/>
  <c r="J155" i="16"/>
  <c r="I155" i="16"/>
  <c r="G155" i="16"/>
  <c r="F155" i="16"/>
  <c r="E155" i="16"/>
  <c r="B155" i="16"/>
  <c r="J154" i="16"/>
  <c r="I154" i="16"/>
  <c r="G154" i="16"/>
  <c r="F154" i="16"/>
  <c r="E154" i="16"/>
  <c r="B154" i="16"/>
  <c r="J153" i="16"/>
  <c r="I153" i="16"/>
  <c r="G153" i="16"/>
  <c r="F153" i="16"/>
  <c r="E153" i="16"/>
  <c r="B153" i="16"/>
  <c r="J152" i="16"/>
  <c r="I152" i="16"/>
  <c r="G152" i="16"/>
  <c r="F152" i="16"/>
  <c r="E152" i="16"/>
  <c r="B152" i="16"/>
  <c r="J151" i="16"/>
  <c r="I151" i="16"/>
  <c r="G151" i="16"/>
  <c r="F151" i="16"/>
  <c r="E151" i="16"/>
  <c r="B151" i="16"/>
  <c r="J150" i="16"/>
  <c r="I150" i="16"/>
  <c r="G150" i="16"/>
  <c r="F150" i="16"/>
  <c r="E150" i="16"/>
  <c r="B150" i="16"/>
  <c r="J149" i="16"/>
  <c r="I149" i="16"/>
  <c r="G149" i="16"/>
  <c r="F149" i="16"/>
  <c r="E149" i="16"/>
  <c r="B149" i="16"/>
  <c r="J148" i="16"/>
  <c r="I148" i="16"/>
  <c r="G148" i="16"/>
  <c r="F148" i="16"/>
  <c r="E148" i="16"/>
  <c r="B148" i="16"/>
  <c r="J147" i="16"/>
  <c r="I147" i="16"/>
  <c r="G147" i="16"/>
  <c r="F147" i="16"/>
  <c r="E147" i="16"/>
  <c r="B147" i="16"/>
  <c r="J146" i="16"/>
  <c r="I146" i="16"/>
  <c r="G146" i="16"/>
  <c r="F146" i="16"/>
  <c r="E146" i="16"/>
  <c r="B146" i="16"/>
  <c r="J145" i="16"/>
  <c r="I145" i="16"/>
  <c r="G145" i="16"/>
  <c r="F145" i="16"/>
  <c r="E145" i="16"/>
  <c r="B145" i="16"/>
  <c r="J144" i="16"/>
  <c r="I144" i="16"/>
  <c r="G144" i="16"/>
  <c r="F144" i="16"/>
  <c r="E144" i="16"/>
  <c r="B144" i="16"/>
  <c r="J143" i="16"/>
  <c r="I143" i="16"/>
  <c r="G143" i="16"/>
  <c r="F143" i="16"/>
  <c r="E143" i="16"/>
  <c r="B143" i="16"/>
  <c r="J142" i="16"/>
  <c r="I142" i="16"/>
  <c r="G142" i="16"/>
  <c r="F142" i="16"/>
  <c r="E142" i="16"/>
  <c r="B142" i="16"/>
  <c r="J141" i="16"/>
  <c r="I141" i="16"/>
  <c r="G141" i="16"/>
  <c r="F141" i="16"/>
  <c r="E141" i="16"/>
  <c r="B141" i="16"/>
  <c r="J140" i="16"/>
  <c r="I140" i="16"/>
  <c r="G140" i="16"/>
  <c r="F140" i="16"/>
  <c r="E140" i="16"/>
  <c r="B140" i="16"/>
  <c r="J139" i="16"/>
  <c r="I139" i="16"/>
  <c r="G139" i="16"/>
  <c r="F139" i="16"/>
  <c r="E139" i="16"/>
  <c r="B139" i="16"/>
  <c r="J138" i="16"/>
  <c r="I138" i="16"/>
  <c r="G138" i="16"/>
  <c r="F138" i="16"/>
  <c r="E138" i="16"/>
  <c r="B138" i="16"/>
  <c r="J137" i="16"/>
  <c r="I137" i="16"/>
  <c r="G137" i="16"/>
  <c r="F137" i="16"/>
  <c r="E137" i="16"/>
  <c r="B137" i="16"/>
  <c r="J136" i="16"/>
  <c r="I136" i="16"/>
  <c r="G136" i="16"/>
  <c r="F136" i="16"/>
  <c r="E136" i="16"/>
  <c r="B136" i="16"/>
  <c r="J135" i="16"/>
  <c r="I135" i="16"/>
  <c r="G135" i="16"/>
  <c r="F135" i="16"/>
  <c r="E135" i="16"/>
  <c r="B135" i="16"/>
  <c r="J134" i="16"/>
  <c r="I134" i="16"/>
  <c r="G134" i="16"/>
  <c r="F134" i="16"/>
  <c r="E134" i="16"/>
  <c r="B134" i="16"/>
  <c r="J133" i="16"/>
  <c r="I133" i="16"/>
  <c r="G133" i="16"/>
  <c r="F133" i="16"/>
  <c r="E133" i="16"/>
  <c r="B133" i="16"/>
  <c r="J132" i="16"/>
  <c r="I132" i="16"/>
  <c r="G132" i="16"/>
  <c r="F132" i="16"/>
  <c r="E132" i="16"/>
  <c r="B132" i="16"/>
  <c r="J131" i="16"/>
  <c r="I131" i="16"/>
  <c r="G131" i="16"/>
  <c r="F131" i="16"/>
  <c r="E131" i="16"/>
  <c r="B131" i="16"/>
  <c r="J130" i="16"/>
  <c r="I130" i="16"/>
  <c r="G130" i="16"/>
  <c r="F130" i="16"/>
  <c r="E130" i="16"/>
  <c r="B130" i="16"/>
  <c r="J129" i="16"/>
  <c r="I129" i="16"/>
  <c r="G129" i="16"/>
  <c r="F129" i="16"/>
  <c r="E129" i="16"/>
  <c r="B129" i="16"/>
  <c r="J128" i="16"/>
  <c r="I128" i="16"/>
  <c r="G128" i="16"/>
  <c r="F128" i="16"/>
  <c r="E128" i="16"/>
  <c r="B128" i="16"/>
  <c r="J127" i="16"/>
  <c r="I127" i="16"/>
  <c r="G127" i="16"/>
  <c r="F127" i="16"/>
  <c r="E127" i="16"/>
  <c r="B127" i="16"/>
  <c r="J126" i="16"/>
  <c r="I126" i="16"/>
  <c r="G126" i="16"/>
  <c r="F126" i="16"/>
  <c r="E126" i="16"/>
  <c r="B126" i="16"/>
  <c r="J125" i="16"/>
  <c r="I125" i="16"/>
  <c r="G125" i="16"/>
  <c r="F125" i="16"/>
  <c r="E125" i="16"/>
  <c r="B125" i="16"/>
  <c r="J124" i="16"/>
  <c r="I124" i="16"/>
  <c r="G124" i="16"/>
  <c r="F124" i="16"/>
  <c r="E124" i="16"/>
  <c r="B124" i="16"/>
  <c r="J123" i="16"/>
  <c r="I123" i="16"/>
  <c r="G123" i="16"/>
  <c r="F123" i="16"/>
  <c r="E123" i="16"/>
  <c r="B123" i="16"/>
  <c r="J122" i="16"/>
  <c r="I122" i="16"/>
  <c r="G122" i="16"/>
  <c r="F122" i="16"/>
  <c r="E122" i="16"/>
  <c r="B122" i="16"/>
  <c r="J121" i="16"/>
  <c r="I121" i="16"/>
  <c r="G121" i="16"/>
  <c r="F121" i="16"/>
  <c r="E121" i="16"/>
  <c r="B121" i="16"/>
  <c r="J120" i="16"/>
  <c r="I120" i="16"/>
  <c r="G120" i="16"/>
  <c r="F120" i="16"/>
  <c r="E120" i="16"/>
  <c r="B120" i="16"/>
  <c r="J119" i="16"/>
  <c r="I119" i="16"/>
  <c r="G119" i="16"/>
  <c r="F119" i="16"/>
  <c r="E119" i="16"/>
  <c r="B119" i="16"/>
  <c r="J118" i="16"/>
  <c r="I118" i="16"/>
  <c r="G118" i="16"/>
  <c r="F118" i="16"/>
  <c r="E118" i="16"/>
  <c r="B118" i="16"/>
  <c r="J117" i="16"/>
  <c r="I117" i="16"/>
  <c r="G117" i="16"/>
  <c r="F117" i="16"/>
  <c r="E117" i="16"/>
  <c r="B117" i="16"/>
  <c r="J116" i="16"/>
  <c r="I116" i="16"/>
  <c r="G116" i="16"/>
  <c r="F116" i="16"/>
  <c r="E116" i="16"/>
  <c r="B116" i="16"/>
  <c r="J115" i="16"/>
  <c r="I115" i="16"/>
  <c r="G115" i="16"/>
  <c r="F115" i="16"/>
  <c r="E115" i="16"/>
  <c r="B115" i="16"/>
  <c r="J114" i="16"/>
  <c r="I114" i="16"/>
  <c r="G114" i="16"/>
  <c r="F114" i="16"/>
  <c r="E114" i="16"/>
  <c r="B114" i="16"/>
  <c r="J113" i="16"/>
  <c r="I113" i="16"/>
  <c r="G113" i="16"/>
  <c r="F113" i="16"/>
  <c r="E113" i="16"/>
  <c r="B113" i="16"/>
  <c r="J112" i="16"/>
  <c r="I112" i="16"/>
  <c r="G112" i="16"/>
  <c r="F112" i="16"/>
  <c r="E112" i="16"/>
  <c r="B112" i="16"/>
  <c r="J111" i="16"/>
  <c r="I111" i="16"/>
  <c r="G111" i="16"/>
  <c r="F111" i="16"/>
  <c r="E111" i="16"/>
  <c r="B111" i="16"/>
  <c r="J110" i="16"/>
  <c r="I110" i="16"/>
  <c r="G110" i="16"/>
  <c r="F110" i="16"/>
  <c r="E110" i="16"/>
  <c r="B110" i="16"/>
  <c r="J109" i="16"/>
  <c r="I109" i="16"/>
  <c r="G109" i="16"/>
  <c r="F109" i="16"/>
  <c r="E109" i="16"/>
  <c r="B109" i="16"/>
  <c r="J108" i="16"/>
  <c r="I108" i="16"/>
  <c r="G108" i="16"/>
  <c r="F108" i="16"/>
  <c r="E108" i="16"/>
  <c r="B108" i="16"/>
  <c r="J107" i="16"/>
  <c r="I107" i="16"/>
  <c r="G107" i="16"/>
  <c r="F107" i="16"/>
  <c r="E107" i="16"/>
  <c r="B107" i="16"/>
  <c r="J106" i="16"/>
  <c r="I106" i="16"/>
  <c r="G106" i="16"/>
  <c r="F106" i="16"/>
  <c r="E106" i="16"/>
  <c r="B106" i="16"/>
  <c r="J105" i="16"/>
  <c r="I105" i="16"/>
  <c r="G105" i="16"/>
  <c r="F105" i="16"/>
  <c r="E105" i="16"/>
  <c r="B105" i="16"/>
  <c r="J104" i="16"/>
  <c r="I104" i="16"/>
  <c r="G104" i="16"/>
  <c r="F104" i="16"/>
  <c r="E104" i="16"/>
  <c r="B104" i="16"/>
  <c r="J103" i="16"/>
  <c r="I103" i="16"/>
  <c r="G103" i="16"/>
  <c r="F103" i="16"/>
  <c r="E103" i="16"/>
  <c r="B103" i="16"/>
  <c r="J102" i="16"/>
  <c r="I102" i="16"/>
  <c r="G102" i="16"/>
  <c r="F102" i="16"/>
  <c r="E102" i="16"/>
  <c r="B102" i="16"/>
  <c r="J101" i="16"/>
  <c r="I101" i="16"/>
  <c r="G101" i="16"/>
  <c r="F101" i="16"/>
  <c r="E101" i="16"/>
  <c r="B101" i="16"/>
  <c r="J100" i="16"/>
  <c r="I100" i="16"/>
  <c r="G100" i="16"/>
  <c r="F100" i="16"/>
  <c r="E100" i="16"/>
  <c r="B100" i="16"/>
  <c r="J99" i="16"/>
  <c r="I99" i="16"/>
  <c r="G99" i="16"/>
  <c r="F99" i="16"/>
  <c r="E99" i="16"/>
  <c r="B99" i="16"/>
  <c r="J98" i="16"/>
  <c r="I98" i="16"/>
  <c r="G98" i="16"/>
  <c r="F98" i="16"/>
  <c r="E98" i="16"/>
  <c r="B98" i="16"/>
  <c r="J97" i="16"/>
  <c r="I97" i="16"/>
  <c r="G97" i="16"/>
  <c r="F97" i="16"/>
  <c r="E97" i="16"/>
  <c r="B97" i="16"/>
  <c r="J96" i="16"/>
  <c r="I96" i="16"/>
  <c r="G96" i="16"/>
  <c r="F96" i="16"/>
  <c r="E96" i="16"/>
  <c r="B96" i="16"/>
  <c r="J95" i="16"/>
  <c r="I95" i="16"/>
  <c r="G95" i="16"/>
  <c r="F95" i="16"/>
  <c r="E95" i="16"/>
  <c r="B95" i="16"/>
  <c r="J94" i="16"/>
  <c r="I94" i="16"/>
  <c r="G94" i="16"/>
  <c r="F94" i="16"/>
  <c r="E94" i="16"/>
  <c r="B94" i="16"/>
  <c r="J93" i="16"/>
  <c r="I93" i="16"/>
  <c r="G93" i="16"/>
  <c r="F93" i="16"/>
  <c r="E93" i="16"/>
  <c r="B93" i="16"/>
  <c r="J92" i="16"/>
  <c r="I92" i="16"/>
  <c r="G92" i="16"/>
  <c r="F92" i="16"/>
  <c r="E92" i="16"/>
  <c r="B92" i="16"/>
  <c r="J91" i="16"/>
  <c r="I91" i="16"/>
  <c r="G91" i="16"/>
  <c r="F91" i="16"/>
  <c r="E91" i="16"/>
  <c r="B91" i="16"/>
  <c r="J90" i="16"/>
  <c r="I90" i="16"/>
  <c r="G90" i="16"/>
  <c r="F90" i="16"/>
  <c r="E90" i="16"/>
  <c r="B90" i="16"/>
  <c r="J89" i="16"/>
  <c r="I89" i="16"/>
  <c r="G89" i="16"/>
  <c r="F89" i="16"/>
  <c r="E89" i="16"/>
  <c r="B89" i="16"/>
  <c r="J88" i="16"/>
  <c r="I88" i="16"/>
  <c r="G88" i="16"/>
  <c r="F88" i="16"/>
  <c r="E88" i="16"/>
  <c r="B88" i="16"/>
  <c r="J87" i="16"/>
  <c r="I87" i="16"/>
  <c r="G87" i="16"/>
  <c r="F87" i="16"/>
  <c r="E87" i="16"/>
  <c r="B87" i="16"/>
  <c r="J86" i="16"/>
  <c r="I86" i="16"/>
  <c r="G86" i="16"/>
  <c r="F86" i="16"/>
  <c r="E86" i="16"/>
  <c r="B86" i="16"/>
  <c r="J85" i="16"/>
  <c r="I85" i="16"/>
  <c r="G85" i="16"/>
  <c r="F85" i="16"/>
  <c r="E85" i="16"/>
  <c r="B85" i="16"/>
  <c r="J84" i="16"/>
  <c r="I84" i="16"/>
  <c r="G84" i="16"/>
  <c r="F84" i="16"/>
  <c r="E84" i="16"/>
  <c r="B84" i="16"/>
  <c r="J83" i="16"/>
  <c r="I83" i="16"/>
  <c r="G83" i="16"/>
  <c r="F83" i="16"/>
  <c r="E83" i="16"/>
  <c r="B83" i="16"/>
  <c r="J82" i="16"/>
  <c r="I82" i="16"/>
  <c r="G82" i="16"/>
  <c r="F82" i="16"/>
  <c r="E82" i="16"/>
  <c r="B82" i="16"/>
  <c r="J81" i="16"/>
  <c r="I81" i="16"/>
  <c r="G81" i="16"/>
  <c r="F81" i="16"/>
  <c r="E81" i="16"/>
  <c r="B81" i="16"/>
  <c r="J80" i="16"/>
  <c r="I80" i="16"/>
  <c r="G80" i="16"/>
  <c r="F80" i="16"/>
  <c r="E80" i="16"/>
  <c r="B80" i="16"/>
  <c r="J79" i="16"/>
  <c r="I79" i="16"/>
  <c r="G79" i="16"/>
  <c r="F79" i="16"/>
  <c r="E79" i="16"/>
  <c r="B79" i="16"/>
  <c r="J78" i="16"/>
  <c r="I78" i="16"/>
  <c r="G78" i="16"/>
  <c r="F78" i="16"/>
  <c r="E78" i="16"/>
  <c r="B78" i="16"/>
  <c r="J77" i="16"/>
  <c r="I77" i="16"/>
  <c r="G77" i="16"/>
  <c r="F77" i="16"/>
  <c r="E77" i="16"/>
  <c r="B77" i="16"/>
  <c r="J76" i="16"/>
  <c r="I76" i="16"/>
  <c r="G76" i="16"/>
  <c r="F76" i="16"/>
  <c r="E76" i="16"/>
  <c r="B76" i="16"/>
  <c r="J75" i="16"/>
  <c r="I75" i="16"/>
  <c r="G75" i="16"/>
  <c r="F75" i="16"/>
  <c r="E75" i="16"/>
  <c r="B75" i="16"/>
  <c r="J74" i="16"/>
  <c r="I74" i="16"/>
  <c r="G74" i="16"/>
  <c r="F74" i="16"/>
  <c r="E74" i="16"/>
  <c r="B74" i="16"/>
  <c r="J73" i="16"/>
  <c r="I73" i="16"/>
  <c r="G73" i="16"/>
  <c r="F73" i="16"/>
  <c r="E73" i="16"/>
  <c r="B73" i="16"/>
  <c r="J72" i="16"/>
  <c r="I72" i="16"/>
  <c r="G72" i="16"/>
  <c r="F72" i="16"/>
  <c r="E72" i="16"/>
  <c r="B72" i="16"/>
  <c r="J71" i="16"/>
  <c r="I71" i="16"/>
  <c r="G71" i="16"/>
  <c r="F71" i="16"/>
  <c r="E71" i="16"/>
  <c r="B71" i="16"/>
  <c r="J70" i="16"/>
  <c r="I70" i="16"/>
  <c r="G70" i="16"/>
  <c r="F70" i="16"/>
  <c r="E70" i="16"/>
  <c r="B70" i="16"/>
  <c r="J69" i="16"/>
  <c r="I69" i="16"/>
  <c r="G69" i="16"/>
  <c r="F69" i="16"/>
  <c r="E69" i="16"/>
  <c r="B69" i="16"/>
  <c r="J68" i="16"/>
  <c r="I68" i="16"/>
  <c r="G68" i="16"/>
  <c r="F68" i="16"/>
  <c r="E68" i="16"/>
  <c r="B68" i="16"/>
  <c r="J67" i="16"/>
  <c r="I67" i="16"/>
  <c r="G67" i="16"/>
  <c r="F67" i="16"/>
  <c r="E67" i="16"/>
  <c r="B67" i="16"/>
  <c r="J66" i="16"/>
  <c r="I66" i="16"/>
  <c r="G66" i="16"/>
  <c r="F66" i="16"/>
  <c r="E66" i="16"/>
  <c r="B66" i="16"/>
  <c r="J65" i="16"/>
  <c r="I65" i="16"/>
  <c r="G65" i="16"/>
  <c r="F65" i="16"/>
  <c r="E65" i="16"/>
  <c r="B65" i="16"/>
  <c r="J64" i="16"/>
  <c r="I64" i="16"/>
  <c r="G64" i="16"/>
  <c r="F64" i="16"/>
  <c r="E64" i="16"/>
  <c r="B64" i="16"/>
  <c r="J63" i="16"/>
  <c r="I63" i="16"/>
  <c r="G63" i="16"/>
  <c r="F63" i="16"/>
  <c r="E63" i="16"/>
  <c r="B63" i="16"/>
  <c r="J62" i="16"/>
  <c r="I62" i="16"/>
  <c r="G62" i="16"/>
  <c r="F62" i="16"/>
  <c r="E62" i="16"/>
  <c r="B62" i="16"/>
  <c r="J61" i="16"/>
  <c r="I61" i="16"/>
  <c r="G61" i="16"/>
  <c r="F61" i="16"/>
  <c r="E61" i="16"/>
  <c r="B61" i="16"/>
  <c r="J60" i="16"/>
  <c r="I60" i="16"/>
  <c r="G60" i="16"/>
  <c r="F60" i="16"/>
  <c r="E60" i="16"/>
  <c r="B60" i="16"/>
  <c r="J59" i="16"/>
  <c r="I59" i="16"/>
  <c r="G59" i="16"/>
  <c r="F59" i="16"/>
  <c r="E59" i="16"/>
  <c r="B59" i="16"/>
  <c r="J58" i="16"/>
  <c r="I58" i="16"/>
  <c r="G58" i="16"/>
  <c r="F58" i="16"/>
  <c r="E58" i="16"/>
  <c r="B58" i="16"/>
  <c r="J57" i="16"/>
  <c r="I57" i="16"/>
  <c r="G57" i="16"/>
  <c r="F57" i="16"/>
  <c r="E57" i="16"/>
  <c r="B57" i="16"/>
  <c r="J56" i="16"/>
  <c r="I56" i="16"/>
  <c r="G56" i="16"/>
  <c r="F56" i="16"/>
  <c r="E56" i="16"/>
  <c r="B56" i="16"/>
  <c r="J55" i="16"/>
  <c r="I55" i="16"/>
  <c r="G55" i="16"/>
  <c r="F55" i="16"/>
  <c r="E55" i="16"/>
  <c r="B55" i="16"/>
  <c r="J54" i="16"/>
  <c r="I54" i="16"/>
  <c r="G54" i="16"/>
  <c r="F54" i="16"/>
  <c r="E54" i="16"/>
  <c r="B54" i="16"/>
  <c r="J53" i="16"/>
  <c r="I53" i="16"/>
  <c r="G53" i="16"/>
  <c r="F53" i="16"/>
  <c r="E53" i="16"/>
  <c r="B53" i="16"/>
  <c r="J52" i="16"/>
  <c r="I52" i="16"/>
  <c r="G52" i="16"/>
  <c r="F52" i="16"/>
  <c r="E52" i="16"/>
  <c r="B52" i="16"/>
  <c r="J51" i="16"/>
  <c r="I51" i="16"/>
  <c r="G51" i="16"/>
  <c r="F51" i="16"/>
  <c r="E51" i="16"/>
  <c r="B51" i="16"/>
  <c r="J50" i="16"/>
  <c r="I50" i="16"/>
  <c r="G50" i="16"/>
  <c r="F50" i="16"/>
  <c r="E50" i="16"/>
  <c r="B50" i="16"/>
  <c r="J49" i="16"/>
  <c r="I49" i="16"/>
  <c r="G49" i="16"/>
  <c r="F49" i="16"/>
  <c r="E49" i="16"/>
  <c r="B49" i="16"/>
  <c r="J48" i="16"/>
  <c r="I48" i="16"/>
  <c r="G48" i="16"/>
  <c r="F48" i="16"/>
  <c r="E48" i="16"/>
  <c r="B48" i="16"/>
  <c r="J47" i="16"/>
  <c r="I47" i="16"/>
  <c r="G47" i="16"/>
  <c r="F47" i="16"/>
  <c r="E47" i="16"/>
  <c r="B47" i="16"/>
  <c r="J46" i="16"/>
  <c r="I46" i="16"/>
  <c r="G46" i="16"/>
  <c r="F46" i="16"/>
  <c r="E46" i="16"/>
  <c r="B46" i="16"/>
  <c r="J45" i="16"/>
  <c r="I45" i="16"/>
  <c r="G45" i="16"/>
  <c r="F45" i="16"/>
  <c r="E45" i="16"/>
  <c r="B45" i="16"/>
  <c r="J44" i="16"/>
  <c r="I44" i="16"/>
  <c r="G44" i="16"/>
  <c r="F44" i="16"/>
  <c r="E44" i="16"/>
  <c r="B44" i="16"/>
  <c r="J43" i="16"/>
  <c r="I43" i="16"/>
  <c r="G43" i="16"/>
  <c r="F43" i="16"/>
  <c r="E43" i="16"/>
  <c r="B43" i="16"/>
  <c r="J42" i="16"/>
  <c r="I42" i="16"/>
  <c r="G42" i="16"/>
  <c r="F42" i="16"/>
  <c r="E42" i="16"/>
  <c r="B42" i="16"/>
  <c r="J41" i="16"/>
  <c r="I41" i="16"/>
  <c r="G41" i="16"/>
  <c r="F41" i="16"/>
  <c r="E41" i="16"/>
  <c r="B41" i="16"/>
  <c r="J40" i="16"/>
  <c r="I40" i="16"/>
  <c r="G40" i="16"/>
  <c r="F40" i="16"/>
  <c r="E40" i="16"/>
  <c r="B40" i="16"/>
  <c r="J39" i="16"/>
  <c r="I39" i="16"/>
  <c r="G39" i="16"/>
  <c r="F39" i="16"/>
  <c r="E39" i="16"/>
  <c r="B39" i="16"/>
  <c r="J38" i="16"/>
  <c r="I38" i="16"/>
  <c r="G38" i="16"/>
  <c r="F38" i="16"/>
  <c r="E38" i="16"/>
  <c r="B38" i="16"/>
  <c r="J37" i="16"/>
  <c r="I37" i="16"/>
  <c r="G37" i="16"/>
  <c r="F37" i="16"/>
  <c r="E37" i="16"/>
  <c r="B37" i="16"/>
  <c r="J36" i="16"/>
  <c r="I36" i="16"/>
  <c r="G36" i="16"/>
  <c r="F36" i="16"/>
  <c r="E36" i="16"/>
  <c r="B36" i="16"/>
  <c r="J35" i="16"/>
  <c r="I35" i="16"/>
  <c r="G35" i="16"/>
  <c r="F35" i="16"/>
  <c r="E35" i="16"/>
  <c r="B35" i="16"/>
  <c r="J34" i="16"/>
  <c r="I34" i="16"/>
  <c r="G34" i="16"/>
  <c r="F34" i="16"/>
  <c r="E34" i="16"/>
  <c r="B34" i="16"/>
  <c r="J33" i="16"/>
  <c r="I33" i="16"/>
  <c r="G33" i="16"/>
  <c r="F33" i="16"/>
  <c r="E33" i="16"/>
  <c r="B33" i="16"/>
  <c r="J32" i="16"/>
  <c r="I32" i="16"/>
  <c r="G32" i="16"/>
  <c r="F32" i="16"/>
  <c r="E32" i="16"/>
  <c r="B32" i="16"/>
  <c r="J31" i="16"/>
  <c r="I31" i="16"/>
  <c r="G31" i="16"/>
  <c r="F31" i="16"/>
  <c r="E31" i="16"/>
  <c r="B31" i="16"/>
  <c r="J30" i="16"/>
  <c r="I30" i="16"/>
  <c r="G30" i="16"/>
  <c r="F30" i="16"/>
  <c r="E30" i="16"/>
  <c r="B30" i="16"/>
  <c r="J29" i="16"/>
  <c r="I29" i="16"/>
  <c r="G29" i="16"/>
  <c r="F29" i="16"/>
  <c r="E29" i="16"/>
  <c r="B29" i="16"/>
  <c r="J28" i="16"/>
  <c r="I28" i="16"/>
  <c r="G28" i="16"/>
  <c r="F28" i="16"/>
  <c r="E28" i="16"/>
  <c r="B28" i="16"/>
  <c r="J27" i="16"/>
  <c r="I27" i="16"/>
  <c r="G27" i="16"/>
  <c r="F27" i="16"/>
  <c r="E27" i="16"/>
  <c r="B27" i="16"/>
  <c r="J26" i="16"/>
  <c r="I26" i="16"/>
  <c r="G26" i="16"/>
  <c r="F26" i="16"/>
  <c r="E26" i="16"/>
  <c r="B26" i="16"/>
  <c r="J25" i="16"/>
  <c r="I25" i="16"/>
  <c r="G25" i="16"/>
  <c r="F25" i="16"/>
  <c r="E25" i="16"/>
  <c r="B25" i="16"/>
  <c r="J24" i="16"/>
  <c r="I24" i="16"/>
  <c r="G24" i="16"/>
  <c r="F24" i="16"/>
  <c r="E24" i="16"/>
  <c r="B24" i="16"/>
  <c r="J23" i="16"/>
  <c r="I23" i="16"/>
  <c r="G23" i="16"/>
  <c r="F23" i="16"/>
  <c r="E23" i="16"/>
  <c r="B23" i="16"/>
  <c r="J22" i="16"/>
  <c r="I22" i="16"/>
  <c r="G22" i="16"/>
  <c r="F22" i="16"/>
  <c r="E22" i="16"/>
  <c r="B22" i="16"/>
  <c r="J21" i="16"/>
  <c r="I21" i="16"/>
  <c r="G21" i="16"/>
  <c r="F21" i="16"/>
  <c r="E21" i="16"/>
  <c r="B21" i="16"/>
  <c r="J20" i="16"/>
  <c r="I20" i="16"/>
  <c r="G20" i="16"/>
  <c r="F20" i="16"/>
  <c r="E20" i="16"/>
  <c r="B20" i="16"/>
  <c r="J19" i="16"/>
  <c r="I19" i="16"/>
  <c r="G19" i="16"/>
  <c r="F19" i="16"/>
  <c r="E19" i="16"/>
  <c r="B19" i="16"/>
  <c r="J18" i="16"/>
  <c r="I18" i="16"/>
  <c r="G18" i="16"/>
  <c r="F18" i="16"/>
  <c r="E18" i="16"/>
  <c r="B18" i="16"/>
  <c r="J17" i="16"/>
  <c r="I17" i="16"/>
  <c r="G17" i="16"/>
  <c r="F17" i="16"/>
  <c r="E17" i="16"/>
  <c r="B17" i="16"/>
  <c r="J16" i="16"/>
  <c r="I16" i="16"/>
  <c r="G16" i="16"/>
  <c r="F16" i="16"/>
  <c r="E16" i="16"/>
  <c r="B16" i="16"/>
  <c r="J15" i="16"/>
  <c r="I15" i="16"/>
  <c r="G15" i="16"/>
  <c r="F15" i="16"/>
  <c r="E15" i="16"/>
  <c r="B15" i="16"/>
  <c r="J14" i="16"/>
  <c r="I14" i="16"/>
  <c r="G14" i="16"/>
  <c r="F14" i="16"/>
  <c r="E14" i="16"/>
  <c r="B14" i="16"/>
  <c r="J13" i="16"/>
  <c r="I13" i="16"/>
  <c r="G13" i="16"/>
  <c r="F13" i="16"/>
  <c r="E13" i="16"/>
  <c r="B13" i="16"/>
  <c r="J12" i="16"/>
  <c r="I12" i="16"/>
  <c r="G12" i="16"/>
  <c r="F12" i="16"/>
  <c r="E12" i="16"/>
  <c r="B12" i="16"/>
  <c r="J11" i="16"/>
  <c r="I11" i="16"/>
  <c r="G11" i="16"/>
  <c r="F11" i="16"/>
  <c r="E11" i="16"/>
  <c r="B11" i="16"/>
  <c r="J10" i="16"/>
  <c r="I10" i="16"/>
  <c r="G10" i="16"/>
  <c r="F10" i="16"/>
  <c r="E10" i="16"/>
  <c r="B10" i="16"/>
  <c r="J9" i="16"/>
  <c r="I9" i="16"/>
  <c r="G9" i="16"/>
  <c r="F9" i="16"/>
  <c r="E9" i="16"/>
  <c r="B9" i="16"/>
  <c r="J8" i="16"/>
  <c r="I8" i="16"/>
  <c r="G8" i="16"/>
  <c r="F8" i="16"/>
  <c r="E8" i="16"/>
  <c r="B8" i="16"/>
  <c r="J7" i="16"/>
  <c r="I7" i="16"/>
  <c r="G7" i="16"/>
  <c r="F7" i="16"/>
  <c r="E7" i="16"/>
  <c r="B7" i="16"/>
  <c r="J6" i="16"/>
  <c r="I6" i="16"/>
  <c r="G6" i="16"/>
  <c r="F6" i="16"/>
  <c r="E6" i="16"/>
  <c r="B6" i="16"/>
  <c r="J5" i="16"/>
  <c r="I5" i="16"/>
  <c r="G5" i="16"/>
  <c r="F5" i="16"/>
  <c r="E5" i="16"/>
  <c r="B5" i="16"/>
  <c r="K153" i="19"/>
  <c r="J153" i="19"/>
  <c r="I153" i="19"/>
  <c r="H153" i="19"/>
  <c r="B153" i="19"/>
  <c r="K152" i="19"/>
  <c r="J152" i="19"/>
  <c r="I152" i="19"/>
  <c r="H152" i="19"/>
  <c r="B152" i="19"/>
  <c r="K151" i="19"/>
  <c r="J151" i="19"/>
  <c r="I151" i="19"/>
  <c r="H151" i="19"/>
  <c r="B151" i="19"/>
  <c r="K150" i="19"/>
  <c r="J150" i="19"/>
  <c r="I150" i="19"/>
  <c r="H150" i="19"/>
  <c r="B150" i="19"/>
  <c r="K149" i="19"/>
  <c r="J149" i="19"/>
  <c r="I149" i="19"/>
  <c r="H149" i="19"/>
  <c r="B149" i="19"/>
  <c r="K148" i="19"/>
  <c r="J148" i="19"/>
  <c r="I148" i="19"/>
  <c r="H148" i="19"/>
  <c r="B148" i="19"/>
  <c r="K147" i="19"/>
  <c r="J147" i="19"/>
  <c r="I147" i="19"/>
  <c r="H147" i="19"/>
  <c r="B147" i="19"/>
  <c r="K146" i="19"/>
  <c r="J146" i="19"/>
  <c r="I146" i="19"/>
  <c r="H146" i="19"/>
  <c r="B146" i="19"/>
  <c r="K145" i="19"/>
  <c r="J145" i="19"/>
  <c r="I145" i="19"/>
  <c r="H145" i="19"/>
  <c r="B145" i="19"/>
  <c r="K144" i="19"/>
  <c r="J144" i="19"/>
  <c r="I144" i="19"/>
  <c r="H144" i="19"/>
  <c r="B144" i="19"/>
  <c r="K143" i="19"/>
  <c r="J143" i="19"/>
  <c r="I143" i="19"/>
  <c r="H143" i="19"/>
  <c r="B143" i="19"/>
  <c r="K142" i="19"/>
  <c r="J142" i="19"/>
  <c r="I142" i="19"/>
  <c r="H142" i="19"/>
  <c r="B142" i="19"/>
  <c r="K141" i="19"/>
  <c r="J141" i="19"/>
  <c r="I141" i="19"/>
  <c r="H141" i="19"/>
  <c r="B141" i="19"/>
  <c r="K140" i="19"/>
  <c r="J140" i="19"/>
  <c r="I140" i="19"/>
  <c r="H140" i="19"/>
  <c r="B140" i="19"/>
  <c r="K139" i="19"/>
  <c r="J139" i="19"/>
  <c r="I139" i="19"/>
  <c r="H139" i="19"/>
  <c r="B139" i="19"/>
  <c r="K138" i="19"/>
  <c r="J138" i="19"/>
  <c r="I138" i="19"/>
  <c r="H138" i="19"/>
  <c r="B138" i="19"/>
  <c r="K137" i="19"/>
  <c r="J137" i="19"/>
  <c r="I137" i="19"/>
  <c r="H137" i="19"/>
  <c r="B137" i="19"/>
  <c r="K136" i="19"/>
  <c r="J136" i="19"/>
  <c r="I136" i="19"/>
  <c r="H136" i="19"/>
  <c r="B136" i="19"/>
  <c r="K135" i="19"/>
  <c r="J135" i="19"/>
  <c r="I135" i="19"/>
  <c r="H135" i="19"/>
  <c r="B135" i="19"/>
  <c r="K134" i="19"/>
  <c r="J134" i="19"/>
  <c r="I134" i="19"/>
  <c r="H134" i="19"/>
  <c r="B134" i="19"/>
  <c r="K133" i="19"/>
  <c r="J133" i="19"/>
  <c r="I133" i="19"/>
  <c r="H133" i="19"/>
  <c r="B133" i="19"/>
  <c r="K132" i="19"/>
  <c r="J132" i="19"/>
  <c r="I132" i="19"/>
  <c r="H132" i="19"/>
  <c r="B132" i="19"/>
  <c r="K131" i="19"/>
  <c r="J131" i="19"/>
  <c r="I131" i="19"/>
  <c r="H131" i="19"/>
  <c r="B131" i="19"/>
  <c r="K130" i="19"/>
  <c r="J130" i="19"/>
  <c r="I130" i="19"/>
  <c r="H130" i="19"/>
  <c r="B130" i="19"/>
  <c r="K129" i="19"/>
  <c r="J129" i="19"/>
  <c r="I129" i="19"/>
  <c r="H129" i="19"/>
  <c r="B129" i="19"/>
  <c r="K128" i="19"/>
  <c r="J128" i="19"/>
  <c r="I128" i="19"/>
  <c r="H128" i="19"/>
  <c r="B128" i="19"/>
  <c r="K127" i="19"/>
  <c r="J127" i="19"/>
  <c r="I127" i="19"/>
  <c r="H127" i="19"/>
  <c r="B127" i="19"/>
  <c r="K126" i="19"/>
  <c r="J126" i="19"/>
  <c r="I126" i="19"/>
  <c r="H126" i="19"/>
  <c r="B126" i="19"/>
  <c r="K125" i="19"/>
  <c r="J125" i="19"/>
  <c r="I125" i="19"/>
  <c r="H125" i="19"/>
  <c r="B125" i="19"/>
  <c r="K124" i="19"/>
  <c r="J124" i="19"/>
  <c r="I124" i="19"/>
  <c r="H124" i="19"/>
  <c r="B124" i="19"/>
  <c r="K123" i="19"/>
  <c r="J123" i="19"/>
  <c r="I123" i="19"/>
  <c r="H123" i="19"/>
  <c r="B123" i="19"/>
  <c r="K122" i="19"/>
  <c r="J122" i="19"/>
  <c r="I122" i="19"/>
  <c r="H122" i="19"/>
  <c r="B122" i="19"/>
  <c r="K121" i="19"/>
  <c r="J121" i="19"/>
  <c r="I121" i="19"/>
  <c r="H121" i="19"/>
  <c r="B121" i="19"/>
  <c r="K120" i="19"/>
  <c r="J120" i="19"/>
  <c r="I120" i="19"/>
  <c r="H120" i="19"/>
  <c r="B120" i="19"/>
  <c r="K119" i="19"/>
  <c r="J119" i="19"/>
  <c r="I119" i="19"/>
  <c r="H119" i="19"/>
  <c r="B119" i="19"/>
  <c r="K118" i="19"/>
  <c r="J118" i="19"/>
  <c r="I118" i="19"/>
  <c r="H118" i="19"/>
  <c r="B118" i="19"/>
  <c r="K117" i="19"/>
  <c r="J117" i="19"/>
  <c r="I117" i="19"/>
  <c r="H117" i="19"/>
  <c r="B117" i="19"/>
  <c r="K116" i="19"/>
  <c r="J116" i="19"/>
  <c r="I116" i="19"/>
  <c r="H116" i="19"/>
  <c r="B116" i="19"/>
  <c r="K115" i="19"/>
  <c r="J115" i="19"/>
  <c r="I115" i="19"/>
  <c r="H115" i="19"/>
  <c r="B115" i="19"/>
  <c r="K114" i="19"/>
  <c r="J114" i="19"/>
  <c r="I114" i="19"/>
  <c r="H114" i="19"/>
  <c r="B114" i="19"/>
  <c r="K113" i="19"/>
  <c r="J113" i="19"/>
  <c r="I113" i="19"/>
  <c r="H113" i="19"/>
  <c r="B113" i="19"/>
  <c r="K112" i="19"/>
  <c r="J112" i="19"/>
  <c r="I112" i="19"/>
  <c r="H112" i="19"/>
  <c r="B112" i="19"/>
  <c r="K111" i="19"/>
  <c r="J111" i="19"/>
  <c r="I111" i="19"/>
  <c r="H111" i="19"/>
  <c r="B111" i="19"/>
  <c r="K110" i="19"/>
  <c r="J110" i="19"/>
  <c r="I110" i="19"/>
  <c r="H110" i="19"/>
  <c r="B110" i="19"/>
  <c r="K109" i="19"/>
  <c r="J109" i="19"/>
  <c r="I109" i="19"/>
  <c r="H109" i="19"/>
  <c r="B109" i="19"/>
  <c r="K108" i="19"/>
  <c r="J108" i="19"/>
  <c r="I108" i="19"/>
  <c r="H108" i="19"/>
  <c r="B108" i="19"/>
  <c r="K107" i="19"/>
  <c r="J107" i="19"/>
  <c r="I107" i="19"/>
  <c r="H107" i="19"/>
  <c r="B107" i="19"/>
  <c r="K106" i="19"/>
  <c r="J106" i="19"/>
  <c r="I106" i="19"/>
  <c r="H106" i="19"/>
  <c r="B106" i="19"/>
  <c r="K105" i="19"/>
  <c r="J105" i="19"/>
  <c r="I105" i="19"/>
  <c r="H105" i="19"/>
  <c r="B105" i="19"/>
  <c r="K104" i="19"/>
  <c r="J104" i="19"/>
  <c r="I104" i="19"/>
  <c r="H104" i="19"/>
  <c r="B104" i="19"/>
  <c r="K103" i="19"/>
  <c r="J103" i="19"/>
  <c r="I103" i="19"/>
  <c r="H103" i="19"/>
  <c r="B103" i="19"/>
  <c r="K102" i="19"/>
  <c r="J102" i="19"/>
  <c r="I102" i="19"/>
  <c r="H102" i="19"/>
  <c r="B102" i="19"/>
  <c r="K101" i="19"/>
  <c r="J101" i="19"/>
  <c r="I101" i="19"/>
  <c r="H101" i="19"/>
  <c r="B101" i="19"/>
  <c r="K100" i="19"/>
  <c r="J100" i="19"/>
  <c r="I100" i="19"/>
  <c r="H100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J291" i="41"/>
  <c r="J290" i="41"/>
  <c r="J289" i="41"/>
  <c r="J288" i="41"/>
  <c r="J287" i="41"/>
  <c r="J286" i="41"/>
  <c r="J285" i="41"/>
  <c r="J284" i="41"/>
  <c r="J283" i="41"/>
  <c r="J282" i="41"/>
  <c r="J281" i="41"/>
  <c r="J280" i="41"/>
  <c r="J279" i="41"/>
  <c r="J278" i="41"/>
  <c r="J277" i="41"/>
  <c r="J276" i="41"/>
  <c r="J275" i="41"/>
  <c r="J274" i="41"/>
  <c r="J273" i="41"/>
  <c r="J272" i="41"/>
  <c r="J271" i="41"/>
  <c r="J270" i="41"/>
  <c r="J269" i="41"/>
  <c r="J268" i="41"/>
  <c r="J267" i="41"/>
  <c r="J266" i="41"/>
  <c r="J265" i="41"/>
  <c r="J264" i="41"/>
  <c r="J263" i="41"/>
  <c r="J262" i="41"/>
  <c r="J261" i="41"/>
  <c r="J260" i="41"/>
  <c r="J259" i="41"/>
  <c r="J258" i="41"/>
  <c r="J257" i="41"/>
  <c r="J256" i="41"/>
  <c r="J255" i="41"/>
  <c r="J254" i="41"/>
  <c r="J253" i="41"/>
  <c r="J252" i="41"/>
  <c r="J251" i="41"/>
  <c r="J250" i="41"/>
  <c r="J249" i="41"/>
  <c r="J248" i="41"/>
  <c r="J247" i="41"/>
  <c r="J246" i="41"/>
  <c r="J245" i="41"/>
  <c r="J244" i="41"/>
  <c r="J243" i="41"/>
  <c r="J242" i="41"/>
  <c r="J241" i="41"/>
  <c r="J240" i="41"/>
  <c r="J239" i="41"/>
  <c r="J238" i="41"/>
  <c r="J237" i="41"/>
  <c r="J236" i="41"/>
  <c r="J235" i="41"/>
  <c r="J234" i="41"/>
  <c r="J233" i="41"/>
  <c r="J232" i="41"/>
  <c r="J231" i="41"/>
  <c r="J230" i="41"/>
  <c r="J229" i="41"/>
  <c r="J228" i="41"/>
  <c r="J227" i="41"/>
  <c r="J226" i="41"/>
  <c r="J225" i="41"/>
  <c r="J224" i="41"/>
  <c r="J223" i="41"/>
  <c r="J222" i="41"/>
  <c r="J221" i="41"/>
  <c r="J220" i="41"/>
  <c r="J219" i="41"/>
  <c r="J218" i="41"/>
  <c r="J217" i="41"/>
  <c r="J216" i="41"/>
  <c r="J215" i="41"/>
  <c r="J214" i="41"/>
  <c r="J213" i="41"/>
  <c r="J212" i="41"/>
  <c r="J211" i="41"/>
  <c r="J210" i="41"/>
  <c r="J209" i="41"/>
  <c r="J208" i="41"/>
  <c r="J207" i="41"/>
  <c r="J206" i="41"/>
  <c r="J205" i="41"/>
  <c r="J204" i="41"/>
  <c r="J203" i="41"/>
  <c r="J202" i="41"/>
  <c r="J201" i="41"/>
  <c r="J200" i="41"/>
  <c r="J199" i="41"/>
  <c r="J198" i="41"/>
  <c r="J197" i="41"/>
  <c r="J196" i="41"/>
  <c r="J195" i="41"/>
  <c r="J194" i="41"/>
  <c r="J193" i="41"/>
  <c r="J192" i="41"/>
  <c r="J191" i="41"/>
  <c r="J190" i="41"/>
  <c r="J189" i="41"/>
  <c r="J188" i="41"/>
  <c r="J187" i="41"/>
  <c r="J186" i="41"/>
  <c r="J185" i="41"/>
  <c r="J184" i="41"/>
  <c r="J183" i="41"/>
  <c r="J182" i="41"/>
  <c r="J181" i="41"/>
  <c r="J180" i="41"/>
  <c r="J179" i="41"/>
  <c r="J178" i="41"/>
  <c r="J177" i="41"/>
  <c r="J176" i="41"/>
  <c r="J175" i="41"/>
  <c r="J174" i="41"/>
  <c r="J173" i="41"/>
  <c r="J172" i="41"/>
  <c r="J171" i="41"/>
  <c r="J170" i="41"/>
  <c r="J169" i="41"/>
  <c r="J168" i="41"/>
  <c r="J167" i="41"/>
  <c r="J166" i="41"/>
  <c r="J165" i="41"/>
  <c r="J164" i="41"/>
  <c r="J163" i="41"/>
  <c r="J162" i="41"/>
  <c r="J161" i="41"/>
  <c r="J160" i="41"/>
  <c r="J159" i="41"/>
  <c r="J158" i="41"/>
  <c r="J157" i="41"/>
  <c r="J156" i="41"/>
  <c r="J155" i="41"/>
  <c r="J154" i="41"/>
  <c r="J153" i="41"/>
  <c r="J152" i="41"/>
  <c r="J151" i="41"/>
  <c r="J150" i="41"/>
  <c r="J149" i="41"/>
  <c r="J148" i="41"/>
  <c r="J147" i="41"/>
  <c r="J146" i="41"/>
  <c r="J145" i="41"/>
  <c r="J144" i="41"/>
  <c r="J143" i="41"/>
  <c r="J142" i="41"/>
  <c r="J141" i="41"/>
  <c r="J140" i="41"/>
  <c r="J139" i="41"/>
  <c r="J138" i="41"/>
  <c r="J137" i="41"/>
  <c r="J136" i="41"/>
  <c r="J135" i="41"/>
  <c r="J134" i="41"/>
  <c r="J133" i="41"/>
  <c r="J132" i="41"/>
  <c r="J131" i="41"/>
  <c r="J130" i="41"/>
  <c r="J129" i="41"/>
  <c r="J128" i="41"/>
  <c r="J127" i="41"/>
  <c r="J126" i="41"/>
  <c r="J125" i="41"/>
  <c r="J124" i="41"/>
  <c r="J123" i="41"/>
  <c r="J122" i="41"/>
  <c r="J121" i="41"/>
  <c r="J120" i="41"/>
  <c r="J119" i="41"/>
  <c r="J118" i="41"/>
  <c r="J117" i="41"/>
  <c r="J116" i="41"/>
  <c r="J115" i="41"/>
  <c r="J114" i="41"/>
  <c r="J113" i="41"/>
  <c r="J112" i="41"/>
  <c r="J111" i="41"/>
  <c r="J110" i="41"/>
  <c r="J109" i="41"/>
  <c r="J108" i="41"/>
  <c r="J107" i="41"/>
  <c r="J106" i="41"/>
  <c r="J105" i="41"/>
  <c r="J104" i="41"/>
  <c r="J103" i="41"/>
  <c r="J102" i="41"/>
  <c r="J101" i="41"/>
  <c r="J100" i="41"/>
  <c r="J99" i="41"/>
  <c r="J98" i="41"/>
  <c r="J97" i="41"/>
  <c r="J96" i="41"/>
  <c r="J95" i="41"/>
  <c r="J94" i="41"/>
  <c r="J93" i="41"/>
  <c r="J92" i="41"/>
  <c r="J91" i="41"/>
  <c r="J90" i="41"/>
  <c r="J89" i="41"/>
  <c r="J88" i="41"/>
  <c r="J87" i="41"/>
  <c r="J86" i="41"/>
  <c r="J85" i="41"/>
  <c r="J84" i="41"/>
  <c r="J83" i="41"/>
  <c r="J82" i="41"/>
  <c r="J81" i="41"/>
  <c r="J80" i="41"/>
  <c r="J79" i="41"/>
  <c r="J78" i="41"/>
  <c r="J77" i="41"/>
  <c r="J76" i="41"/>
  <c r="J75" i="41"/>
  <c r="J74" i="41"/>
  <c r="J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M21" i="41"/>
  <c r="J21" i="41"/>
  <c r="M20" i="41"/>
  <c r="J20" i="41"/>
  <c r="M19" i="41"/>
  <c r="J19" i="41"/>
  <c r="M18" i="41"/>
  <c r="J18" i="41"/>
  <c r="M17" i="41"/>
  <c r="J17" i="41"/>
  <c r="M16" i="41"/>
  <c r="J16" i="41"/>
  <c r="M15" i="41"/>
  <c r="J15" i="41"/>
  <c r="M14" i="41"/>
  <c r="J14" i="41"/>
  <c r="M13" i="41"/>
  <c r="J13" i="41"/>
  <c r="M12" i="41"/>
  <c r="J12" i="41"/>
  <c r="M11" i="41"/>
  <c r="J11" i="41"/>
  <c r="M10" i="41"/>
  <c r="J10" i="41"/>
  <c r="M9" i="41"/>
  <c r="J9" i="41"/>
  <c r="M8" i="41"/>
  <c r="J8" i="41"/>
  <c r="J7" i="41"/>
  <c r="J6" i="41"/>
  <c r="J5" i="41"/>
  <c r="E416" i="17"/>
  <c r="H342" i="17"/>
  <c r="H341" i="17"/>
  <c r="H340" i="17"/>
  <c r="H339" i="17"/>
  <c r="H338" i="17"/>
  <c r="H337" i="17"/>
  <c r="H336" i="17"/>
  <c r="H334" i="17"/>
  <c r="H333" i="17"/>
  <c r="H332" i="17"/>
  <c r="H331" i="17"/>
  <c r="H330" i="17"/>
  <c r="H329" i="17"/>
  <c r="H328" i="17"/>
  <c r="H326" i="17"/>
  <c r="H325" i="17"/>
  <c r="H324" i="17"/>
  <c r="H323" i="17"/>
  <c r="H322" i="17"/>
  <c r="H320" i="17"/>
  <c r="H319" i="17"/>
  <c r="H317" i="17"/>
  <c r="H316" i="17"/>
  <c r="H315" i="17"/>
  <c r="H314" i="17"/>
  <c r="H313" i="17"/>
  <c r="H311" i="17"/>
  <c r="H310" i="17"/>
  <c r="H309" i="17"/>
  <c r="H308" i="17"/>
  <c r="H307" i="17"/>
  <c r="H306" i="17"/>
  <c r="H305" i="17"/>
  <c r="H303" i="17"/>
  <c r="H302" i="17"/>
  <c r="H301" i="17"/>
  <c r="H300" i="17"/>
  <c r="H298" i="17"/>
  <c r="H297" i="17"/>
  <c r="H296" i="17"/>
  <c r="H295" i="17"/>
  <c r="H294" i="17"/>
  <c r="H292" i="17"/>
  <c r="H291" i="17"/>
  <c r="H290" i="17"/>
  <c r="H289" i="17"/>
  <c r="H288" i="17"/>
  <c r="H287" i="17"/>
  <c r="H285" i="17"/>
  <c r="H284" i="17"/>
  <c r="H283" i="17"/>
  <c r="H282" i="17"/>
  <c r="H281" i="17"/>
  <c r="H280" i="17"/>
  <c r="H279" i="17"/>
  <c r="H278" i="17"/>
  <c r="H276" i="17"/>
  <c r="H275" i="17"/>
  <c r="H274" i="17"/>
  <c r="H273" i="17"/>
  <c r="H272" i="17"/>
  <c r="H270" i="17"/>
  <c r="H269" i="17"/>
  <c r="H268" i="17"/>
  <c r="H267" i="17"/>
  <c r="H266" i="17"/>
  <c r="H265" i="17"/>
  <c r="H264" i="17"/>
  <c r="H263" i="17"/>
  <c r="H262" i="17"/>
  <c r="H260" i="17"/>
  <c r="H259" i="17"/>
  <c r="H258" i="17"/>
  <c r="H257" i="17"/>
  <c r="H256" i="17"/>
  <c r="H255" i="17"/>
  <c r="H254" i="17"/>
  <c r="H253" i="17"/>
  <c r="H252" i="17"/>
  <c r="H251" i="17"/>
  <c r="H250" i="17"/>
  <c r="H248" i="17"/>
  <c r="H247" i="17"/>
  <c r="H246" i="17"/>
  <c r="H245" i="17"/>
  <c r="H244" i="17"/>
  <c r="H243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0" i="17"/>
  <c r="H219" i="17"/>
  <c r="H218" i="17"/>
  <c r="H217" i="17"/>
  <c r="H216" i="17"/>
  <c r="H215" i="17"/>
  <c r="H214" i="17"/>
  <c r="H212" i="17"/>
  <c r="H211" i="17"/>
  <c r="H210" i="17"/>
  <c r="H209" i="17"/>
  <c r="H208" i="17"/>
  <c r="H207" i="17"/>
  <c r="H205" i="17"/>
  <c r="H204" i="17"/>
  <c r="H203" i="17"/>
  <c r="H202" i="17"/>
  <c r="H201" i="17"/>
  <c r="H200" i="17"/>
  <c r="H199" i="17"/>
  <c r="H198" i="17"/>
  <c r="H196" i="17"/>
  <c r="H195" i="17"/>
  <c r="H194" i="17"/>
  <c r="H192" i="17"/>
  <c r="H190" i="17"/>
  <c r="H189" i="17"/>
  <c r="H188" i="17"/>
  <c r="H187" i="17"/>
  <c r="H186" i="17"/>
  <c r="H184" i="17"/>
  <c r="H183" i="17"/>
  <c r="H182" i="17"/>
  <c r="H181" i="17"/>
  <c r="H180" i="17"/>
  <c r="H178" i="17"/>
  <c r="H177" i="17"/>
  <c r="H176" i="17"/>
  <c r="H175" i="17"/>
  <c r="H174" i="17"/>
  <c r="H173" i="17"/>
  <c r="H172" i="17"/>
  <c r="K21" i="17" s="1"/>
  <c r="H171" i="17"/>
  <c r="H170" i="17"/>
  <c r="H169" i="17"/>
  <c r="H168" i="17"/>
  <c r="H167" i="17"/>
  <c r="H166" i="17"/>
  <c r="H165" i="17"/>
  <c r="H163" i="17"/>
  <c r="H162" i="17"/>
  <c r="H161" i="17"/>
  <c r="H160" i="17"/>
  <c r="H159" i="17"/>
  <c r="H158" i="17"/>
  <c r="H157" i="17"/>
  <c r="H156" i="17"/>
  <c r="H154" i="17"/>
  <c r="H153" i="17"/>
  <c r="H152" i="17"/>
  <c r="H151" i="17"/>
  <c r="H150" i="17"/>
  <c r="H149" i="17"/>
  <c r="H147" i="17"/>
  <c r="H146" i="17"/>
  <c r="H145" i="17"/>
  <c r="H144" i="17"/>
  <c r="H143" i="17"/>
  <c r="H142" i="17"/>
  <c r="H140" i="17"/>
  <c r="H139" i="17"/>
  <c r="H138" i="17"/>
  <c r="H137" i="17"/>
  <c r="H136" i="17"/>
  <c r="H135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7" i="17"/>
  <c r="H116" i="17"/>
  <c r="H115" i="17"/>
  <c r="H114" i="17"/>
  <c r="H112" i="17"/>
  <c r="H111" i="17"/>
  <c r="H110" i="17"/>
  <c r="H109" i="17"/>
  <c r="H108" i="17"/>
  <c r="H106" i="17"/>
  <c r="H105" i="17"/>
  <c r="H104" i="17"/>
  <c r="H103" i="17"/>
  <c r="H101" i="17"/>
  <c r="H100" i="17"/>
  <c r="H99" i="17"/>
  <c r="H98" i="17"/>
  <c r="H97" i="17"/>
  <c r="H95" i="17"/>
  <c r="H94" i="17"/>
  <c r="H93" i="17"/>
  <c r="H92" i="17"/>
  <c r="H90" i="17"/>
  <c r="H89" i="17"/>
  <c r="H88" i="17"/>
  <c r="H87" i="17"/>
  <c r="H86" i="17"/>
  <c r="H85" i="17"/>
  <c r="H83" i="17"/>
  <c r="H82" i="17"/>
  <c r="H81" i="17"/>
  <c r="H80" i="17"/>
  <c r="H79" i="17"/>
  <c r="H78" i="17"/>
  <c r="H77" i="17"/>
  <c r="H76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6" i="17"/>
  <c r="H55" i="17"/>
  <c r="H54" i="17"/>
  <c r="H53" i="17"/>
  <c r="H52" i="17"/>
  <c r="H51" i="17"/>
  <c r="H50" i="17"/>
  <c r="H49" i="17"/>
  <c r="H48" i="17"/>
  <c r="H46" i="17"/>
  <c r="H45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6" i="17"/>
  <c r="H25" i="17"/>
  <c r="H24" i="17"/>
  <c r="H23" i="17"/>
  <c r="H22" i="17"/>
  <c r="H20" i="17"/>
  <c r="H19" i="17"/>
  <c r="H18" i="17"/>
  <c r="H17" i="17"/>
  <c r="H16" i="17"/>
  <c r="H14" i="17"/>
  <c r="H13" i="17"/>
  <c r="H11" i="17"/>
  <c r="H10" i="17"/>
  <c r="H8" i="17"/>
  <c r="H6" i="17"/>
  <c r="H5" i="17"/>
  <c r="H88" i="13"/>
  <c r="D88" i="13"/>
  <c r="H87" i="13"/>
  <c r="D87" i="13"/>
  <c r="H86" i="13"/>
  <c r="D86" i="13"/>
  <c r="H85" i="13"/>
  <c r="D85" i="13"/>
  <c r="H84" i="13"/>
  <c r="D84" i="13"/>
  <c r="H83" i="13"/>
  <c r="D83" i="13"/>
  <c r="H82" i="13"/>
  <c r="D82" i="13"/>
  <c r="H81" i="13"/>
  <c r="D81" i="13"/>
  <c r="H80" i="13"/>
  <c r="D80" i="13"/>
  <c r="H79" i="13"/>
  <c r="D79" i="13"/>
  <c r="H78" i="13"/>
  <c r="D78" i="13"/>
  <c r="H77" i="13"/>
  <c r="D77" i="13"/>
  <c r="H76" i="13"/>
  <c r="D76" i="13"/>
  <c r="H75" i="13"/>
  <c r="D75" i="13"/>
  <c r="H74" i="13"/>
  <c r="D74" i="13"/>
  <c r="H73" i="13"/>
  <c r="H72" i="13"/>
  <c r="D72" i="13"/>
  <c r="H71" i="13"/>
  <c r="D71" i="13"/>
  <c r="H70" i="13"/>
  <c r="D70" i="13"/>
  <c r="H69" i="13"/>
  <c r="D69" i="13"/>
  <c r="H68" i="13"/>
  <c r="D68" i="13"/>
  <c r="H67" i="13"/>
  <c r="D67" i="13"/>
  <c r="H66" i="13"/>
  <c r="D66" i="13"/>
  <c r="H65" i="13"/>
  <c r="D65" i="13"/>
  <c r="H64" i="13"/>
  <c r="D64" i="13"/>
  <c r="H63" i="13"/>
  <c r="D63" i="13"/>
  <c r="D62" i="13"/>
  <c r="D61" i="13"/>
  <c r="H60" i="13"/>
  <c r="D60" i="13"/>
  <c r="H59" i="13"/>
  <c r="D59" i="13"/>
  <c r="H58" i="13"/>
  <c r="D58" i="13"/>
  <c r="H57" i="13"/>
  <c r="D57" i="13"/>
  <c r="H56" i="13"/>
  <c r="D56" i="13"/>
  <c r="H55" i="13"/>
  <c r="D55" i="13"/>
  <c r="H54" i="13"/>
  <c r="D54" i="13"/>
  <c r="H53" i="13"/>
  <c r="D53" i="13"/>
  <c r="H52" i="13"/>
  <c r="D52" i="13"/>
  <c r="H51" i="13"/>
  <c r="D51" i="13"/>
  <c r="H50" i="13"/>
  <c r="D50" i="13"/>
  <c r="H49" i="13"/>
  <c r="D49" i="13"/>
  <c r="H48" i="13"/>
  <c r="D48" i="13"/>
  <c r="H47" i="13"/>
  <c r="D47" i="13"/>
  <c r="H46" i="13"/>
  <c r="D46" i="13"/>
  <c r="H45" i="13"/>
  <c r="D45" i="13"/>
  <c r="H44" i="13"/>
  <c r="D44" i="13"/>
  <c r="H43" i="13"/>
  <c r="D43" i="13"/>
  <c r="H42" i="13"/>
  <c r="D42" i="13"/>
  <c r="H41" i="13"/>
  <c r="D41" i="13"/>
  <c r="H40" i="13"/>
  <c r="D40" i="13"/>
  <c r="H39" i="13"/>
  <c r="D39" i="13"/>
  <c r="H38" i="13"/>
  <c r="D38" i="13"/>
  <c r="H37" i="13"/>
  <c r="D37" i="13"/>
  <c r="H36" i="13"/>
  <c r="D36" i="13"/>
  <c r="H35" i="13"/>
  <c r="D35" i="13"/>
  <c r="H34" i="13"/>
  <c r="D34" i="13"/>
  <c r="H33" i="13"/>
  <c r="D33" i="13"/>
  <c r="H32" i="13"/>
  <c r="D32" i="13"/>
  <c r="H31" i="13"/>
  <c r="D31" i="13"/>
  <c r="H30" i="13"/>
  <c r="D30" i="13"/>
  <c r="H29" i="13"/>
  <c r="D29" i="13"/>
  <c r="H28" i="13"/>
  <c r="D28" i="13"/>
  <c r="H27" i="13"/>
  <c r="D27" i="13"/>
  <c r="H26" i="13"/>
  <c r="D26" i="13"/>
  <c r="H25" i="13"/>
  <c r="D25" i="13"/>
  <c r="H24" i="13"/>
  <c r="D24" i="13"/>
  <c r="H23" i="13"/>
  <c r="D23" i="13"/>
  <c r="H22" i="13"/>
  <c r="D22" i="13"/>
  <c r="H21" i="13"/>
  <c r="D21" i="13"/>
  <c r="H20" i="13"/>
  <c r="D20" i="13"/>
  <c r="H19" i="13"/>
  <c r="D19" i="13"/>
  <c r="H18" i="13"/>
  <c r="D18" i="13"/>
  <c r="H17" i="13"/>
  <c r="D17" i="13"/>
  <c r="H16" i="13"/>
  <c r="D16" i="13"/>
  <c r="H15" i="13"/>
  <c r="D15" i="13"/>
  <c r="H14" i="13"/>
  <c r="D14" i="13"/>
  <c r="H13" i="13"/>
  <c r="D13" i="13"/>
  <c r="H12" i="13"/>
  <c r="D12" i="13"/>
  <c r="H11" i="13"/>
  <c r="D11" i="13"/>
  <c r="H10" i="13"/>
  <c r="D10" i="13"/>
  <c r="H9" i="13"/>
  <c r="D9" i="13"/>
  <c r="H8" i="13"/>
  <c r="D8" i="13"/>
  <c r="H7" i="13"/>
  <c r="D7" i="13"/>
  <c r="H6" i="13"/>
  <c r="D6" i="13"/>
  <c r="T5" i="13"/>
  <c r="S5" i="13"/>
  <c r="E125" i="38"/>
  <c r="E124" i="38"/>
  <c r="E123" i="38"/>
  <c r="E122" i="38"/>
  <c r="E121" i="38"/>
  <c r="D121" i="38"/>
  <c r="C121" i="38"/>
  <c r="E120" i="38"/>
  <c r="D120" i="38"/>
  <c r="C120" i="38"/>
  <c r="E119" i="38"/>
  <c r="D119" i="38"/>
  <c r="C119" i="38"/>
  <c r="E118" i="38"/>
  <c r="D118" i="38"/>
  <c r="C118" i="38"/>
  <c r="E117" i="38"/>
  <c r="D117" i="38"/>
  <c r="C117" i="38"/>
  <c r="E116" i="38"/>
  <c r="D116" i="38"/>
  <c r="C116" i="38"/>
  <c r="E115" i="38"/>
  <c r="D115" i="38"/>
  <c r="C115" i="38"/>
  <c r="E114" i="38"/>
  <c r="D114" i="38"/>
  <c r="C114" i="38"/>
  <c r="E113" i="38"/>
  <c r="D113" i="38"/>
  <c r="C113" i="38"/>
  <c r="E112" i="38"/>
  <c r="D112" i="38"/>
  <c r="C112" i="38"/>
  <c r="E111" i="38"/>
  <c r="C111" i="38"/>
  <c r="E110" i="38"/>
  <c r="D110" i="38"/>
  <c r="C110" i="38"/>
  <c r="E109" i="38"/>
  <c r="D109" i="38"/>
  <c r="C109" i="38"/>
  <c r="E108" i="38"/>
  <c r="D108" i="38"/>
  <c r="C108" i="38"/>
  <c r="E107" i="38"/>
  <c r="C107" i="38"/>
  <c r="E106" i="38"/>
  <c r="D106" i="38"/>
  <c r="C106" i="38"/>
  <c r="E105" i="38"/>
  <c r="C105" i="38"/>
  <c r="E104" i="38"/>
  <c r="D104" i="38"/>
  <c r="C104" i="38"/>
  <c r="E103" i="38"/>
  <c r="C103" i="38"/>
  <c r="E102" i="38"/>
  <c r="C102" i="38"/>
  <c r="E101" i="38"/>
  <c r="D101" i="38"/>
  <c r="C101" i="38"/>
  <c r="E100" i="38"/>
  <c r="D100" i="38"/>
  <c r="C100" i="38"/>
  <c r="E99" i="38"/>
  <c r="C99" i="38"/>
  <c r="E98" i="38"/>
  <c r="D98" i="38"/>
  <c r="C98" i="38"/>
  <c r="E97" i="38"/>
  <c r="D97" i="38"/>
  <c r="C97" i="38"/>
  <c r="E96" i="38"/>
  <c r="D96" i="38"/>
  <c r="C96" i="38"/>
  <c r="E95" i="38"/>
  <c r="D95" i="38"/>
  <c r="C95" i="38"/>
  <c r="E94" i="38"/>
  <c r="C94" i="38"/>
  <c r="E93" i="38"/>
  <c r="D93" i="38"/>
  <c r="C93" i="38"/>
  <c r="E92" i="38"/>
  <c r="C92" i="38"/>
  <c r="E91" i="38"/>
  <c r="C91" i="38"/>
  <c r="E90" i="38"/>
  <c r="D90" i="38"/>
  <c r="C90" i="38"/>
  <c r="E89" i="38"/>
  <c r="D89" i="38"/>
  <c r="C89" i="38"/>
  <c r="E88" i="38"/>
  <c r="C88" i="38"/>
  <c r="E87" i="38"/>
  <c r="D87" i="38"/>
  <c r="C87" i="38"/>
  <c r="E86" i="38"/>
  <c r="D86" i="38"/>
  <c r="C86" i="38"/>
  <c r="E85" i="38"/>
  <c r="D85" i="38"/>
  <c r="C85" i="38"/>
  <c r="E84" i="38"/>
  <c r="D84" i="38"/>
  <c r="C84" i="38"/>
  <c r="E83" i="38"/>
  <c r="D83" i="38"/>
  <c r="C83" i="38"/>
  <c r="E82" i="38"/>
  <c r="D82" i="38"/>
  <c r="C82" i="38"/>
  <c r="E81" i="38"/>
  <c r="D81" i="38"/>
  <c r="C81" i="38"/>
  <c r="E80" i="38"/>
  <c r="C80" i="38"/>
  <c r="E79" i="38"/>
  <c r="D79" i="38"/>
  <c r="C79" i="38"/>
  <c r="E78" i="38"/>
  <c r="D78" i="38"/>
  <c r="C78" i="38"/>
  <c r="E77" i="38"/>
  <c r="D77" i="38"/>
  <c r="C77" i="38"/>
  <c r="E76" i="38"/>
  <c r="C76" i="38"/>
  <c r="E75" i="38"/>
  <c r="D75" i="38"/>
  <c r="C75" i="38"/>
  <c r="E74" i="38"/>
  <c r="D74" i="38"/>
  <c r="C74" i="38"/>
  <c r="E73" i="38"/>
  <c r="D73" i="38"/>
  <c r="C73" i="38"/>
  <c r="E72" i="38"/>
  <c r="D72" i="38"/>
  <c r="C72" i="38"/>
  <c r="E71" i="38"/>
  <c r="D71" i="38"/>
  <c r="C71" i="38"/>
  <c r="E70" i="38"/>
  <c r="D70" i="38"/>
  <c r="C70" i="38"/>
  <c r="E69" i="38"/>
  <c r="D69" i="38"/>
  <c r="C69" i="38"/>
  <c r="E68" i="38"/>
  <c r="D68" i="38"/>
  <c r="C68" i="38"/>
  <c r="E67" i="38"/>
  <c r="D67" i="38"/>
  <c r="C67" i="38"/>
  <c r="E66" i="38"/>
  <c r="D66" i="38"/>
  <c r="C66" i="38"/>
  <c r="E65" i="38"/>
  <c r="D65" i="38"/>
  <c r="C65" i="38"/>
  <c r="E64" i="38"/>
  <c r="D64" i="38"/>
  <c r="C64" i="38"/>
  <c r="E63" i="38"/>
  <c r="D63" i="38"/>
  <c r="C63" i="38"/>
  <c r="E62" i="38"/>
  <c r="D62" i="38"/>
  <c r="C62" i="38"/>
  <c r="E61" i="38"/>
  <c r="D61" i="38"/>
  <c r="C61" i="38"/>
  <c r="E60" i="38"/>
  <c r="D60" i="38"/>
  <c r="C60" i="38"/>
  <c r="E59" i="38"/>
  <c r="D59" i="38"/>
  <c r="C59" i="38"/>
  <c r="E58" i="38"/>
  <c r="D58" i="38"/>
  <c r="C58" i="38"/>
  <c r="E57" i="38"/>
  <c r="D57" i="38"/>
  <c r="C57" i="38"/>
  <c r="E56" i="38"/>
  <c r="D56" i="38"/>
  <c r="C56" i="38"/>
  <c r="E55" i="38"/>
  <c r="D55" i="38"/>
  <c r="C55" i="38"/>
  <c r="E54" i="38"/>
  <c r="C54" i="38"/>
  <c r="E53" i="38"/>
  <c r="D53" i="38"/>
  <c r="C53" i="38"/>
  <c r="E52" i="38"/>
  <c r="D52" i="38"/>
  <c r="C52" i="38"/>
  <c r="E51" i="38"/>
  <c r="D51" i="38"/>
  <c r="C51" i="38"/>
  <c r="E50" i="38"/>
  <c r="D50" i="38"/>
  <c r="C50" i="38"/>
  <c r="E49" i="38"/>
  <c r="D49" i="38"/>
  <c r="C49" i="38"/>
  <c r="E48" i="38"/>
  <c r="D48" i="38"/>
  <c r="C48" i="38"/>
  <c r="E47" i="38"/>
  <c r="D47" i="38"/>
  <c r="C47" i="38"/>
  <c r="E46" i="38"/>
  <c r="D46" i="38"/>
  <c r="C46" i="38"/>
  <c r="E45" i="38"/>
  <c r="D45" i="38"/>
  <c r="C45" i="38"/>
  <c r="E44" i="38"/>
  <c r="C44" i="38"/>
  <c r="E43" i="38"/>
  <c r="D43" i="38"/>
  <c r="C43" i="38"/>
  <c r="E42" i="38"/>
  <c r="D42" i="38"/>
  <c r="C42" i="38"/>
  <c r="E41" i="38"/>
  <c r="C41" i="38"/>
  <c r="E40" i="38"/>
  <c r="D40" i="38"/>
  <c r="C40" i="38"/>
  <c r="E39" i="38"/>
  <c r="D39" i="38"/>
  <c r="C39" i="38"/>
  <c r="E38" i="38"/>
  <c r="D38" i="38"/>
  <c r="C38" i="38"/>
  <c r="E37" i="38"/>
  <c r="C37" i="38"/>
  <c r="E36" i="38"/>
  <c r="D36" i="38"/>
  <c r="C36" i="38"/>
  <c r="E35" i="38"/>
  <c r="D35" i="38"/>
  <c r="C35" i="38"/>
  <c r="E34" i="38"/>
  <c r="D34" i="38"/>
  <c r="C34" i="38"/>
  <c r="E33" i="38"/>
  <c r="D33" i="38"/>
  <c r="C33" i="38"/>
  <c r="E32" i="38"/>
  <c r="D32" i="38"/>
  <c r="C32" i="38"/>
  <c r="E31" i="38"/>
  <c r="D31" i="38"/>
  <c r="C31" i="38"/>
  <c r="E30" i="38"/>
  <c r="D30" i="38"/>
  <c r="C30" i="38"/>
  <c r="E29" i="38"/>
  <c r="D29" i="38"/>
  <c r="C29" i="38"/>
  <c r="E28" i="38"/>
  <c r="C28" i="38"/>
  <c r="E27" i="38"/>
  <c r="D27" i="38"/>
  <c r="C27" i="38"/>
  <c r="E26" i="38"/>
  <c r="D26" i="38"/>
  <c r="C26" i="38"/>
  <c r="E25" i="38"/>
  <c r="C25" i="38"/>
  <c r="E24" i="38"/>
  <c r="D24" i="38"/>
  <c r="C24" i="38"/>
  <c r="E23" i="38"/>
  <c r="D23" i="38"/>
  <c r="C23" i="38"/>
  <c r="E22" i="38"/>
  <c r="C22" i="38"/>
  <c r="E21" i="38"/>
  <c r="C21" i="38"/>
  <c r="E20" i="38"/>
  <c r="D20" i="38"/>
  <c r="C20" i="38"/>
  <c r="E19" i="38"/>
  <c r="D19" i="38"/>
  <c r="C19" i="38"/>
  <c r="E18" i="38"/>
  <c r="C18" i="38"/>
  <c r="E17" i="38"/>
  <c r="D17" i="38"/>
  <c r="C17" i="38"/>
  <c r="E16" i="38"/>
  <c r="D16" i="38"/>
  <c r="C16" i="38"/>
  <c r="E15" i="38"/>
  <c r="C15" i="38"/>
  <c r="E14" i="38"/>
  <c r="D14" i="38"/>
  <c r="C14" i="38"/>
  <c r="E13" i="38"/>
  <c r="D13" i="38"/>
  <c r="C13" i="38"/>
  <c r="E12" i="38"/>
  <c r="C12" i="38"/>
  <c r="E11" i="38"/>
  <c r="D11" i="38"/>
  <c r="C11" i="38"/>
  <c r="E10" i="38"/>
  <c r="C10" i="38"/>
  <c r="E9" i="38"/>
  <c r="C9" i="38"/>
  <c r="E8" i="38"/>
  <c r="C8" i="38"/>
  <c r="E7" i="38"/>
  <c r="D7" i="38"/>
  <c r="C7" i="38"/>
  <c r="E6" i="38"/>
  <c r="D6" i="38"/>
  <c r="C6" i="38"/>
  <c r="E5" i="38"/>
  <c r="D5" i="38"/>
  <c r="C5" i="38"/>
  <c r="F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E103" i="11"/>
  <c r="H102" i="11"/>
  <c r="H101" i="11"/>
  <c r="E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E87" i="11"/>
  <c r="H87" i="11" s="1"/>
  <c r="H86" i="11"/>
  <c r="H85" i="11"/>
  <c r="H84" i="11"/>
  <c r="H83" i="11"/>
  <c r="H82" i="11"/>
  <c r="H81" i="11"/>
  <c r="H80" i="11"/>
  <c r="H79" i="11"/>
  <c r="E79" i="11"/>
  <c r="H78" i="11"/>
  <c r="H77" i="11"/>
  <c r="H76" i="11"/>
  <c r="H75" i="11"/>
  <c r="E75" i="11"/>
  <c r="H74" i="11"/>
  <c r="H73" i="11"/>
  <c r="H72" i="11"/>
  <c r="H71" i="11"/>
  <c r="E71" i="11"/>
  <c r="H70" i="11"/>
  <c r="H69" i="11"/>
  <c r="E69" i="11"/>
  <c r="H68" i="11"/>
  <c r="H67" i="11"/>
  <c r="E67" i="11"/>
  <c r="H66" i="11"/>
  <c r="E65" i="11"/>
  <c r="H65" i="11" s="1"/>
  <c r="H64" i="11"/>
  <c r="H63" i="11"/>
  <c r="H61" i="11"/>
  <c r="H60" i="11"/>
  <c r="E59" i="11"/>
  <c r="H59" i="11" s="1"/>
  <c r="H58" i="11"/>
  <c r="H57" i="11"/>
  <c r="H56" i="11"/>
  <c r="E55" i="11"/>
  <c r="H55" i="11" s="1"/>
  <c r="H54" i="11"/>
  <c r="H53" i="11"/>
  <c r="H52" i="11"/>
  <c r="E52" i="11"/>
  <c r="H51" i="11"/>
  <c r="E51" i="11"/>
  <c r="E310" i="11" s="1"/>
  <c r="H50" i="11"/>
  <c r="H49" i="11"/>
  <c r="H48" i="11"/>
  <c r="H47" i="11"/>
  <c r="H46" i="11"/>
  <c r="H45" i="11"/>
  <c r="H44" i="11"/>
  <c r="H43" i="11"/>
  <c r="H42" i="11"/>
  <c r="H41" i="11"/>
  <c r="H40" i="11"/>
  <c r="H39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H17" i="11"/>
  <c r="G16" i="11"/>
  <c r="H16" i="11" s="1"/>
  <c r="G15" i="11"/>
  <c r="H15" i="11" s="1"/>
  <c r="G14" i="11"/>
  <c r="H14" i="11" s="1"/>
  <c r="G13" i="11"/>
  <c r="H13" i="11" s="1"/>
  <c r="H12" i="11"/>
  <c r="G12" i="11"/>
  <c r="G11" i="11"/>
  <c r="H11" i="11" s="1"/>
  <c r="H10" i="11"/>
  <c r="G9" i="11"/>
  <c r="H9" i="11" s="1"/>
  <c r="H8" i="11"/>
  <c r="H7" i="11"/>
  <c r="G7" i="11"/>
  <c r="H6" i="11"/>
  <c r="L5" i="11"/>
  <c r="S157" i="18"/>
  <c r="M16" i="10" s="1"/>
  <c r="R157" i="18"/>
  <c r="L16" i="10" s="1"/>
  <c r="H157" i="18"/>
  <c r="O156" i="18"/>
  <c r="L156" i="18"/>
  <c r="J156" i="18"/>
  <c r="P156" i="18" s="1"/>
  <c r="F156" i="18"/>
  <c r="D156" i="18"/>
  <c r="O155" i="18"/>
  <c r="L155" i="18"/>
  <c r="J155" i="18"/>
  <c r="P155" i="18" s="1"/>
  <c r="F155" i="18"/>
  <c r="D155" i="18"/>
  <c r="O154" i="18"/>
  <c r="L154" i="18"/>
  <c r="J154" i="18"/>
  <c r="P154" i="18" s="1"/>
  <c r="F154" i="18"/>
  <c r="D154" i="18"/>
  <c r="O153" i="18"/>
  <c r="F153" i="19" s="1"/>
  <c r="L153" i="18"/>
  <c r="L153" i="19" s="1"/>
  <c r="J153" i="18"/>
  <c r="E153" i="19" s="1"/>
  <c r="F153" i="18"/>
  <c r="C153" i="19" s="1"/>
  <c r="D153" i="18"/>
  <c r="D153" i="19" s="1"/>
  <c r="O152" i="18"/>
  <c r="L152" i="18"/>
  <c r="L152" i="19" s="1"/>
  <c r="J152" i="18"/>
  <c r="P152" i="18" s="1"/>
  <c r="L152" i="20" s="1"/>
  <c r="F152" i="18"/>
  <c r="C152" i="20" s="1"/>
  <c r="D152" i="18"/>
  <c r="O151" i="18"/>
  <c r="L151" i="18"/>
  <c r="L151" i="19" s="1"/>
  <c r="J151" i="18"/>
  <c r="P151" i="18" s="1"/>
  <c r="L151" i="20" s="1"/>
  <c r="F151" i="18"/>
  <c r="C151" i="20" s="1"/>
  <c r="D151" i="18"/>
  <c r="O150" i="18"/>
  <c r="L150" i="18"/>
  <c r="L150" i="19" s="1"/>
  <c r="J150" i="18"/>
  <c r="P150" i="18" s="1"/>
  <c r="L150" i="20" s="1"/>
  <c r="F150" i="18"/>
  <c r="C150" i="20" s="1"/>
  <c r="D150" i="18"/>
  <c r="O149" i="18"/>
  <c r="L149" i="18"/>
  <c r="L149" i="19" s="1"/>
  <c r="J149" i="18"/>
  <c r="P149" i="18" s="1"/>
  <c r="L149" i="20" s="1"/>
  <c r="F149" i="18"/>
  <c r="C149" i="20" s="1"/>
  <c r="D149" i="18"/>
  <c r="O148" i="18"/>
  <c r="L148" i="18"/>
  <c r="L148" i="19" s="1"/>
  <c r="J148" i="18"/>
  <c r="P148" i="18" s="1"/>
  <c r="L148" i="20" s="1"/>
  <c r="F148" i="18"/>
  <c r="C148" i="19" s="1"/>
  <c r="D148" i="18"/>
  <c r="O147" i="18"/>
  <c r="L147" i="18"/>
  <c r="L147" i="19" s="1"/>
  <c r="J147" i="18"/>
  <c r="P147" i="18" s="1"/>
  <c r="L147" i="20" s="1"/>
  <c r="F147" i="18"/>
  <c r="C147" i="20" s="1"/>
  <c r="D147" i="18"/>
  <c r="O146" i="18"/>
  <c r="L146" i="18"/>
  <c r="L146" i="19" s="1"/>
  <c r="J146" i="18"/>
  <c r="P146" i="18" s="1"/>
  <c r="L146" i="20" s="1"/>
  <c r="F146" i="18"/>
  <c r="C146" i="19" s="1"/>
  <c r="D146" i="18"/>
  <c r="O145" i="18"/>
  <c r="L145" i="18"/>
  <c r="L145" i="19" s="1"/>
  <c r="J145" i="18"/>
  <c r="P145" i="18" s="1"/>
  <c r="L145" i="20" s="1"/>
  <c r="F145" i="18"/>
  <c r="C145" i="19" s="1"/>
  <c r="D145" i="18"/>
  <c r="O144" i="18"/>
  <c r="L144" i="18"/>
  <c r="L144" i="19" s="1"/>
  <c r="J144" i="18"/>
  <c r="P144" i="18" s="1"/>
  <c r="L144" i="20" s="1"/>
  <c r="F144" i="18"/>
  <c r="C144" i="20" s="1"/>
  <c r="D144" i="18"/>
  <c r="O143" i="18"/>
  <c r="L143" i="18"/>
  <c r="L143" i="19" s="1"/>
  <c r="J143" i="18"/>
  <c r="P143" i="18" s="1"/>
  <c r="L143" i="20" s="1"/>
  <c r="F143" i="18"/>
  <c r="C143" i="20" s="1"/>
  <c r="D143" i="18"/>
  <c r="O142" i="18"/>
  <c r="L142" i="18"/>
  <c r="L142" i="19" s="1"/>
  <c r="J142" i="18"/>
  <c r="P142" i="18" s="1"/>
  <c r="L142" i="20" s="1"/>
  <c r="F142" i="18"/>
  <c r="C142" i="20" s="1"/>
  <c r="D142" i="18"/>
  <c r="O141" i="18"/>
  <c r="L141" i="18"/>
  <c r="L141" i="19" s="1"/>
  <c r="J141" i="18"/>
  <c r="P141" i="18" s="1"/>
  <c r="L141" i="20" s="1"/>
  <c r="F141" i="18"/>
  <c r="C141" i="20" s="1"/>
  <c r="D141" i="18"/>
  <c r="O140" i="18"/>
  <c r="L140" i="18"/>
  <c r="L140" i="19" s="1"/>
  <c r="J140" i="18"/>
  <c r="P140" i="18" s="1"/>
  <c r="L140" i="20" s="1"/>
  <c r="F140" i="18"/>
  <c r="C140" i="19" s="1"/>
  <c r="D140" i="18"/>
  <c r="O139" i="18"/>
  <c r="L139" i="18"/>
  <c r="L139" i="19" s="1"/>
  <c r="J139" i="18"/>
  <c r="P139" i="18" s="1"/>
  <c r="L139" i="20" s="1"/>
  <c r="F139" i="18"/>
  <c r="C139" i="20" s="1"/>
  <c r="D139" i="18"/>
  <c r="O138" i="18"/>
  <c r="L138" i="18"/>
  <c r="L138" i="19" s="1"/>
  <c r="J138" i="18"/>
  <c r="P138" i="18" s="1"/>
  <c r="L138" i="20" s="1"/>
  <c r="F138" i="18"/>
  <c r="C138" i="19" s="1"/>
  <c r="D138" i="18"/>
  <c r="O137" i="18"/>
  <c r="L137" i="18"/>
  <c r="L137" i="19" s="1"/>
  <c r="J137" i="18"/>
  <c r="P137" i="18" s="1"/>
  <c r="L137" i="20" s="1"/>
  <c r="F137" i="18"/>
  <c r="C137" i="19" s="1"/>
  <c r="D137" i="18"/>
  <c r="O136" i="18"/>
  <c r="L136" i="18"/>
  <c r="L136" i="19" s="1"/>
  <c r="J136" i="18"/>
  <c r="P136" i="18" s="1"/>
  <c r="L136" i="20" s="1"/>
  <c r="F136" i="18"/>
  <c r="C136" i="20" s="1"/>
  <c r="D136" i="18"/>
  <c r="O135" i="18"/>
  <c r="L135" i="18"/>
  <c r="L135" i="19" s="1"/>
  <c r="J135" i="18"/>
  <c r="P135" i="18" s="1"/>
  <c r="L135" i="20" s="1"/>
  <c r="F135" i="18"/>
  <c r="C135" i="20" s="1"/>
  <c r="D135" i="18"/>
  <c r="O134" i="18"/>
  <c r="L134" i="18"/>
  <c r="L134" i="19" s="1"/>
  <c r="J134" i="18"/>
  <c r="P134" i="18" s="1"/>
  <c r="L134" i="20" s="1"/>
  <c r="F134" i="18"/>
  <c r="C134" i="20" s="1"/>
  <c r="D134" i="18"/>
  <c r="O133" i="18"/>
  <c r="L133" i="18"/>
  <c r="L133" i="19" s="1"/>
  <c r="J133" i="18"/>
  <c r="P133" i="18" s="1"/>
  <c r="L133" i="20" s="1"/>
  <c r="F133" i="18"/>
  <c r="C133" i="20" s="1"/>
  <c r="D133" i="18"/>
  <c r="O132" i="18"/>
  <c r="L132" i="18"/>
  <c r="L132" i="19" s="1"/>
  <c r="J132" i="18"/>
  <c r="P132" i="18" s="1"/>
  <c r="L132" i="20" s="1"/>
  <c r="F132" i="18"/>
  <c r="C132" i="19" s="1"/>
  <c r="D132" i="18"/>
  <c r="O131" i="18"/>
  <c r="L131" i="18"/>
  <c r="L131" i="19" s="1"/>
  <c r="J131" i="18"/>
  <c r="P131" i="18" s="1"/>
  <c r="L131" i="20" s="1"/>
  <c r="F131" i="18"/>
  <c r="C131" i="20" s="1"/>
  <c r="D131" i="18"/>
  <c r="O130" i="18"/>
  <c r="L130" i="18"/>
  <c r="L130" i="19" s="1"/>
  <c r="J130" i="18"/>
  <c r="P130" i="18" s="1"/>
  <c r="L130" i="20" s="1"/>
  <c r="F130" i="18"/>
  <c r="C130" i="19" s="1"/>
  <c r="D130" i="18"/>
  <c r="O129" i="18"/>
  <c r="L129" i="18"/>
  <c r="L129" i="19" s="1"/>
  <c r="J129" i="18"/>
  <c r="P129" i="18" s="1"/>
  <c r="L129" i="20" s="1"/>
  <c r="F129" i="18"/>
  <c r="C129" i="19" s="1"/>
  <c r="D129" i="18"/>
  <c r="O128" i="18"/>
  <c r="L128" i="18"/>
  <c r="L128" i="19" s="1"/>
  <c r="J128" i="18"/>
  <c r="P128" i="18" s="1"/>
  <c r="L128" i="20" s="1"/>
  <c r="F128" i="18"/>
  <c r="C128" i="20" s="1"/>
  <c r="D128" i="18"/>
  <c r="O127" i="18"/>
  <c r="L127" i="18"/>
  <c r="L127" i="19" s="1"/>
  <c r="J127" i="18"/>
  <c r="P127" i="18" s="1"/>
  <c r="L127" i="20" s="1"/>
  <c r="F127" i="18"/>
  <c r="C127" i="20" s="1"/>
  <c r="D127" i="18"/>
  <c r="O126" i="18"/>
  <c r="L126" i="18"/>
  <c r="L126" i="19" s="1"/>
  <c r="J126" i="18"/>
  <c r="P126" i="18" s="1"/>
  <c r="L126" i="20" s="1"/>
  <c r="F126" i="18"/>
  <c r="C126" i="20" s="1"/>
  <c r="D126" i="18"/>
  <c r="O125" i="18"/>
  <c r="L125" i="18"/>
  <c r="L125" i="19" s="1"/>
  <c r="J125" i="18"/>
  <c r="P125" i="18" s="1"/>
  <c r="L125" i="20" s="1"/>
  <c r="F125" i="18"/>
  <c r="C125" i="20" s="1"/>
  <c r="D125" i="18"/>
  <c r="O124" i="18"/>
  <c r="L124" i="18"/>
  <c r="L124" i="19" s="1"/>
  <c r="J124" i="18"/>
  <c r="P124" i="18" s="1"/>
  <c r="L124" i="20" s="1"/>
  <c r="F124" i="18"/>
  <c r="C124" i="19" s="1"/>
  <c r="D124" i="18"/>
  <c r="O123" i="18"/>
  <c r="L123" i="18"/>
  <c r="L123" i="19" s="1"/>
  <c r="J123" i="18"/>
  <c r="P123" i="18" s="1"/>
  <c r="L123" i="20" s="1"/>
  <c r="F123" i="18"/>
  <c r="C123" i="20" s="1"/>
  <c r="D123" i="18"/>
  <c r="O122" i="18"/>
  <c r="L122" i="18"/>
  <c r="L122" i="19" s="1"/>
  <c r="J122" i="18"/>
  <c r="P122" i="18" s="1"/>
  <c r="L122" i="20" s="1"/>
  <c r="F122" i="18"/>
  <c r="C122" i="19" s="1"/>
  <c r="D122" i="18"/>
  <c r="O121" i="18"/>
  <c r="L121" i="18"/>
  <c r="L121" i="19" s="1"/>
  <c r="J121" i="18"/>
  <c r="F121" i="18"/>
  <c r="C121" i="19" s="1"/>
  <c r="D121" i="18"/>
  <c r="O120" i="18"/>
  <c r="L120" i="18"/>
  <c r="L120" i="19" s="1"/>
  <c r="J120" i="18"/>
  <c r="P120" i="18" s="1"/>
  <c r="L120" i="20" s="1"/>
  <c r="F120" i="18"/>
  <c r="C120" i="20" s="1"/>
  <c r="D120" i="18"/>
  <c r="O119" i="18"/>
  <c r="L119" i="18"/>
  <c r="L119" i="19" s="1"/>
  <c r="J119" i="18"/>
  <c r="P119" i="18" s="1"/>
  <c r="L119" i="20" s="1"/>
  <c r="F119" i="18"/>
  <c r="C119" i="20" s="1"/>
  <c r="D119" i="18"/>
  <c r="O118" i="18"/>
  <c r="L118" i="18"/>
  <c r="L118" i="19" s="1"/>
  <c r="J118" i="18"/>
  <c r="P118" i="18" s="1"/>
  <c r="L118" i="20" s="1"/>
  <c r="F118" i="18"/>
  <c r="C118" i="20" s="1"/>
  <c r="D118" i="18"/>
  <c r="O117" i="18"/>
  <c r="L117" i="18"/>
  <c r="L117" i="19" s="1"/>
  <c r="J117" i="18"/>
  <c r="P117" i="18" s="1"/>
  <c r="L117" i="20" s="1"/>
  <c r="F117" i="18"/>
  <c r="C117" i="20" s="1"/>
  <c r="D117" i="18"/>
  <c r="O116" i="18"/>
  <c r="L116" i="18"/>
  <c r="L116" i="19" s="1"/>
  <c r="J116" i="18"/>
  <c r="P116" i="18" s="1"/>
  <c r="L116" i="20" s="1"/>
  <c r="F116" i="18"/>
  <c r="C116" i="19" s="1"/>
  <c r="D116" i="18"/>
  <c r="O115" i="18"/>
  <c r="L115" i="18"/>
  <c r="L115" i="19" s="1"/>
  <c r="J115" i="18"/>
  <c r="P115" i="18" s="1"/>
  <c r="L115" i="20" s="1"/>
  <c r="F115" i="18"/>
  <c r="C115" i="20" s="1"/>
  <c r="D115" i="18"/>
  <c r="O114" i="18"/>
  <c r="L114" i="18"/>
  <c r="L114" i="19" s="1"/>
  <c r="J114" i="18"/>
  <c r="P114" i="18" s="1"/>
  <c r="L114" i="20" s="1"/>
  <c r="F114" i="18"/>
  <c r="C114" i="19" s="1"/>
  <c r="D114" i="18"/>
  <c r="O113" i="18"/>
  <c r="L113" i="18"/>
  <c r="L113" i="19" s="1"/>
  <c r="J113" i="18"/>
  <c r="P113" i="18" s="1"/>
  <c r="L113" i="20" s="1"/>
  <c r="F113" i="18"/>
  <c r="C113" i="19" s="1"/>
  <c r="D113" i="18"/>
  <c r="O112" i="18"/>
  <c r="L112" i="18"/>
  <c r="L112" i="19" s="1"/>
  <c r="J112" i="18"/>
  <c r="P112" i="18" s="1"/>
  <c r="L112" i="20" s="1"/>
  <c r="F112" i="18"/>
  <c r="C112" i="20" s="1"/>
  <c r="D112" i="18"/>
  <c r="O111" i="18"/>
  <c r="L111" i="18"/>
  <c r="L111" i="19" s="1"/>
  <c r="J111" i="18"/>
  <c r="P111" i="18" s="1"/>
  <c r="L111" i="20" s="1"/>
  <c r="F111" i="18"/>
  <c r="C111" i="20" s="1"/>
  <c r="D111" i="18"/>
  <c r="O110" i="18"/>
  <c r="L110" i="18"/>
  <c r="L110" i="19" s="1"/>
  <c r="J110" i="18"/>
  <c r="P110" i="18" s="1"/>
  <c r="L110" i="20" s="1"/>
  <c r="F110" i="18"/>
  <c r="C110" i="20" s="1"/>
  <c r="D110" i="18"/>
  <c r="O109" i="18"/>
  <c r="L109" i="18"/>
  <c r="L109" i="19" s="1"/>
  <c r="J109" i="18"/>
  <c r="F109" i="18"/>
  <c r="C109" i="20" s="1"/>
  <c r="D109" i="18"/>
  <c r="O108" i="18"/>
  <c r="L108" i="18"/>
  <c r="L108" i="19" s="1"/>
  <c r="J108" i="18"/>
  <c r="P108" i="18" s="1"/>
  <c r="L108" i="20" s="1"/>
  <c r="F108" i="18"/>
  <c r="C108" i="19" s="1"/>
  <c r="D108" i="18"/>
  <c r="O107" i="18"/>
  <c r="L107" i="18"/>
  <c r="L107" i="19" s="1"/>
  <c r="J107" i="18"/>
  <c r="P107" i="18" s="1"/>
  <c r="L107" i="20" s="1"/>
  <c r="F107" i="18"/>
  <c r="C107" i="20" s="1"/>
  <c r="D107" i="18"/>
  <c r="O106" i="18"/>
  <c r="L106" i="18"/>
  <c r="L106" i="19" s="1"/>
  <c r="J106" i="18"/>
  <c r="P106" i="18" s="1"/>
  <c r="L106" i="20" s="1"/>
  <c r="F106" i="18"/>
  <c r="C106" i="19" s="1"/>
  <c r="D106" i="18"/>
  <c r="O105" i="18"/>
  <c r="L105" i="18"/>
  <c r="L105" i="19" s="1"/>
  <c r="J105" i="18"/>
  <c r="F105" i="18"/>
  <c r="C105" i="19" s="1"/>
  <c r="D105" i="18"/>
  <c r="O104" i="18"/>
  <c r="L104" i="18"/>
  <c r="L104" i="19" s="1"/>
  <c r="J104" i="18"/>
  <c r="P104" i="18" s="1"/>
  <c r="L104" i="20" s="1"/>
  <c r="F104" i="18"/>
  <c r="C104" i="20" s="1"/>
  <c r="D104" i="18"/>
  <c r="O103" i="18"/>
  <c r="L103" i="18"/>
  <c r="L103" i="19" s="1"/>
  <c r="J103" i="18"/>
  <c r="P103" i="18" s="1"/>
  <c r="L103" i="20" s="1"/>
  <c r="F103" i="18"/>
  <c r="C103" i="20" s="1"/>
  <c r="D103" i="18"/>
  <c r="O102" i="18"/>
  <c r="L102" i="18"/>
  <c r="L102" i="19" s="1"/>
  <c r="J102" i="18"/>
  <c r="P102" i="18" s="1"/>
  <c r="L102" i="20" s="1"/>
  <c r="F102" i="18"/>
  <c r="C102" i="20" s="1"/>
  <c r="D102" i="18"/>
  <c r="D102" i="20" s="1"/>
  <c r="O101" i="18"/>
  <c r="L101" i="18"/>
  <c r="L101" i="19" s="1"/>
  <c r="J101" i="18"/>
  <c r="H101" i="20" s="1"/>
  <c r="F101" i="18"/>
  <c r="C101" i="20" s="1"/>
  <c r="D101" i="18"/>
  <c r="D101" i="20" s="1"/>
  <c r="O100" i="18"/>
  <c r="K100" i="20" s="1"/>
  <c r="L100" i="18"/>
  <c r="L100" i="19" s="1"/>
  <c r="J100" i="18"/>
  <c r="H100" i="20" s="1"/>
  <c r="F100" i="18"/>
  <c r="C100" i="19" s="1"/>
  <c r="D100" i="18"/>
  <c r="D100" i="20" s="1"/>
  <c r="T99" i="18"/>
  <c r="O99" i="18"/>
  <c r="K99" i="20" s="1"/>
  <c r="L99" i="18"/>
  <c r="L99" i="19" s="1"/>
  <c r="J99" i="18"/>
  <c r="H99" i="20" s="1"/>
  <c r="F99" i="18"/>
  <c r="C99" i="20" s="1"/>
  <c r="D99" i="18"/>
  <c r="T98" i="18"/>
  <c r="O98" i="18"/>
  <c r="K98" i="20" s="1"/>
  <c r="L98" i="18"/>
  <c r="L98" i="19" s="1"/>
  <c r="J98" i="18"/>
  <c r="P98" i="18" s="1"/>
  <c r="L98" i="20" s="1"/>
  <c r="F98" i="18"/>
  <c r="C98" i="19" s="1"/>
  <c r="D98" i="18"/>
  <c r="T97" i="18"/>
  <c r="O97" i="18"/>
  <c r="L97" i="18"/>
  <c r="L97" i="19" s="1"/>
  <c r="J97" i="18"/>
  <c r="F97" i="18"/>
  <c r="C97" i="19" s="1"/>
  <c r="D97" i="18"/>
  <c r="T96" i="18"/>
  <c r="O96" i="18"/>
  <c r="L96" i="18"/>
  <c r="L96" i="19" s="1"/>
  <c r="J96" i="18"/>
  <c r="P96" i="18" s="1"/>
  <c r="L96" i="20" s="1"/>
  <c r="F96" i="18"/>
  <c r="C96" i="20" s="1"/>
  <c r="D96" i="18"/>
  <c r="T95" i="18"/>
  <c r="O95" i="18"/>
  <c r="L95" i="18"/>
  <c r="L95" i="19" s="1"/>
  <c r="J95" i="18"/>
  <c r="P95" i="18" s="1"/>
  <c r="L95" i="20" s="1"/>
  <c r="F95" i="18"/>
  <c r="C95" i="20" s="1"/>
  <c r="D95" i="18"/>
  <c r="T94" i="18"/>
  <c r="O94" i="18"/>
  <c r="L94" i="18"/>
  <c r="L94" i="19" s="1"/>
  <c r="J94" i="18"/>
  <c r="F94" i="18"/>
  <c r="C94" i="20" s="1"/>
  <c r="D94" i="18"/>
  <c r="D94" i="20" s="1"/>
  <c r="T93" i="18"/>
  <c r="O93" i="18"/>
  <c r="L93" i="18"/>
  <c r="L93" i="19" s="1"/>
  <c r="J93" i="18"/>
  <c r="H93" i="20" s="1"/>
  <c r="F93" i="18"/>
  <c r="C93" i="20" s="1"/>
  <c r="D93" i="18"/>
  <c r="D93" i="20" s="1"/>
  <c r="T92" i="18"/>
  <c r="O92" i="18"/>
  <c r="K92" i="20" s="1"/>
  <c r="L92" i="18"/>
  <c r="L92" i="19" s="1"/>
  <c r="J92" i="18"/>
  <c r="H92" i="20" s="1"/>
  <c r="F92" i="18"/>
  <c r="C92" i="19" s="1"/>
  <c r="D92" i="18"/>
  <c r="D92" i="20" s="1"/>
  <c r="T91" i="18"/>
  <c r="O91" i="18"/>
  <c r="K91" i="20" s="1"/>
  <c r="L91" i="18"/>
  <c r="L91" i="19" s="1"/>
  <c r="J91" i="18"/>
  <c r="H91" i="20" s="1"/>
  <c r="F91" i="18"/>
  <c r="C91" i="20" s="1"/>
  <c r="D91" i="18"/>
  <c r="T90" i="18"/>
  <c r="O90" i="18"/>
  <c r="K90" i="20" s="1"/>
  <c r="L90" i="18"/>
  <c r="L90" i="19" s="1"/>
  <c r="J90" i="18"/>
  <c r="F90" i="18"/>
  <c r="C90" i="19" s="1"/>
  <c r="D90" i="18"/>
  <c r="T89" i="18"/>
  <c r="O89" i="18"/>
  <c r="L89" i="18"/>
  <c r="L89" i="19" s="1"/>
  <c r="J89" i="18"/>
  <c r="F89" i="18"/>
  <c r="C89" i="19" s="1"/>
  <c r="D89" i="18"/>
  <c r="T88" i="18"/>
  <c r="O88" i="18"/>
  <c r="L88" i="18"/>
  <c r="L88" i="19" s="1"/>
  <c r="J88" i="18"/>
  <c r="P88" i="18" s="1"/>
  <c r="L88" i="20" s="1"/>
  <c r="F88" i="18"/>
  <c r="C88" i="20" s="1"/>
  <c r="D88" i="18"/>
  <c r="T87" i="18"/>
  <c r="O87" i="18"/>
  <c r="L87" i="18"/>
  <c r="L87" i="19" s="1"/>
  <c r="J87" i="18"/>
  <c r="F87" i="18"/>
  <c r="C87" i="20" s="1"/>
  <c r="D87" i="18"/>
  <c r="T86" i="18"/>
  <c r="O86" i="18"/>
  <c r="L86" i="18"/>
  <c r="L86" i="19" s="1"/>
  <c r="J86" i="18"/>
  <c r="F86" i="18"/>
  <c r="C86" i="20" s="1"/>
  <c r="D86" i="18"/>
  <c r="D86" i="20" s="1"/>
  <c r="T85" i="18"/>
  <c r="O85" i="18"/>
  <c r="L85" i="18"/>
  <c r="L85" i="19" s="1"/>
  <c r="J85" i="18"/>
  <c r="H85" i="20" s="1"/>
  <c r="F85" i="18"/>
  <c r="C85" i="20" s="1"/>
  <c r="D85" i="18"/>
  <c r="D85" i="20" s="1"/>
  <c r="T84" i="18"/>
  <c r="O84" i="18"/>
  <c r="K84" i="20" s="1"/>
  <c r="L84" i="18"/>
  <c r="L84" i="19" s="1"/>
  <c r="J84" i="18"/>
  <c r="H84" i="20" s="1"/>
  <c r="F84" i="18"/>
  <c r="C84" i="19" s="1"/>
  <c r="D84" i="18"/>
  <c r="D84" i="20" s="1"/>
  <c r="T83" i="18"/>
  <c r="O83" i="18"/>
  <c r="K83" i="20" s="1"/>
  <c r="L83" i="18"/>
  <c r="L83" i="19" s="1"/>
  <c r="J83" i="18"/>
  <c r="H83" i="20" s="1"/>
  <c r="F83" i="18"/>
  <c r="C83" i="20" s="1"/>
  <c r="D83" i="18"/>
  <c r="D83" i="20" s="1"/>
  <c r="T82" i="18"/>
  <c r="K82" i="20"/>
  <c r="L82" i="18"/>
  <c r="L82" i="19" s="1"/>
  <c r="J82" i="18"/>
  <c r="H82" i="20" s="1"/>
  <c r="F82" i="18"/>
  <c r="C82" i="19" s="1"/>
  <c r="D82" i="18"/>
  <c r="T81" i="18"/>
  <c r="O81" i="18"/>
  <c r="K81" i="20" s="1"/>
  <c r="L81" i="18"/>
  <c r="L81" i="19" s="1"/>
  <c r="J81" i="18"/>
  <c r="F81" i="18"/>
  <c r="C81" i="19" s="1"/>
  <c r="D81" i="18"/>
  <c r="T80" i="18"/>
  <c r="O80" i="18"/>
  <c r="L80" i="18"/>
  <c r="L80" i="19" s="1"/>
  <c r="J80" i="18"/>
  <c r="F80" i="18"/>
  <c r="C80" i="20" s="1"/>
  <c r="D80" i="18"/>
  <c r="T79" i="18"/>
  <c r="O79" i="18"/>
  <c r="L79" i="18"/>
  <c r="L79" i="19" s="1"/>
  <c r="J79" i="18"/>
  <c r="F79" i="18"/>
  <c r="C79" i="20" s="1"/>
  <c r="D79" i="18"/>
  <c r="T78" i="18"/>
  <c r="O78" i="18"/>
  <c r="L78" i="18"/>
  <c r="L78" i="19" s="1"/>
  <c r="J78" i="18"/>
  <c r="H78" i="20" s="1"/>
  <c r="F78" i="18"/>
  <c r="C78" i="20" s="1"/>
  <c r="D78" i="18"/>
  <c r="D78" i="20" s="1"/>
  <c r="T77" i="18"/>
  <c r="O77" i="18"/>
  <c r="K77" i="20" s="1"/>
  <c r="L77" i="18"/>
  <c r="L77" i="19" s="1"/>
  <c r="J77" i="18"/>
  <c r="H77" i="20" s="1"/>
  <c r="F77" i="18"/>
  <c r="C77" i="20" s="1"/>
  <c r="D77" i="18"/>
  <c r="D77" i="20" s="1"/>
  <c r="T76" i="18"/>
  <c r="O76" i="18"/>
  <c r="K76" i="20" s="1"/>
  <c r="L76" i="18"/>
  <c r="L76" i="19" s="1"/>
  <c r="J76" i="18"/>
  <c r="H76" i="20" s="1"/>
  <c r="F76" i="18"/>
  <c r="C76" i="19" s="1"/>
  <c r="D76" i="18"/>
  <c r="D76" i="20" s="1"/>
  <c r="T75" i="18"/>
  <c r="O75" i="18"/>
  <c r="K75" i="20" s="1"/>
  <c r="L75" i="18"/>
  <c r="L75" i="19" s="1"/>
  <c r="J75" i="18"/>
  <c r="H75" i="20" s="1"/>
  <c r="F75" i="18"/>
  <c r="C75" i="20" s="1"/>
  <c r="D75" i="18"/>
  <c r="D75" i="20" s="1"/>
  <c r="T74" i="18"/>
  <c r="O74" i="18"/>
  <c r="K74" i="20" s="1"/>
  <c r="L74" i="18"/>
  <c r="L74" i="19" s="1"/>
  <c r="J74" i="18"/>
  <c r="H74" i="20" s="1"/>
  <c r="F74" i="18"/>
  <c r="C74" i="19" s="1"/>
  <c r="D74" i="18"/>
  <c r="T73" i="18"/>
  <c r="O73" i="18"/>
  <c r="K73" i="20" s="1"/>
  <c r="L73" i="18"/>
  <c r="L73" i="19" s="1"/>
  <c r="J73" i="18"/>
  <c r="F73" i="18"/>
  <c r="C73" i="19" s="1"/>
  <c r="D73" i="18"/>
  <c r="T72" i="18"/>
  <c r="O72" i="18"/>
  <c r="L72" i="18"/>
  <c r="L72" i="19" s="1"/>
  <c r="J72" i="18"/>
  <c r="F72" i="18"/>
  <c r="C72" i="20" s="1"/>
  <c r="D72" i="18"/>
  <c r="T71" i="18"/>
  <c r="O71" i="18"/>
  <c r="L71" i="18"/>
  <c r="L71" i="19" s="1"/>
  <c r="J71" i="18"/>
  <c r="F71" i="18"/>
  <c r="C71" i="20" s="1"/>
  <c r="D71" i="18"/>
  <c r="D71" i="20" s="1"/>
  <c r="T70" i="18"/>
  <c r="O70" i="18"/>
  <c r="L70" i="18"/>
  <c r="L70" i="19" s="1"/>
  <c r="J70" i="18"/>
  <c r="H70" i="20" s="1"/>
  <c r="F70" i="18"/>
  <c r="C70" i="20" s="1"/>
  <c r="D70" i="18"/>
  <c r="D70" i="20" s="1"/>
  <c r="T69" i="18"/>
  <c r="O69" i="18"/>
  <c r="K69" i="20" s="1"/>
  <c r="L69" i="18"/>
  <c r="L69" i="19" s="1"/>
  <c r="J69" i="18"/>
  <c r="H69" i="20" s="1"/>
  <c r="F69" i="18"/>
  <c r="C69" i="20" s="1"/>
  <c r="D69" i="18"/>
  <c r="D69" i="20" s="1"/>
  <c r="T68" i="18"/>
  <c r="O68" i="18"/>
  <c r="K68" i="20" s="1"/>
  <c r="L68" i="18"/>
  <c r="L68" i="19" s="1"/>
  <c r="J68" i="18"/>
  <c r="H68" i="20" s="1"/>
  <c r="F68" i="18"/>
  <c r="C68" i="19" s="1"/>
  <c r="D68" i="18"/>
  <c r="D68" i="20" s="1"/>
  <c r="T67" i="18"/>
  <c r="O67" i="18"/>
  <c r="K67" i="20" s="1"/>
  <c r="L67" i="18"/>
  <c r="L67" i="19" s="1"/>
  <c r="J67" i="18"/>
  <c r="H67" i="20" s="1"/>
  <c r="F67" i="18"/>
  <c r="C67" i="20" s="1"/>
  <c r="D67" i="18"/>
  <c r="D67" i="20" s="1"/>
  <c r="T66" i="18"/>
  <c r="O66" i="18"/>
  <c r="K66" i="20" s="1"/>
  <c r="L66" i="18"/>
  <c r="L66" i="19" s="1"/>
  <c r="J66" i="18"/>
  <c r="H66" i="20" s="1"/>
  <c r="F66" i="18"/>
  <c r="C66" i="19" s="1"/>
  <c r="D66" i="18"/>
  <c r="D66" i="20" s="1"/>
  <c r="T65" i="18"/>
  <c r="O65" i="18"/>
  <c r="K65" i="20" s="1"/>
  <c r="L65" i="18"/>
  <c r="L65" i="19" s="1"/>
  <c r="J65" i="18"/>
  <c r="H65" i="20" s="1"/>
  <c r="F65" i="18"/>
  <c r="C65" i="19" s="1"/>
  <c r="D65" i="18"/>
  <c r="D65" i="20" s="1"/>
  <c r="T64" i="18"/>
  <c r="O64" i="18"/>
  <c r="K64" i="20" s="1"/>
  <c r="L64" i="18"/>
  <c r="L64" i="19" s="1"/>
  <c r="J64" i="18"/>
  <c r="H64" i="20" s="1"/>
  <c r="F64" i="18"/>
  <c r="C64" i="20" s="1"/>
  <c r="D64" i="18"/>
  <c r="D64" i="20" s="1"/>
  <c r="T63" i="18"/>
  <c r="O63" i="18"/>
  <c r="K63" i="20" s="1"/>
  <c r="L63" i="18"/>
  <c r="L63" i="19" s="1"/>
  <c r="J63" i="18"/>
  <c r="H63" i="20" s="1"/>
  <c r="F63" i="18"/>
  <c r="C63" i="20" s="1"/>
  <c r="D63" i="18"/>
  <c r="D63" i="20" s="1"/>
  <c r="T62" i="18"/>
  <c r="O62" i="18"/>
  <c r="K62" i="20" s="1"/>
  <c r="L62" i="18"/>
  <c r="L62" i="19" s="1"/>
  <c r="J62" i="18"/>
  <c r="H62" i="20" s="1"/>
  <c r="F62" i="18"/>
  <c r="C62" i="20" s="1"/>
  <c r="D62" i="18"/>
  <c r="D62" i="20" s="1"/>
  <c r="T61" i="18"/>
  <c r="O61" i="18"/>
  <c r="K61" i="20" s="1"/>
  <c r="L61" i="18"/>
  <c r="L61" i="19" s="1"/>
  <c r="J61" i="18"/>
  <c r="H61" i="20" s="1"/>
  <c r="F61" i="18"/>
  <c r="C61" i="20" s="1"/>
  <c r="D61" i="18"/>
  <c r="D61" i="20" s="1"/>
  <c r="T60" i="18"/>
  <c r="O60" i="18"/>
  <c r="K60" i="20" s="1"/>
  <c r="L60" i="18"/>
  <c r="L60" i="19" s="1"/>
  <c r="J60" i="18"/>
  <c r="H60" i="20" s="1"/>
  <c r="F60" i="18"/>
  <c r="C60" i="19" s="1"/>
  <c r="D60" i="18"/>
  <c r="D60" i="20" s="1"/>
  <c r="T59" i="18"/>
  <c r="O59" i="18"/>
  <c r="K59" i="20" s="1"/>
  <c r="L59" i="18"/>
  <c r="L59" i="19" s="1"/>
  <c r="J59" i="18"/>
  <c r="H59" i="20" s="1"/>
  <c r="F59" i="18"/>
  <c r="C59" i="20" s="1"/>
  <c r="D59" i="18"/>
  <c r="D59" i="20" s="1"/>
  <c r="T58" i="18"/>
  <c r="O58" i="18"/>
  <c r="K58" i="20" s="1"/>
  <c r="L58" i="18"/>
  <c r="L58" i="19" s="1"/>
  <c r="J58" i="18"/>
  <c r="H58" i="20" s="1"/>
  <c r="F58" i="18"/>
  <c r="C58" i="19" s="1"/>
  <c r="D58" i="18"/>
  <c r="D58" i="20" s="1"/>
  <c r="T57" i="18"/>
  <c r="O57" i="18"/>
  <c r="K57" i="20" s="1"/>
  <c r="L57" i="18"/>
  <c r="L57" i="19" s="1"/>
  <c r="J57" i="18"/>
  <c r="H57" i="20" s="1"/>
  <c r="F57" i="18"/>
  <c r="C57" i="19" s="1"/>
  <c r="D57" i="18"/>
  <c r="D57" i="20" s="1"/>
  <c r="T56" i="18"/>
  <c r="O56" i="18"/>
  <c r="K56" i="20" s="1"/>
  <c r="L56" i="18"/>
  <c r="L56" i="19" s="1"/>
  <c r="J56" i="18"/>
  <c r="H56" i="20" s="1"/>
  <c r="F56" i="18"/>
  <c r="C56" i="20" s="1"/>
  <c r="D56" i="18"/>
  <c r="D56" i="20" s="1"/>
  <c r="T55" i="18"/>
  <c r="O55" i="18"/>
  <c r="K55" i="20" s="1"/>
  <c r="L55" i="18"/>
  <c r="L55" i="19" s="1"/>
  <c r="J55" i="18"/>
  <c r="H55" i="20" s="1"/>
  <c r="F55" i="18"/>
  <c r="C55" i="20" s="1"/>
  <c r="D55" i="18"/>
  <c r="D55" i="20" s="1"/>
  <c r="T54" i="18"/>
  <c r="O54" i="18"/>
  <c r="K54" i="20" s="1"/>
  <c r="L54" i="18"/>
  <c r="L54" i="19" s="1"/>
  <c r="J54" i="18"/>
  <c r="H54" i="20" s="1"/>
  <c r="F54" i="18"/>
  <c r="C54" i="20" s="1"/>
  <c r="D54" i="18"/>
  <c r="D54" i="20" s="1"/>
  <c r="T53" i="18"/>
  <c r="O53" i="18"/>
  <c r="K53" i="20" s="1"/>
  <c r="L53" i="18"/>
  <c r="L53" i="19" s="1"/>
  <c r="J53" i="18"/>
  <c r="H53" i="20" s="1"/>
  <c r="F53" i="18"/>
  <c r="C53" i="20" s="1"/>
  <c r="D53" i="18"/>
  <c r="D53" i="20" s="1"/>
  <c r="T52" i="18"/>
  <c r="O52" i="18"/>
  <c r="K52" i="20" s="1"/>
  <c r="L52" i="18"/>
  <c r="L52" i="19" s="1"/>
  <c r="J52" i="18"/>
  <c r="H52" i="20" s="1"/>
  <c r="F52" i="18"/>
  <c r="C52" i="19" s="1"/>
  <c r="D52" i="18"/>
  <c r="D52" i="20" s="1"/>
  <c r="T51" i="18"/>
  <c r="O51" i="18"/>
  <c r="K51" i="20" s="1"/>
  <c r="L51" i="18"/>
  <c r="L51" i="19" s="1"/>
  <c r="J51" i="18"/>
  <c r="H51" i="20" s="1"/>
  <c r="F51" i="18"/>
  <c r="C51" i="20" s="1"/>
  <c r="D51" i="18"/>
  <c r="D51" i="20" s="1"/>
  <c r="T50" i="18"/>
  <c r="O50" i="18"/>
  <c r="K50" i="20" s="1"/>
  <c r="L50" i="18"/>
  <c r="L50" i="19" s="1"/>
  <c r="J50" i="18"/>
  <c r="H50" i="20" s="1"/>
  <c r="F50" i="18"/>
  <c r="C50" i="19" s="1"/>
  <c r="D50" i="18"/>
  <c r="D50" i="20" s="1"/>
  <c r="T49" i="18"/>
  <c r="O49" i="18"/>
  <c r="K49" i="20" s="1"/>
  <c r="L49" i="18"/>
  <c r="L49" i="19" s="1"/>
  <c r="J49" i="18"/>
  <c r="H49" i="20" s="1"/>
  <c r="F49" i="18"/>
  <c r="C49" i="19" s="1"/>
  <c r="D49" i="18"/>
  <c r="D49" i="20" s="1"/>
  <c r="T48" i="18"/>
  <c r="O48" i="18"/>
  <c r="K48" i="20" s="1"/>
  <c r="L48" i="18"/>
  <c r="L48" i="19" s="1"/>
  <c r="J48" i="18"/>
  <c r="H48" i="20" s="1"/>
  <c r="F48" i="18"/>
  <c r="C48" i="20" s="1"/>
  <c r="D48" i="18"/>
  <c r="D48" i="20" s="1"/>
  <c r="T47" i="18"/>
  <c r="O47" i="18"/>
  <c r="K47" i="20" s="1"/>
  <c r="L47" i="18"/>
  <c r="L47" i="19" s="1"/>
  <c r="J47" i="18"/>
  <c r="H47" i="20" s="1"/>
  <c r="F47" i="18"/>
  <c r="C47" i="20" s="1"/>
  <c r="D47" i="18"/>
  <c r="D47" i="20" s="1"/>
  <c r="T46" i="18"/>
  <c r="O46" i="18"/>
  <c r="K46" i="20" s="1"/>
  <c r="L46" i="18"/>
  <c r="L46" i="19" s="1"/>
  <c r="J46" i="18"/>
  <c r="H46" i="20" s="1"/>
  <c r="F46" i="18"/>
  <c r="C46" i="20" s="1"/>
  <c r="D46" i="18"/>
  <c r="D46" i="20" s="1"/>
  <c r="T45" i="18"/>
  <c r="O45" i="18"/>
  <c r="K45" i="20" s="1"/>
  <c r="L45" i="18"/>
  <c r="L45" i="19" s="1"/>
  <c r="J45" i="18"/>
  <c r="H45" i="20" s="1"/>
  <c r="F45" i="18"/>
  <c r="C45" i="20" s="1"/>
  <c r="D45" i="18"/>
  <c r="D45" i="20" s="1"/>
  <c r="T44" i="18"/>
  <c r="O44" i="18"/>
  <c r="K44" i="20" s="1"/>
  <c r="L44" i="18"/>
  <c r="L44" i="19" s="1"/>
  <c r="J44" i="18"/>
  <c r="H44" i="20" s="1"/>
  <c r="F44" i="18"/>
  <c r="C44" i="19" s="1"/>
  <c r="D44" i="18"/>
  <c r="D44" i="20" s="1"/>
  <c r="T43" i="18"/>
  <c r="O43" i="18"/>
  <c r="K43" i="20" s="1"/>
  <c r="L43" i="18"/>
  <c r="L43" i="19" s="1"/>
  <c r="J43" i="18"/>
  <c r="H43" i="20" s="1"/>
  <c r="F43" i="18"/>
  <c r="C43" i="20" s="1"/>
  <c r="D43" i="18"/>
  <c r="D43" i="20" s="1"/>
  <c r="T42" i="18"/>
  <c r="O42" i="18"/>
  <c r="K42" i="20" s="1"/>
  <c r="L42" i="18"/>
  <c r="L42" i="19" s="1"/>
  <c r="J42" i="18"/>
  <c r="H42" i="20" s="1"/>
  <c r="F42" i="18"/>
  <c r="C42" i="19" s="1"/>
  <c r="D42" i="18"/>
  <c r="D42" i="20" s="1"/>
  <c r="T41" i="18"/>
  <c r="O41" i="18"/>
  <c r="K41" i="20" s="1"/>
  <c r="L41" i="18"/>
  <c r="L41" i="19" s="1"/>
  <c r="J41" i="18"/>
  <c r="H41" i="20" s="1"/>
  <c r="F41" i="18"/>
  <c r="C41" i="19" s="1"/>
  <c r="D41" i="18"/>
  <c r="D41" i="20" s="1"/>
  <c r="T40" i="18"/>
  <c r="O40" i="18"/>
  <c r="K40" i="20" s="1"/>
  <c r="L40" i="18"/>
  <c r="L40" i="19" s="1"/>
  <c r="J40" i="18"/>
  <c r="H40" i="20" s="1"/>
  <c r="F40" i="18"/>
  <c r="C40" i="20" s="1"/>
  <c r="D40" i="18"/>
  <c r="D40" i="20" s="1"/>
  <c r="T39" i="18"/>
  <c r="O39" i="18"/>
  <c r="K39" i="20" s="1"/>
  <c r="L39" i="18"/>
  <c r="L39" i="19" s="1"/>
  <c r="J39" i="18"/>
  <c r="H39" i="20" s="1"/>
  <c r="F39" i="18"/>
  <c r="C39" i="20" s="1"/>
  <c r="D39" i="18"/>
  <c r="D39" i="20" s="1"/>
  <c r="T38" i="18"/>
  <c r="O38" i="18"/>
  <c r="K38" i="20" s="1"/>
  <c r="L38" i="18"/>
  <c r="L38" i="19" s="1"/>
  <c r="J38" i="18"/>
  <c r="H38" i="20" s="1"/>
  <c r="F38" i="18"/>
  <c r="C38" i="20" s="1"/>
  <c r="D38" i="18"/>
  <c r="D38" i="20" s="1"/>
  <c r="T37" i="18"/>
  <c r="O37" i="18"/>
  <c r="K37" i="20" s="1"/>
  <c r="L37" i="18"/>
  <c r="L37" i="19" s="1"/>
  <c r="J37" i="18"/>
  <c r="H37" i="20" s="1"/>
  <c r="F37" i="18"/>
  <c r="C37" i="20" s="1"/>
  <c r="D37" i="18"/>
  <c r="D37" i="20" s="1"/>
  <c r="T36" i="18"/>
  <c r="O36" i="18"/>
  <c r="K36" i="20" s="1"/>
  <c r="L36" i="18"/>
  <c r="L36" i="19" s="1"/>
  <c r="J36" i="18"/>
  <c r="H36" i="20" s="1"/>
  <c r="F36" i="18"/>
  <c r="C36" i="19" s="1"/>
  <c r="D36" i="18"/>
  <c r="D36" i="20" s="1"/>
  <c r="T35" i="18"/>
  <c r="O35" i="18"/>
  <c r="K35" i="20" s="1"/>
  <c r="L35" i="18"/>
  <c r="L35" i="19" s="1"/>
  <c r="J35" i="18"/>
  <c r="H35" i="20" s="1"/>
  <c r="F35" i="18"/>
  <c r="C35" i="20" s="1"/>
  <c r="D35" i="18"/>
  <c r="D35" i="20" s="1"/>
  <c r="T34" i="18"/>
  <c r="O34" i="18"/>
  <c r="K34" i="20" s="1"/>
  <c r="L34" i="18"/>
  <c r="L34" i="19" s="1"/>
  <c r="J34" i="18"/>
  <c r="H34" i="20" s="1"/>
  <c r="F34" i="18"/>
  <c r="C34" i="19" s="1"/>
  <c r="D34" i="18"/>
  <c r="D34" i="20" s="1"/>
  <c r="T33" i="18"/>
  <c r="O33" i="18"/>
  <c r="K33" i="20" s="1"/>
  <c r="L33" i="18"/>
  <c r="L33" i="19" s="1"/>
  <c r="J33" i="18"/>
  <c r="H33" i="20" s="1"/>
  <c r="F33" i="18"/>
  <c r="C33" i="19" s="1"/>
  <c r="D33" i="18"/>
  <c r="D33" i="20" s="1"/>
  <c r="T32" i="18"/>
  <c r="O32" i="18"/>
  <c r="K32" i="20" s="1"/>
  <c r="L32" i="18"/>
  <c r="L32" i="19" s="1"/>
  <c r="J32" i="18"/>
  <c r="H32" i="20" s="1"/>
  <c r="F32" i="18"/>
  <c r="C32" i="20" s="1"/>
  <c r="D32" i="18"/>
  <c r="D32" i="20" s="1"/>
  <c r="T31" i="18"/>
  <c r="O31" i="18"/>
  <c r="K31" i="20" s="1"/>
  <c r="L31" i="18"/>
  <c r="L31" i="19" s="1"/>
  <c r="J31" i="18"/>
  <c r="H31" i="20" s="1"/>
  <c r="F31" i="18"/>
  <c r="C31" i="20" s="1"/>
  <c r="D31" i="18"/>
  <c r="D31" i="20" s="1"/>
  <c r="T30" i="18"/>
  <c r="O30" i="18"/>
  <c r="K30" i="20" s="1"/>
  <c r="L30" i="18"/>
  <c r="L30" i="19" s="1"/>
  <c r="J30" i="18"/>
  <c r="H30" i="20" s="1"/>
  <c r="F30" i="18"/>
  <c r="C30" i="20" s="1"/>
  <c r="D30" i="18"/>
  <c r="D30" i="20" s="1"/>
  <c r="T29" i="18"/>
  <c r="O29" i="18"/>
  <c r="K29" i="20" s="1"/>
  <c r="L29" i="18"/>
  <c r="L29" i="19" s="1"/>
  <c r="J29" i="18"/>
  <c r="H29" i="20" s="1"/>
  <c r="F29" i="18"/>
  <c r="C29" i="20" s="1"/>
  <c r="D29" i="18"/>
  <c r="D29" i="20" s="1"/>
  <c r="T28" i="18"/>
  <c r="O28" i="18"/>
  <c r="K28" i="20" s="1"/>
  <c r="L28" i="18"/>
  <c r="L28" i="19" s="1"/>
  <c r="J28" i="18"/>
  <c r="H28" i="20" s="1"/>
  <c r="F28" i="18"/>
  <c r="C28" i="19" s="1"/>
  <c r="D28" i="18"/>
  <c r="D28" i="20" s="1"/>
  <c r="T27" i="18"/>
  <c r="O27" i="18"/>
  <c r="K27" i="20" s="1"/>
  <c r="L27" i="18"/>
  <c r="L27" i="19" s="1"/>
  <c r="J27" i="18"/>
  <c r="H27" i="20" s="1"/>
  <c r="F27" i="18"/>
  <c r="C27" i="20" s="1"/>
  <c r="D27" i="18"/>
  <c r="D27" i="20" s="1"/>
  <c r="T26" i="18"/>
  <c r="O26" i="18"/>
  <c r="K26" i="20" s="1"/>
  <c r="L26" i="18"/>
  <c r="L26" i="19" s="1"/>
  <c r="J26" i="18"/>
  <c r="H26" i="20" s="1"/>
  <c r="F26" i="18"/>
  <c r="C26" i="19" s="1"/>
  <c r="D26" i="18"/>
  <c r="D26" i="20" s="1"/>
  <c r="T25" i="18"/>
  <c r="O25" i="18"/>
  <c r="L25" i="18"/>
  <c r="L25" i="19" s="1"/>
  <c r="J25" i="18"/>
  <c r="F25" i="18"/>
  <c r="C25" i="19" s="1"/>
  <c r="D25" i="18"/>
  <c r="D25" i="20" s="1"/>
  <c r="T24" i="18"/>
  <c r="O24" i="18"/>
  <c r="K24" i="20" s="1"/>
  <c r="L24" i="18"/>
  <c r="L24" i="19" s="1"/>
  <c r="J24" i="18"/>
  <c r="H24" i="20" s="1"/>
  <c r="F24" i="18"/>
  <c r="C24" i="20" s="1"/>
  <c r="D24" i="18"/>
  <c r="D24" i="20" s="1"/>
  <c r="T23" i="18"/>
  <c r="O23" i="18"/>
  <c r="K23" i="20" s="1"/>
  <c r="L23" i="18"/>
  <c r="L23" i="19" s="1"/>
  <c r="J23" i="18"/>
  <c r="H23" i="20" s="1"/>
  <c r="F23" i="18"/>
  <c r="C23" i="20" s="1"/>
  <c r="D23" i="18"/>
  <c r="D23" i="20" s="1"/>
  <c r="T22" i="18"/>
  <c r="O22" i="18"/>
  <c r="K22" i="20" s="1"/>
  <c r="L22" i="18"/>
  <c r="L22" i="19" s="1"/>
  <c r="J22" i="18"/>
  <c r="H22" i="20" s="1"/>
  <c r="F22" i="18"/>
  <c r="C22" i="20" s="1"/>
  <c r="D22" i="18"/>
  <c r="D22" i="20" s="1"/>
  <c r="T21" i="18"/>
  <c r="O21" i="18"/>
  <c r="K21" i="20" s="1"/>
  <c r="L21" i="18"/>
  <c r="L21" i="19" s="1"/>
  <c r="J21" i="18"/>
  <c r="H21" i="20" s="1"/>
  <c r="F21" i="18"/>
  <c r="C21" i="20" s="1"/>
  <c r="D21" i="18"/>
  <c r="D21" i="20" s="1"/>
  <c r="T20" i="18"/>
  <c r="O20" i="18"/>
  <c r="K20" i="20" s="1"/>
  <c r="L20" i="18"/>
  <c r="L20" i="19" s="1"/>
  <c r="J20" i="18"/>
  <c r="H20" i="20" s="1"/>
  <c r="F20" i="18"/>
  <c r="C20" i="19" s="1"/>
  <c r="D20" i="18"/>
  <c r="D20" i="20" s="1"/>
  <c r="T19" i="18"/>
  <c r="O19" i="18"/>
  <c r="K19" i="20" s="1"/>
  <c r="L19" i="18"/>
  <c r="L19" i="19" s="1"/>
  <c r="J19" i="18"/>
  <c r="H19" i="20" s="1"/>
  <c r="F19" i="18"/>
  <c r="C19" i="20" s="1"/>
  <c r="D19" i="18"/>
  <c r="D19" i="20" s="1"/>
  <c r="T18" i="18"/>
  <c r="O18" i="18"/>
  <c r="K18" i="20" s="1"/>
  <c r="L18" i="18"/>
  <c r="L18" i="19" s="1"/>
  <c r="J18" i="18"/>
  <c r="H18" i="20" s="1"/>
  <c r="F18" i="18"/>
  <c r="C18" i="19" s="1"/>
  <c r="D18" i="18"/>
  <c r="D18" i="20" s="1"/>
  <c r="T17" i="18"/>
  <c r="O17" i="18"/>
  <c r="K17" i="20" s="1"/>
  <c r="L17" i="18"/>
  <c r="L17" i="19" s="1"/>
  <c r="J17" i="18"/>
  <c r="H17" i="20" s="1"/>
  <c r="F17" i="18"/>
  <c r="C17" i="19" s="1"/>
  <c r="D17" i="18"/>
  <c r="D17" i="20" s="1"/>
  <c r="T16" i="18"/>
  <c r="O16" i="18"/>
  <c r="K16" i="20" s="1"/>
  <c r="L16" i="18"/>
  <c r="L16" i="19" s="1"/>
  <c r="J16" i="18"/>
  <c r="H16" i="20" s="1"/>
  <c r="F16" i="18"/>
  <c r="C16" i="20" s="1"/>
  <c r="D16" i="18"/>
  <c r="D16" i="20" s="1"/>
  <c r="T15" i="18"/>
  <c r="O15" i="18"/>
  <c r="K15" i="20" s="1"/>
  <c r="L15" i="18"/>
  <c r="L15" i="19" s="1"/>
  <c r="J15" i="18"/>
  <c r="H15" i="20" s="1"/>
  <c r="F15" i="18"/>
  <c r="C15" i="20" s="1"/>
  <c r="D15" i="18"/>
  <c r="D15" i="20" s="1"/>
  <c r="T14" i="18"/>
  <c r="O14" i="18"/>
  <c r="K14" i="20" s="1"/>
  <c r="L14" i="18"/>
  <c r="L14" i="19" s="1"/>
  <c r="J14" i="18"/>
  <c r="H14" i="20" s="1"/>
  <c r="F14" i="18"/>
  <c r="C14" i="20" s="1"/>
  <c r="D14" i="18"/>
  <c r="D14" i="20" s="1"/>
  <c r="T13" i="18"/>
  <c r="O13" i="18"/>
  <c r="K13" i="20" s="1"/>
  <c r="L13" i="18"/>
  <c r="L13" i="19" s="1"/>
  <c r="J13" i="18"/>
  <c r="H13" i="20" s="1"/>
  <c r="F13" i="18"/>
  <c r="C13" i="20" s="1"/>
  <c r="D13" i="18"/>
  <c r="D13" i="20" s="1"/>
  <c r="T12" i="18"/>
  <c r="O12" i="18"/>
  <c r="K12" i="20" s="1"/>
  <c r="L12" i="18"/>
  <c r="L12" i="19" s="1"/>
  <c r="J12" i="18"/>
  <c r="H12" i="20" s="1"/>
  <c r="F12" i="18"/>
  <c r="C12" i="19" s="1"/>
  <c r="D12" i="18"/>
  <c r="D12" i="20" s="1"/>
  <c r="T11" i="18"/>
  <c r="O11" i="18"/>
  <c r="K11" i="20" s="1"/>
  <c r="L11" i="18"/>
  <c r="L11" i="19" s="1"/>
  <c r="J11" i="18"/>
  <c r="H11" i="20" s="1"/>
  <c r="F11" i="18"/>
  <c r="C11" i="20" s="1"/>
  <c r="D11" i="18"/>
  <c r="D11" i="20" s="1"/>
  <c r="T10" i="18"/>
  <c r="O10" i="18"/>
  <c r="K10" i="20" s="1"/>
  <c r="L10" i="18"/>
  <c r="L10" i="19" s="1"/>
  <c r="J10" i="18"/>
  <c r="H10" i="20" s="1"/>
  <c r="F10" i="18"/>
  <c r="C10" i="19" s="1"/>
  <c r="D10" i="18"/>
  <c r="D10" i="20" s="1"/>
  <c r="T9" i="18"/>
  <c r="O9" i="18"/>
  <c r="K9" i="20" s="1"/>
  <c r="L9" i="18"/>
  <c r="L9" i="19" s="1"/>
  <c r="J9" i="18"/>
  <c r="H9" i="20" s="1"/>
  <c r="F9" i="18"/>
  <c r="C9" i="19" s="1"/>
  <c r="D9" i="18"/>
  <c r="D9" i="20" s="1"/>
  <c r="T8" i="18"/>
  <c r="O8" i="18"/>
  <c r="K8" i="20" s="1"/>
  <c r="L8" i="18"/>
  <c r="L8" i="19" s="1"/>
  <c r="J8" i="18"/>
  <c r="H8" i="20" s="1"/>
  <c r="F8" i="18"/>
  <c r="C8" i="19" s="1"/>
  <c r="D8" i="18"/>
  <c r="D8" i="20" s="1"/>
  <c r="T7" i="18"/>
  <c r="O7" i="18"/>
  <c r="K7" i="20" s="1"/>
  <c r="L7" i="18"/>
  <c r="L7" i="19" s="1"/>
  <c r="J7" i="18"/>
  <c r="H7" i="20" s="1"/>
  <c r="F7" i="18"/>
  <c r="C7" i="20" s="1"/>
  <c r="D7" i="18"/>
  <c r="D7" i="20" s="1"/>
  <c r="T6" i="18"/>
  <c r="O6" i="18"/>
  <c r="K6" i="20" s="1"/>
  <c r="L6" i="18"/>
  <c r="L6" i="19" s="1"/>
  <c r="J6" i="18"/>
  <c r="H6" i="20" s="1"/>
  <c r="F6" i="18"/>
  <c r="C6" i="20" s="1"/>
  <c r="D6" i="18"/>
  <c r="D6" i="20" s="1"/>
  <c r="T5" i="18"/>
  <c r="O5" i="18"/>
  <c r="K5" i="20" s="1"/>
  <c r="L5" i="18"/>
  <c r="L5" i="19" s="1"/>
  <c r="J5" i="18"/>
  <c r="H5" i="20" s="1"/>
  <c r="F5" i="18"/>
  <c r="C5" i="20" s="1"/>
  <c r="D5" i="18"/>
  <c r="D5" i="20" s="1"/>
  <c r="H3" i="18"/>
  <c r="S395" i="3"/>
  <c r="M7" i="10" s="1"/>
  <c r="L7" i="10"/>
  <c r="H395" i="3"/>
  <c r="T305" i="3"/>
  <c r="O305" i="3"/>
  <c r="F305" i="9" s="1"/>
  <c r="I305" i="9" s="1"/>
  <c r="L305" i="3"/>
  <c r="L305" i="9" s="1"/>
  <c r="J305" i="3"/>
  <c r="E305" i="9" s="1"/>
  <c r="H305" i="9" s="1"/>
  <c r="F305" i="3"/>
  <c r="C305" i="9" s="1"/>
  <c r="D305" i="3"/>
  <c r="D305" i="9" s="1"/>
  <c r="T304" i="3"/>
  <c r="O304" i="3"/>
  <c r="F304" i="9" s="1"/>
  <c r="I304" i="9" s="1"/>
  <c r="L304" i="3"/>
  <c r="L304" i="9" s="1"/>
  <c r="J304" i="3"/>
  <c r="E304" i="9" s="1"/>
  <c r="H304" i="9" s="1"/>
  <c r="F304" i="3"/>
  <c r="C304" i="9" s="1"/>
  <c r="D304" i="3"/>
  <c r="D304" i="9" s="1"/>
  <c r="T303" i="3"/>
  <c r="O303" i="3"/>
  <c r="F303" i="9" s="1"/>
  <c r="I303" i="9" s="1"/>
  <c r="L303" i="3"/>
  <c r="L303" i="9" s="1"/>
  <c r="J303" i="3"/>
  <c r="E303" i="9" s="1"/>
  <c r="H303" i="9" s="1"/>
  <c r="F303" i="3"/>
  <c r="C303" i="9" s="1"/>
  <c r="D303" i="3"/>
  <c r="D303" i="9" s="1"/>
  <c r="T302" i="3"/>
  <c r="O302" i="3"/>
  <c r="F302" i="9" s="1"/>
  <c r="I302" i="9" s="1"/>
  <c r="L302" i="3"/>
  <c r="L302" i="9" s="1"/>
  <c r="J302" i="3"/>
  <c r="E302" i="9" s="1"/>
  <c r="H302" i="9" s="1"/>
  <c r="F302" i="3"/>
  <c r="C302" i="9" s="1"/>
  <c r="D302" i="3"/>
  <c r="D302" i="9" s="1"/>
  <c r="T301" i="3"/>
  <c r="O301" i="3"/>
  <c r="L301" i="3"/>
  <c r="L301" i="9" s="1"/>
  <c r="J301" i="3"/>
  <c r="F301" i="3"/>
  <c r="D301" i="3"/>
  <c r="T300" i="3"/>
  <c r="O300" i="3"/>
  <c r="L300" i="3"/>
  <c r="L300" i="9" s="1"/>
  <c r="J300" i="3"/>
  <c r="E300" i="9" s="1"/>
  <c r="H300" i="9" s="1"/>
  <c r="F300" i="3"/>
  <c r="D300" i="3"/>
  <c r="T299" i="3"/>
  <c r="O299" i="3"/>
  <c r="L299" i="3"/>
  <c r="L299" i="9" s="1"/>
  <c r="J299" i="3"/>
  <c r="F299" i="3"/>
  <c r="D299" i="3"/>
  <c r="T298" i="3"/>
  <c r="O298" i="3"/>
  <c r="L298" i="3"/>
  <c r="L298" i="9" s="1"/>
  <c r="J298" i="3"/>
  <c r="F298" i="3"/>
  <c r="D298" i="3"/>
  <c r="T297" i="3"/>
  <c r="O297" i="3"/>
  <c r="L297" i="3"/>
  <c r="L297" i="9" s="1"/>
  <c r="J297" i="3"/>
  <c r="F297" i="3"/>
  <c r="D297" i="3"/>
  <c r="T296" i="3"/>
  <c r="O296" i="3"/>
  <c r="L296" i="3"/>
  <c r="L296" i="9" s="1"/>
  <c r="J296" i="3"/>
  <c r="E296" i="9" s="1"/>
  <c r="H296" i="9" s="1"/>
  <c r="F296" i="3"/>
  <c r="D296" i="3"/>
  <c r="T295" i="3"/>
  <c r="O295" i="3"/>
  <c r="L295" i="3"/>
  <c r="L295" i="9" s="1"/>
  <c r="J295" i="3"/>
  <c r="F295" i="3"/>
  <c r="D295" i="3"/>
  <c r="T294" i="3"/>
  <c r="O294" i="3"/>
  <c r="L294" i="3"/>
  <c r="L294" i="9" s="1"/>
  <c r="J294" i="3"/>
  <c r="F294" i="3"/>
  <c r="D294" i="3"/>
  <c r="T293" i="3"/>
  <c r="O293" i="3"/>
  <c r="L293" i="3"/>
  <c r="L293" i="9" s="1"/>
  <c r="J293" i="3"/>
  <c r="F293" i="3"/>
  <c r="D293" i="3"/>
  <c r="T292" i="3"/>
  <c r="O292" i="3"/>
  <c r="L292" i="3"/>
  <c r="L292" i="9" s="1"/>
  <c r="J292" i="3"/>
  <c r="E292" i="9" s="1"/>
  <c r="H292" i="9" s="1"/>
  <c r="F292" i="3"/>
  <c r="D292" i="3"/>
  <c r="T291" i="3"/>
  <c r="O291" i="3"/>
  <c r="L291" i="3"/>
  <c r="L291" i="9" s="1"/>
  <c r="J291" i="3"/>
  <c r="F291" i="3"/>
  <c r="D291" i="3"/>
  <c r="T290" i="3"/>
  <c r="O290" i="3"/>
  <c r="L290" i="3"/>
  <c r="L290" i="9" s="1"/>
  <c r="J290" i="3"/>
  <c r="F290" i="3"/>
  <c r="D290" i="3"/>
  <c r="T289" i="3"/>
  <c r="O289" i="3"/>
  <c r="L289" i="3"/>
  <c r="L289" i="9" s="1"/>
  <c r="J289" i="3"/>
  <c r="F289" i="3"/>
  <c r="D289" i="3"/>
  <c r="T288" i="3"/>
  <c r="O288" i="3"/>
  <c r="L288" i="3"/>
  <c r="L288" i="9" s="1"/>
  <c r="J288" i="3"/>
  <c r="E288" i="9" s="1"/>
  <c r="H288" i="9" s="1"/>
  <c r="F288" i="3"/>
  <c r="D288" i="3"/>
  <c r="T287" i="3"/>
  <c r="O287" i="3"/>
  <c r="L287" i="3"/>
  <c r="L287" i="9" s="1"/>
  <c r="J287" i="3"/>
  <c r="F287" i="3"/>
  <c r="D287" i="3"/>
  <c r="T286" i="3"/>
  <c r="O286" i="3"/>
  <c r="L286" i="3"/>
  <c r="L286" i="9" s="1"/>
  <c r="J286" i="3"/>
  <c r="F286" i="3"/>
  <c r="D286" i="3"/>
  <c r="T285" i="3"/>
  <c r="O285" i="3"/>
  <c r="L285" i="3"/>
  <c r="L285" i="9" s="1"/>
  <c r="J285" i="3"/>
  <c r="F285" i="3"/>
  <c r="D285" i="3"/>
  <c r="T284" i="3"/>
  <c r="O284" i="3"/>
  <c r="L284" i="3"/>
  <c r="L284" i="9" s="1"/>
  <c r="J284" i="3"/>
  <c r="E284" i="9" s="1"/>
  <c r="H284" i="9" s="1"/>
  <c r="F284" i="3"/>
  <c r="D284" i="3"/>
  <c r="T283" i="3"/>
  <c r="O283" i="3"/>
  <c r="L283" i="3"/>
  <c r="L283" i="9" s="1"/>
  <c r="J283" i="3"/>
  <c r="F283" i="3"/>
  <c r="D283" i="3"/>
  <c r="T282" i="3"/>
  <c r="O282" i="3"/>
  <c r="L282" i="3"/>
  <c r="L282" i="9" s="1"/>
  <c r="J282" i="3"/>
  <c r="F282" i="3"/>
  <c r="D282" i="3"/>
  <c r="T281" i="3"/>
  <c r="O281" i="3"/>
  <c r="L281" i="3"/>
  <c r="L281" i="9" s="1"/>
  <c r="J281" i="3"/>
  <c r="F281" i="3"/>
  <c r="D281" i="3"/>
  <c r="T280" i="3"/>
  <c r="O280" i="3"/>
  <c r="L280" i="3"/>
  <c r="L280" i="9" s="1"/>
  <c r="J280" i="3"/>
  <c r="E280" i="9" s="1"/>
  <c r="H280" i="9" s="1"/>
  <c r="F280" i="3"/>
  <c r="D280" i="3"/>
  <c r="T279" i="3"/>
  <c r="O279" i="3"/>
  <c r="L279" i="3"/>
  <c r="L279" i="9" s="1"/>
  <c r="J279" i="3"/>
  <c r="F279" i="3"/>
  <c r="D279" i="3"/>
  <c r="T278" i="3"/>
  <c r="O278" i="3"/>
  <c r="L278" i="3"/>
  <c r="L278" i="9" s="1"/>
  <c r="J278" i="3"/>
  <c r="F278" i="3"/>
  <c r="D278" i="3"/>
  <c r="T277" i="3"/>
  <c r="O277" i="3"/>
  <c r="L277" i="3"/>
  <c r="L277" i="9" s="1"/>
  <c r="J277" i="3"/>
  <c r="F277" i="3"/>
  <c r="D277" i="3"/>
  <c r="T276" i="3"/>
  <c r="O276" i="3"/>
  <c r="L276" i="3"/>
  <c r="L276" i="9" s="1"/>
  <c r="J276" i="3"/>
  <c r="E276" i="9" s="1"/>
  <c r="H276" i="9" s="1"/>
  <c r="F276" i="3"/>
  <c r="D276" i="3"/>
  <c r="T275" i="3"/>
  <c r="O275" i="3"/>
  <c r="L275" i="3"/>
  <c r="L275" i="9" s="1"/>
  <c r="J275" i="3"/>
  <c r="F275" i="3"/>
  <c r="D275" i="3"/>
  <c r="T274" i="3"/>
  <c r="O274" i="3"/>
  <c r="L274" i="3"/>
  <c r="L274" i="9" s="1"/>
  <c r="J274" i="3"/>
  <c r="F274" i="3"/>
  <c r="D274" i="3"/>
  <c r="T273" i="3"/>
  <c r="O273" i="3"/>
  <c r="L273" i="3"/>
  <c r="L273" i="9" s="1"/>
  <c r="J273" i="3"/>
  <c r="F273" i="3"/>
  <c r="D273" i="3"/>
  <c r="T272" i="3"/>
  <c r="O272" i="3"/>
  <c r="L272" i="3"/>
  <c r="L272" i="9" s="1"/>
  <c r="J272" i="3"/>
  <c r="E272" i="9" s="1"/>
  <c r="H272" i="9" s="1"/>
  <c r="F272" i="3"/>
  <c r="D272" i="3"/>
  <c r="T271" i="3"/>
  <c r="O271" i="3"/>
  <c r="J271" i="3"/>
  <c r="F271" i="3"/>
  <c r="D271" i="3"/>
  <c r="T270" i="3"/>
  <c r="O270" i="3"/>
  <c r="L270" i="3"/>
  <c r="L270" i="9" s="1"/>
  <c r="J270" i="3"/>
  <c r="F270" i="3"/>
  <c r="D270" i="3"/>
  <c r="T269" i="3"/>
  <c r="O269" i="3"/>
  <c r="L269" i="3"/>
  <c r="L269" i="9" s="1"/>
  <c r="J269" i="3"/>
  <c r="F269" i="3"/>
  <c r="D269" i="3"/>
  <c r="T268" i="3"/>
  <c r="O268" i="3"/>
  <c r="L268" i="3"/>
  <c r="L268" i="9" s="1"/>
  <c r="J268" i="3"/>
  <c r="E268" i="9" s="1"/>
  <c r="H268" i="9" s="1"/>
  <c r="F268" i="3"/>
  <c r="D268" i="3"/>
  <c r="T267" i="3"/>
  <c r="O267" i="3"/>
  <c r="L267" i="3"/>
  <c r="L267" i="9" s="1"/>
  <c r="J267" i="3"/>
  <c r="F267" i="3"/>
  <c r="D267" i="3"/>
  <c r="T266" i="3"/>
  <c r="O266" i="3"/>
  <c r="L266" i="3"/>
  <c r="L266" i="9" s="1"/>
  <c r="J266" i="3"/>
  <c r="F266" i="3"/>
  <c r="D266" i="3"/>
  <c r="T265" i="3"/>
  <c r="O265" i="3"/>
  <c r="L265" i="3"/>
  <c r="L265" i="9" s="1"/>
  <c r="J265" i="3"/>
  <c r="F265" i="3"/>
  <c r="D265" i="3"/>
  <c r="T264" i="3"/>
  <c r="O264" i="3"/>
  <c r="L264" i="3"/>
  <c r="L264" i="9" s="1"/>
  <c r="J264" i="3"/>
  <c r="E264" i="9" s="1"/>
  <c r="H264" i="9" s="1"/>
  <c r="F264" i="3"/>
  <c r="D264" i="3"/>
  <c r="T263" i="3"/>
  <c r="O263" i="3"/>
  <c r="L263" i="3"/>
  <c r="L263" i="9" s="1"/>
  <c r="J263" i="3"/>
  <c r="F263" i="3"/>
  <c r="D263" i="3"/>
  <c r="T262" i="3"/>
  <c r="O262" i="3"/>
  <c r="L262" i="3"/>
  <c r="L262" i="9" s="1"/>
  <c r="J262" i="3"/>
  <c r="F262" i="3"/>
  <c r="D262" i="3"/>
  <c r="T261" i="3"/>
  <c r="O261" i="3"/>
  <c r="L261" i="3"/>
  <c r="L261" i="9" s="1"/>
  <c r="J261" i="3"/>
  <c r="F261" i="3"/>
  <c r="D261" i="3"/>
  <c r="T260" i="3"/>
  <c r="O260" i="3"/>
  <c r="L260" i="3"/>
  <c r="L260" i="9" s="1"/>
  <c r="J260" i="3"/>
  <c r="E260" i="9" s="1"/>
  <c r="H260" i="9" s="1"/>
  <c r="F260" i="3"/>
  <c r="D260" i="3"/>
  <c r="T259" i="3"/>
  <c r="O259" i="3"/>
  <c r="L259" i="3"/>
  <c r="L259" i="9" s="1"/>
  <c r="J259" i="3"/>
  <c r="F259" i="3"/>
  <c r="D259" i="3"/>
  <c r="T258" i="3"/>
  <c r="O258" i="3"/>
  <c r="L258" i="3"/>
  <c r="L258" i="9" s="1"/>
  <c r="J258" i="3"/>
  <c r="F258" i="3"/>
  <c r="D258" i="3"/>
  <c r="T257" i="3"/>
  <c r="O257" i="3"/>
  <c r="L257" i="3"/>
  <c r="L257" i="9" s="1"/>
  <c r="J257" i="3"/>
  <c r="F257" i="3"/>
  <c r="D257" i="3"/>
  <c r="T256" i="3"/>
  <c r="O256" i="3"/>
  <c r="L256" i="3"/>
  <c r="L256" i="9" s="1"/>
  <c r="J256" i="3"/>
  <c r="E256" i="9" s="1"/>
  <c r="H256" i="9" s="1"/>
  <c r="F256" i="3"/>
  <c r="D256" i="3"/>
  <c r="T255" i="3"/>
  <c r="O255" i="3"/>
  <c r="L255" i="3"/>
  <c r="L255" i="9" s="1"/>
  <c r="J255" i="3"/>
  <c r="F255" i="3"/>
  <c r="D255" i="3"/>
  <c r="T254" i="3"/>
  <c r="O254" i="3"/>
  <c r="L254" i="3"/>
  <c r="L254" i="9" s="1"/>
  <c r="J254" i="3"/>
  <c r="F254" i="3"/>
  <c r="D254" i="3"/>
  <c r="T253" i="3"/>
  <c r="O253" i="3"/>
  <c r="L253" i="3"/>
  <c r="L253" i="9" s="1"/>
  <c r="J253" i="3"/>
  <c r="F253" i="3"/>
  <c r="D253" i="3"/>
  <c r="T252" i="3"/>
  <c r="O252" i="3"/>
  <c r="L252" i="3"/>
  <c r="L252" i="9" s="1"/>
  <c r="J252" i="3"/>
  <c r="E252" i="9" s="1"/>
  <c r="H252" i="9" s="1"/>
  <c r="F252" i="3"/>
  <c r="D252" i="3"/>
  <c r="T251" i="3"/>
  <c r="O251" i="3"/>
  <c r="L251" i="3"/>
  <c r="L251" i="9" s="1"/>
  <c r="J251" i="3"/>
  <c r="F251" i="3"/>
  <c r="D251" i="3"/>
  <c r="T250" i="3"/>
  <c r="O250" i="3"/>
  <c r="L250" i="3"/>
  <c r="L250" i="9" s="1"/>
  <c r="J250" i="3"/>
  <c r="F250" i="3"/>
  <c r="D250" i="3"/>
  <c r="T249" i="3"/>
  <c r="O249" i="3"/>
  <c r="L249" i="3"/>
  <c r="L249" i="9" s="1"/>
  <c r="J249" i="3"/>
  <c r="F249" i="3"/>
  <c r="D249" i="3"/>
  <c r="T248" i="3"/>
  <c r="O248" i="3"/>
  <c r="L248" i="3"/>
  <c r="L248" i="9" s="1"/>
  <c r="J248" i="3"/>
  <c r="E248" i="9" s="1"/>
  <c r="H248" i="9" s="1"/>
  <c r="F248" i="3"/>
  <c r="D248" i="3"/>
  <c r="T247" i="3"/>
  <c r="O247" i="3"/>
  <c r="L247" i="3"/>
  <c r="L247" i="9" s="1"/>
  <c r="J247" i="3"/>
  <c r="F247" i="3"/>
  <c r="D247" i="3"/>
  <c r="T246" i="3"/>
  <c r="O246" i="3"/>
  <c r="L246" i="3"/>
  <c r="L246" i="9" s="1"/>
  <c r="J246" i="3"/>
  <c r="F246" i="3"/>
  <c r="D246" i="3"/>
  <c r="T245" i="3"/>
  <c r="O245" i="3"/>
  <c r="L245" i="3"/>
  <c r="L245" i="9" s="1"/>
  <c r="J245" i="3"/>
  <c r="F245" i="3"/>
  <c r="D245" i="3"/>
  <c r="T244" i="3"/>
  <c r="O244" i="3"/>
  <c r="L244" i="3"/>
  <c r="L244" i="9" s="1"/>
  <c r="J244" i="3"/>
  <c r="E244" i="9" s="1"/>
  <c r="H244" i="9" s="1"/>
  <c r="F244" i="3"/>
  <c r="D244" i="3"/>
  <c r="T243" i="3"/>
  <c r="O243" i="3"/>
  <c r="L243" i="3"/>
  <c r="L243" i="9" s="1"/>
  <c r="J243" i="3"/>
  <c r="F243" i="3"/>
  <c r="D243" i="3"/>
  <c r="T242" i="3"/>
  <c r="O242" i="3"/>
  <c r="L242" i="3"/>
  <c r="L242" i="9" s="1"/>
  <c r="J242" i="3"/>
  <c r="F242" i="3"/>
  <c r="D242" i="3"/>
  <c r="T241" i="3"/>
  <c r="O241" i="3"/>
  <c r="F241" i="9" s="1"/>
  <c r="I241" i="9" s="1"/>
  <c r="L241" i="3"/>
  <c r="L241" i="9" s="1"/>
  <c r="J241" i="3"/>
  <c r="E241" i="9" s="1"/>
  <c r="H241" i="9" s="1"/>
  <c r="F241" i="3"/>
  <c r="C241" i="9" s="1"/>
  <c r="D241" i="3"/>
  <c r="D241" i="9" s="1"/>
  <c r="T240" i="3"/>
  <c r="O240" i="3"/>
  <c r="F240" i="9" s="1"/>
  <c r="I240" i="9" s="1"/>
  <c r="L240" i="3"/>
  <c r="L240" i="9" s="1"/>
  <c r="J240" i="3"/>
  <c r="E240" i="9" s="1"/>
  <c r="H240" i="9" s="1"/>
  <c r="F240" i="3"/>
  <c r="C240" i="9" s="1"/>
  <c r="D240" i="3"/>
  <c r="D240" i="9" s="1"/>
  <c r="T239" i="3"/>
  <c r="O239" i="3"/>
  <c r="F239" i="9" s="1"/>
  <c r="I239" i="9" s="1"/>
  <c r="L239" i="3"/>
  <c r="L239" i="9" s="1"/>
  <c r="J239" i="3"/>
  <c r="E239" i="9" s="1"/>
  <c r="H239" i="9" s="1"/>
  <c r="F239" i="3"/>
  <c r="C239" i="9" s="1"/>
  <c r="D239" i="3"/>
  <c r="D239" i="9" s="1"/>
  <c r="T238" i="3"/>
  <c r="O238" i="3"/>
  <c r="F238" i="9" s="1"/>
  <c r="I238" i="9" s="1"/>
  <c r="L238" i="3"/>
  <c r="L238" i="9" s="1"/>
  <c r="J238" i="3"/>
  <c r="E238" i="9" s="1"/>
  <c r="H238" i="9" s="1"/>
  <c r="F238" i="3"/>
  <c r="C238" i="9" s="1"/>
  <c r="D238" i="3"/>
  <c r="D238" i="9" s="1"/>
  <c r="T237" i="3"/>
  <c r="O237" i="3"/>
  <c r="F237" i="9" s="1"/>
  <c r="I237" i="9" s="1"/>
  <c r="L237" i="3"/>
  <c r="L237" i="9" s="1"/>
  <c r="J237" i="3"/>
  <c r="E237" i="9" s="1"/>
  <c r="H237" i="9" s="1"/>
  <c r="F237" i="3"/>
  <c r="C237" i="9" s="1"/>
  <c r="D237" i="3"/>
  <c r="D237" i="9" s="1"/>
  <c r="T236" i="3"/>
  <c r="O236" i="3"/>
  <c r="F236" i="9" s="1"/>
  <c r="I236" i="9" s="1"/>
  <c r="L236" i="3"/>
  <c r="L236" i="9" s="1"/>
  <c r="J236" i="3"/>
  <c r="E236" i="9" s="1"/>
  <c r="H236" i="9" s="1"/>
  <c r="F236" i="3"/>
  <c r="C236" i="9" s="1"/>
  <c r="D236" i="3"/>
  <c r="D236" i="9" s="1"/>
  <c r="T235" i="3"/>
  <c r="O235" i="3"/>
  <c r="F235" i="9" s="1"/>
  <c r="I235" i="9" s="1"/>
  <c r="L235" i="3"/>
  <c r="L235" i="9" s="1"/>
  <c r="J235" i="3"/>
  <c r="E235" i="9" s="1"/>
  <c r="H235" i="9" s="1"/>
  <c r="F235" i="3"/>
  <c r="C235" i="9" s="1"/>
  <c r="D235" i="3"/>
  <c r="D235" i="9" s="1"/>
  <c r="T234" i="3"/>
  <c r="O234" i="3"/>
  <c r="F234" i="9" s="1"/>
  <c r="I234" i="9" s="1"/>
  <c r="L234" i="3"/>
  <c r="L234" i="9" s="1"/>
  <c r="J234" i="3"/>
  <c r="E234" i="9" s="1"/>
  <c r="H234" i="9" s="1"/>
  <c r="F234" i="3"/>
  <c r="C234" i="9" s="1"/>
  <c r="D234" i="3"/>
  <c r="D234" i="9" s="1"/>
  <c r="T233" i="3"/>
  <c r="O233" i="3"/>
  <c r="F233" i="9" s="1"/>
  <c r="I233" i="9" s="1"/>
  <c r="L233" i="3"/>
  <c r="L233" i="9" s="1"/>
  <c r="J233" i="3"/>
  <c r="E233" i="9" s="1"/>
  <c r="H233" i="9" s="1"/>
  <c r="F233" i="3"/>
  <c r="C233" i="9" s="1"/>
  <c r="D233" i="3"/>
  <c r="D233" i="9" s="1"/>
  <c r="T232" i="3"/>
  <c r="O232" i="3"/>
  <c r="F232" i="9" s="1"/>
  <c r="I232" i="9" s="1"/>
  <c r="L232" i="3"/>
  <c r="L232" i="9" s="1"/>
  <c r="J232" i="3"/>
  <c r="E232" i="9" s="1"/>
  <c r="H232" i="9" s="1"/>
  <c r="F232" i="3"/>
  <c r="C232" i="9" s="1"/>
  <c r="D232" i="3"/>
  <c r="D232" i="9" s="1"/>
  <c r="T231" i="3"/>
  <c r="O231" i="3"/>
  <c r="F231" i="9" s="1"/>
  <c r="I231" i="9" s="1"/>
  <c r="L231" i="3"/>
  <c r="L231" i="9" s="1"/>
  <c r="J231" i="3"/>
  <c r="E231" i="9" s="1"/>
  <c r="H231" i="9" s="1"/>
  <c r="F231" i="3"/>
  <c r="C231" i="9" s="1"/>
  <c r="D231" i="3"/>
  <c r="D231" i="9" s="1"/>
  <c r="O230" i="3"/>
  <c r="F230" i="9" s="1"/>
  <c r="I230" i="9" s="1"/>
  <c r="L230" i="3"/>
  <c r="L230" i="9" s="1"/>
  <c r="J230" i="3"/>
  <c r="E230" i="9" s="1"/>
  <c r="H230" i="9" s="1"/>
  <c r="F230" i="3"/>
  <c r="C230" i="9" s="1"/>
  <c r="D230" i="3"/>
  <c r="D230" i="9" s="1"/>
  <c r="T229" i="3"/>
  <c r="O229" i="3"/>
  <c r="F229" i="9" s="1"/>
  <c r="I229" i="9" s="1"/>
  <c r="L229" i="3"/>
  <c r="L229" i="9" s="1"/>
  <c r="J229" i="3"/>
  <c r="E229" i="9" s="1"/>
  <c r="H229" i="9" s="1"/>
  <c r="F229" i="3"/>
  <c r="C229" i="9" s="1"/>
  <c r="D229" i="3"/>
  <c r="D229" i="9" s="1"/>
  <c r="T228" i="3"/>
  <c r="O228" i="3"/>
  <c r="F228" i="9" s="1"/>
  <c r="I228" i="9" s="1"/>
  <c r="L228" i="3"/>
  <c r="L228" i="9" s="1"/>
  <c r="J228" i="3"/>
  <c r="E228" i="9" s="1"/>
  <c r="H228" i="9" s="1"/>
  <c r="F228" i="3"/>
  <c r="C228" i="9" s="1"/>
  <c r="D228" i="3"/>
  <c r="D228" i="9" s="1"/>
  <c r="T227" i="3"/>
  <c r="O227" i="3"/>
  <c r="F227" i="9" s="1"/>
  <c r="I227" i="9" s="1"/>
  <c r="L227" i="3"/>
  <c r="L227" i="9" s="1"/>
  <c r="J227" i="3"/>
  <c r="E227" i="9" s="1"/>
  <c r="H227" i="9" s="1"/>
  <c r="F227" i="3"/>
  <c r="C227" i="9" s="1"/>
  <c r="D227" i="3"/>
  <c r="D227" i="9" s="1"/>
  <c r="T226" i="3"/>
  <c r="O226" i="3"/>
  <c r="F226" i="9" s="1"/>
  <c r="I226" i="9" s="1"/>
  <c r="L226" i="3"/>
  <c r="L226" i="9" s="1"/>
  <c r="J226" i="3"/>
  <c r="E226" i="9" s="1"/>
  <c r="H226" i="9" s="1"/>
  <c r="F226" i="3"/>
  <c r="C226" i="9" s="1"/>
  <c r="D226" i="3"/>
  <c r="D226" i="9" s="1"/>
  <c r="T225" i="3"/>
  <c r="O225" i="3"/>
  <c r="F225" i="9" s="1"/>
  <c r="I225" i="9" s="1"/>
  <c r="L225" i="3"/>
  <c r="L225" i="9" s="1"/>
  <c r="J225" i="3"/>
  <c r="E225" i="9" s="1"/>
  <c r="H225" i="9" s="1"/>
  <c r="F225" i="3"/>
  <c r="C225" i="9" s="1"/>
  <c r="D225" i="3"/>
  <c r="D225" i="9" s="1"/>
  <c r="T224" i="3"/>
  <c r="O224" i="3"/>
  <c r="F224" i="9" s="1"/>
  <c r="I224" i="9" s="1"/>
  <c r="L224" i="3"/>
  <c r="L224" i="9" s="1"/>
  <c r="J224" i="3"/>
  <c r="E224" i="9" s="1"/>
  <c r="H224" i="9" s="1"/>
  <c r="F224" i="3"/>
  <c r="C224" i="9" s="1"/>
  <c r="D224" i="3"/>
  <c r="D224" i="9" s="1"/>
  <c r="T223" i="3"/>
  <c r="O223" i="3"/>
  <c r="F223" i="9" s="1"/>
  <c r="I223" i="9" s="1"/>
  <c r="L223" i="3"/>
  <c r="L223" i="9" s="1"/>
  <c r="J223" i="3"/>
  <c r="E223" i="9" s="1"/>
  <c r="H223" i="9" s="1"/>
  <c r="F223" i="3"/>
  <c r="C223" i="9" s="1"/>
  <c r="D223" i="3"/>
  <c r="D223" i="9" s="1"/>
  <c r="T222" i="3"/>
  <c r="O222" i="3"/>
  <c r="F222" i="9" s="1"/>
  <c r="I222" i="9" s="1"/>
  <c r="L222" i="3"/>
  <c r="L222" i="9" s="1"/>
  <c r="J222" i="3"/>
  <c r="E222" i="9" s="1"/>
  <c r="H222" i="9" s="1"/>
  <c r="F222" i="3"/>
  <c r="C222" i="9" s="1"/>
  <c r="D222" i="3"/>
  <c r="D222" i="9" s="1"/>
  <c r="T221" i="3"/>
  <c r="O221" i="3"/>
  <c r="F221" i="9" s="1"/>
  <c r="I221" i="9" s="1"/>
  <c r="L221" i="3"/>
  <c r="L221" i="9" s="1"/>
  <c r="J221" i="3"/>
  <c r="E221" i="9" s="1"/>
  <c r="H221" i="9" s="1"/>
  <c r="F221" i="3"/>
  <c r="C221" i="9" s="1"/>
  <c r="D221" i="3"/>
  <c r="D221" i="9" s="1"/>
  <c r="O220" i="3"/>
  <c r="F220" i="9" s="1"/>
  <c r="I220" i="9" s="1"/>
  <c r="L220" i="3"/>
  <c r="L220" i="9" s="1"/>
  <c r="J220" i="3"/>
  <c r="E220" i="9" s="1"/>
  <c r="H220" i="9" s="1"/>
  <c r="F220" i="3"/>
  <c r="C220" i="9" s="1"/>
  <c r="D220" i="3"/>
  <c r="D220" i="9" s="1"/>
  <c r="T219" i="3"/>
  <c r="O219" i="3"/>
  <c r="F219" i="9" s="1"/>
  <c r="I219" i="9" s="1"/>
  <c r="L219" i="3"/>
  <c r="L219" i="9" s="1"/>
  <c r="J219" i="3"/>
  <c r="E219" i="9" s="1"/>
  <c r="H219" i="9" s="1"/>
  <c r="F219" i="3"/>
  <c r="C219" i="9" s="1"/>
  <c r="D219" i="3"/>
  <c r="D219" i="9" s="1"/>
  <c r="T218" i="3"/>
  <c r="O218" i="3"/>
  <c r="F218" i="9" s="1"/>
  <c r="I218" i="9" s="1"/>
  <c r="L218" i="3"/>
  <c r="L218" i="9" s="1"/>
  <c r="J218" i="3"/>
  <c r="E218" i="9" s="1"/>
  <c r="H218" i="9" s="1"/>
  <c r="F218" i="3"/>
  <c r="C218" i="9" s="1"/>
  <c r="D218" i="3"/>
  <c r="D218" i="9" s="1"/>
  <c r="T217" i="3"/>
  <c r="O217" i="3"/>
  <c r="F217" i="9" s="1"/>
  <c r="I217" i="9" s="1"/>
  <c r="L217" i="3"/>
  <c r="L217" i="9" s="1"/>
  <c r="J217" i="3"/>
  <c r="E217" i="9" s="1"/>
  <c r="H217" i="9" s="1"/>
  <c r="F217" i="3"/>
  <c r="C217" i="9" s="1"/>
  <c r="D217" i="3"/>
  <c r="D217" i="9" s="1"/>
  <c r="T216" i="3"/>
  <c r="O216" i="3"/>
  <c r="F216" i="9" s="1"/>
  <c r="I216" i="9" s="1"/>
  <c r="L216" i="3"/>
  <c r="L216" i="9" s="1"/>
  <c r="J216" i="3"/>
  <c r="E216" i="9" s="1"/>
  <c r="H216" i="9" s="1"/>
  <c r="F216" i="3"/>
  <c r="C216" i="9" s="1"/>
  <c r="D216" i="3"/>
  <c r="D216" i="9" s="1"/>
  <c r="T215" i="3"/>
  <c r="O215" i="3"/>
  <c r="F215" i="9" s="1"/>
  <c r="I215" i="9" s="1"/>
  <c r="L215" i="3"/>
  <c r="L215" i="9" s="1"/>
  <c r="J215" i="3"/>
  <c r="E215" i="9" s="1"/>
  <c r="H215" i="9" s="1"/>
  <c r="F215" i="3"/>
  <c r="C215" i="9" s="1"/>
  <c r="D215" i="3"/>
  <c r="D215" i="9" s="1"/>
  <c r="T214" i="3"/>
  <c r="O214" i="3"/>
  <c r="F214" i="9" s="1"/>
  <c r="I214" i="9" s="1"/>
  <c r="L214" i="3"/>
  <c r="L214" i="9" s="1"/>
  <c r="J214" i="3"/>
  <c r="E214" i="9" s="1"/>
  <c r="H214" i="9" s="1"/>
  <c r="F214" i="3"/>
  <c r="C214" i="9" s="1"/>
  <c r="D214" i="3"/>
  <c r="D214" i="9" s="1"/>
  <c r="T213" i="3"/>
  <c r="O213" i="3"/>
  <c r="F213" i="9" s="1"/>
  <c r="I213" i="9" s="1"/>
  <c r="L213" i="3"/>
  <c r="L213" i="9" s="1"/>
  <c r="J213" i="3"/>
  <c r="E213" i="9" s="1"/>
  <c r="H213" i="9" s="1"/>
  <c r="F213" i="3"/>
  <c r="C213" i="9" s="1"/>
  <c r="D213" i="3"/>
  <c r="D213" i="9" s="1"/>
  <c r="T212" i="3"/>
  <c r="O212" i="3"/>
  <c r="F212" i="9" s="1"/>
  <c r="I212" i="9" s="1"/>
  <c r="L212" i="3"/>
  <c r="L212" i="9" s="1"/>
  <c r="J212" i="3"/>
  <c r="E212" i="9" s="1"/>
  <c r="H212" i="9" s="1"/>
  <c r="F212" i="3"/>
  <c r="C212" i="9" s="1"/>
  <c r="D212" i="3"/>
  <c r="D212" i="9" s="1"/>
  <c r="T211" i="3"/>
  <c r="O211" i="3"/>
  <c r="F211" i="9" s="1"/>
  <c r="I211" i="9" s="1"/>
  <c r="L211" i="3"/>
  <c r="L211" i="9" s="1"/>
  <c r="J211" i="3"/>
  <c r="E211" i="9" s="1"/>
  <c r="H211" i="9" s="1"/>
  <c r="F211" i="3"/>
  <c r="C211" i="9" s="1"/>
  <c r="D211" i="3"/>
  <c r="D211" i="9" s="1"/>
  <c r="T210" i="3"/>
  <c r="O210" i="3"/>
  <c r="F210" i="9" s="1"/>
  <c r="I210" i="9" s="1"/>
  <c r="L210" i="3"/>
  <c r="L210" i="9" s="1"/>
  <c r="J210" i="3"/>
  <c r="E210" i="9" s="1"/>
  <c r="H210" i="9" s="1"/>
  <c r="F210" i="3"/>
  <c r="C210" i="9" s="1"/>
  <c r="D210" i="3"/>
  <c r="D210" i="9" s="1"/>
  <c r="T209" i="3"/>
  <c r="O209" i="3"/>
  <c r="F209" i="9" s="1"/>
  <c r="I209" i="9" s="1"/>
  <c r="L209" i="3"/>
  <c r="L209" i="9" s="1"/>
  <c r="J209" i="3"/>
  <c r="E209" i="9" s="1"/>
  <c r="H209" i="9" s="1"/>
  <c r="F209" i="3"/>
  <c r="C209" i="9" s="1"/>
  <c r="D209" i="3"/>
  <c r="D209" i="9" s="1"/>
  <c r="T208" i="3"/>
  <c r="O208" i="3"/>
  <c r="F208" i="9" s="1"/>
  <c r="I208" i="9" s="1"/>
  <c r="L208" i="3"/>
  <c r="L208" i="9" s="1"/>
  <c r="J208" i="3"/>
  <c r="E208" i="9" s="1"/>
  <c r="H208" i="9" s="1"/>
  <c r="F208" i="3"/>
  <c r="C208" i="9" s="1"/>
  <c r="D208" i="3"/>
  <c r="D208" i="9" s="1"/>
  <c r="T207" i="3"/>
  <c r="O207" i="3"/>
  <c r="F207" i="9" s="1"/>
  <c r="I207" i="9" s="1"/>
  <c r="L207" i="3"/>
  <c r="L207" i="9" s="1"/>
  <c r="J207" i="3"/>
  <c r="E207" i="9" s="1"/>
  <c r="H207" i="9" s="1"/>
  <c r="F207" i="3"/>
  <c r="C207" i="9" s="1"/>
  <c r="D207" i="3"/>
  <c r="D207" i="9" s="1"/>
  <c r="T206" i="3"/>
  <c r="O206" i="3"/>
  <c r="F206" i="9" s="1"/>
  <c r="I206" i="9" s="1"/>
  <c r="L206" i="3"/>
  <c r="L206" i="9" s="1"/>
  <c r="J206" i="3"/>
  <c r="E206" i="9" s="1"/>
  <c r="H206" i="9" s="1"/>
  <c r="F206" i="3"/>
  <c r="C206" i="9" s="1"/>
  <c r="D206" i="3"/>
  <c r="D206" i="9" s="1"/>
  <c r="T205" i="3"/>
  <c r="O205" i="3"/>
  <c r="F205" i="9" s="1"/>
  <c r="I205" i="9" s="1"/>
  <c r="L205" i="3"/>
  <c r="L205" i="9" s="1"/>
  <c r="J205" i="3"/>
  <c r="E205" i="9" s="1"/>
  <c r="H205" i="9" s="1"/>
  <c r="F205" i="3"/>
  <c r="C205" i="9" s="1"/>
  <c r="D205" i="3"/>
  <c r="D205" i="9" s="1"/>
  <c r="T204" i="3"/>
  <c r="O204" i="3"/>
  <c r="F204" i="9" s="1"/>
  <c r="I204" i="9" s="1"/>
  <c r="L204" i="3"/>
  <c r="L204" i="9" s="1"/>
  <c r="J204" i="3"/>
  <c r="E204" i="9" s="1"/>
  <c r="H204" i="9" s="1"/>
  <c r="F204" i="3"/>
  <c r="C204" i="9" s="1"/>
  <c r="D204" i="3"/>
  <c r="D204" i="9" s="1"/>
  <c r="T203" i="3"/>
  <c r="O203" i="3"/>
  <c r="F203" i="9" s="1"/>
  <c r="I203" i="9" s="1"/>
  <c r="L203" i="3"/>
  <c r="L203" i="9" s="1"/>
  <c r="J203" i="3"/>
  <c r="E203" i="9" s="1"/>
  <c r="H203" i="9" s="1"/>
  <c r="F203" i="3"/>
  <c r="C203" i="9" s="1"/>
  <c r="D203" i="3"/>
  <c r="D203" i="9" s="1"/>
  <c r="T202" i="3"/>
  <c r="O202" i="3"/>
  <c r="F202" i="9" s="1"/>
  <c r="I202" i="9" s="1"/>
  <c r="L202" i="3"/>
  <c r="L202" i="9" s="1"/>
  <c r="J202" i="3"/>
  <c r="E202" i="9" s="1"/>
  <c r="H202" i="9" s="1"/>
  <c r="F202" i="3"/>
  <c r="C202" i="9" s="1"/>
  <c r="D202" i="3"/>
  <c r="D202" i="9" s="1"/>
  <c r="T201" i="3"/>
  <c r="O201" i="3"/>
  <c r="F201" i="9" s="1"/>
  <c r="I201" i="9" s="1"/>
  <c r="L201" i="3"/>
  <c r="L201" i="9" s="1"/>
  <c r="J201" i="3"/>
  <c r="E201" i="9" s="1"/>
  <c r="H201" i="9" s="1"/>
  <c r="F201" i="3"/>
  <c r="C201" i="9" s="1"/>
  <c r="D201" i="3"/>
  <c r="D201" i="9" s="1"/>
  <c r="T200" i="3"/>
  <c r="O200" i="3"/>
  <c r="F200" i="9" s="1"/>
  <c r="I200" i="9" s="1"/>
  <c r="L200" i="3"/>
  <c r="L200" i="9" s="1"/>
  <c r="J200" i="3"/>
  <c r="E200" i="9" s="1"/>
  <c r="H200" i="9" s="1"/>
  <c r="F200" i="3"/>
  <c r="C200" i="9" s="1"/>
  <c r="D200" i="3"/>
  <c r="D200" i="9" s="1"/>
  <c r="T199" i="3"/>
  <c r="O199" i="3"/>
  <c r="F199" i="9" s="1"/>
  <c r="I199" i="9" s="1"/>
  <c r="L199" i="3"/>
  <c r="L199" i="9" s="1"/>
  <c r="J199" i="3"/>
  <c r="E199" i="9" s="1"/>
  <c r="H199" i="9" s="1"/>
  <c r="F199" i="3"/>
  <c r="C199" i="9" s="1"/>
  <c r="D199" i="3"/>
  <c r="D199" i="9" s="1"/>
  <c r="T198" i="3"/>
  <c r="O198" i="3"/>
  <c r="F198" i="9" s="1"/>
  <c r="I198" i="9" s="1"/>
  <c r="L198" i="3"/>
  <c r="L198" i="9" s="1"/>
  <c r="J198" i="3"/>
  <c r="E198" i="9" s="1"/>
  <c r="H198" i="9" s="1"/>
  <c r="F198" i="3"/>
  <c r="C198" i="9" s="1"/>
  <c r="D198" i="3"/>
  <c r="D198" i="9" s="1"/>
  <c r="T197" i="3"/>
  <c r="O197" i="3"/>
  <c r="F197" i="9" s="1"/>
  <c r="I197" i="9" s="1"/>
  <c r="L197" i="3"/>
  <c r="L197" i="9" s="1"/>
  <c r="J197" i="3"/>
  <c r="E197" i="9" s="1"/>
  <c r="H197" i="9" s="1"/>
  <c r="F197" i="3"/>
  <c r="C197" i="9" s="1"/>
  <c r="D197" i="3"/>
  <c r="D197" i="9" s="1"/>
  <c r="T196" i="3"/>
  <c r="O196" i="3"/>
  <c r="F196" i="9" s="1"/>
  <c r="I196" i="9" s="1"/>
  <c r="L196" i="3"/>
  <c r="L196" i="9" s="1"/>
  <c r="J196" i="3"/>
  <c r="E196" i="9" s="1"/>
  <c r="H196" i="9" s="1"/>
  <c r="F196" i="3"/>
  <c r="C196" i="9" s="1"/>
  <c r="D196" i="3"/>
  <c r="D196" i="9" s="1"/>
  <c r="T195" i="3"/>
  <c r="O195" i="3"/>
  <c r="F195" i="9" s="1"/>
  <c r="I195" i="9" s="1"/>
  <c r="L195" i="3"/>
  <c r="L195" i="9" s="1"/>
  <c r="J195" i="3"/>
  <c r="E195" i="9" s="1"/>
  <c r="H195" i="9" s="1"/>
  <c r="F195" i="3"/>
  <c r="C195" i="9" s="1"/>
  <c r="D195" i="3"/>
  <c r="D195" i="9" s="1"/>
  <c r="T194" i="3"/>
  <c r="O194" i="3"/>
  <c r="F194" i="9" s="1"/>
  <c r="I194" i="9" s="1"/>
  <c r="L194" i="3"/>
  <c r="L194" i="9" s="1"/>
  <c r="J194" i="3"/>
  <c r="E194" i="9" s="1"/>
  <c r="H194" i="9" s="1"/>
  <c r="F194" i="3"/>
  <c r="C194" i="9" s="1"/>
  <c r="D194" i="3"/>
  <c r="D194" i="9" s="1"/>
  <c r="T193" i="3"/>
  <c r="O193" i="3"/>
  <c r="F193" i="9" s="1"/>
  <c r="I193" i="9" s="1"/>
  <c r="L193" i="3"/>
  <c r="L193" i="9" s="1"/>
  <c r="J193" i="3"/>
  <c r="E193" i="9" s="1"/>
  <c r="H193" i="9" s="1"/>
  <c r="F193" i="3"/>
  <c r="C193" i="9" s="1"/>
  <c r="D193" i="3"/>
  <c r="D193" i="9" s="1"/>
  <c r="T192" i="3"/>
  <c r="O192" i="3"/>
  <c r="F192" i="9" s="1"/>
  <c r="I192" i="9" s="1"/>
  <c r="L192" i="3"/>
  <c r="L192" i="9" s="1"/>
  <c r="J192" i="3"/>
  <c r="E192" i="9" s="1"/>
  <c r="H192" i="9" s="1"/>
  <c r="F192" i="3"/>
  <c r="C192" i="9" s="1"/>
  <c r="D192" i="3"/>
  <c r="D192" i="9" s="1"/>
  <c r="T191" i="3"/>
  <c r="O191" i="3"/>
  <c r="F191" i="9" s="1"/>
  <c r="I191" i="9" s="1"/>
  <c r="L191" i="3"/>
  <c r="L191" i="9" s="1"/>
  <c r="J191" i="3"/>
  <c r="E191" i="9" s="1"/>
  <c r="H191" i="9" s="1"/>
  <c r="F191" i="3"/>
  <c r="C191" i="9" s="1"/>
  <c r="D191" i="3"/>
  <c r="D191" i="9" s="1"/>
  <c r="T190" i="3"/>
  <c r="O190" i="3"/>
  <c r="F190" i="9" s="1"/>
  <c r="I190" i="9" s="1"/>
  <c r="L190" i="3"/>
  <c r="L190" i="9" s="1"/>
  <c r="J190" i="3"/>
  <c r="E190" i="9" s="1"/>
  <c r="H190" i="9" s="1"/>
  <c r="F190" i="3"/>
  <c r="C190" i="9" s="1"/>
  <c r="D190" i="3"/>
  <c r="D190" i="9" s="1"/>
  <c r="T189" i="3"/>
  <c r="O189" i="3"/>
  <c r="F189" i="9" s="1"/>
  <c r="I189" i="9" s="1"/>
  <c r="L189" i="3"/>
  <c r="L189" i="9" s="1"/>
  <c r="J189" i="3"/>
  <c r="E189" i="9" s="1"/>
  <c r="H189" i="9" s="1"/>
  <c r="F189" i="3"/>
  <c r="C189" i="9" s="1"/>
  <c r="D189" i="3"/>
  <c r="D189" i="9" s="1"/>
  <c r="T188" i="3"/>
  <c r="O188" i="3"/>
  <c r="F188" i="9" s="1"/>
  <c r="I188" i="9" s="1"/>
  <c r="L188" i="3"/>
  <c r="L188" i="9" s="1"/>
  <c r="J188" i="3"/>
  <c r="E188" i="9" s="1"/>
  <c r="H188" i="9" s="1"/>
  <c r="F188" i="3"/>
  <c r="C188" i="9" s="1"/>
  <c r="D188" i="3"/>
  <c r="D188" i="9" s="1"/>
  <c r="T187" i="3"/>
  <c r="O187" i="3"/>
  <c r="F187" i="9" s="1"/>
  <c r="I187" i="9" s="1"/>
  <c r="L187" i="3"/>
  <c r="L187" i="9" s="1"/>
  <c r="J187" i="3"/>
  <c r="E187" i="9" s="1"/>
  <c r="H187" i="9" s="1"/>
  <c r="F187" i="3"/>
  <c r="C187" i="9" s="1"/>
  <c r="D187" i="3"/>
  <c r="D187" i="9" s="1"/>
  <c r="T186" i="3"/>
  <c r="O186" i="3"/>
  <c r="F186" i="9" s="1"/>
  <c r="I186" i="9" s="1"/>
  <c r="L186" i="3"/>
  <c r="L186" i="9" s="1"/>
  <c r="J186" i="3"/>
  <c r="E186" i="9" s="1"/>
  <c r="H186" i="9" s="1"/>
  <c r="F186" i="3"/>
  <c r="C186" i="9" s="1"/>
  <c r="D186" i="3"/>
  <c r="D186" i="9" s="1"/>
  <c r="T185" i="3"/>
  <c r="O185" i="3"/>
  <c r="F185" i="9" s="1"/>
  <c r="I185" i="9" s="1"/>
  <c r="L185" i="3"/>
  <c r="L185" i="9" s="1"/>
  <c r="J185" i="3"/>
  <c r="E185" i="9" s="1"/>
  <c r="H185" i="9" s="1"/>
  <c r="F185" i="3"/>
  <c r="C185" i="9" s="1"/>
  <c r="D185" i="3"/>
  <c r="D185" i="9" s="1"/>
  <c r="T184" i="3"/>
  <c r="O184" i="3"/>
  <c r="F184" i="9" s="1"/>
  <c r="I184" i="9" s="1"/>
  <c r="L184" i="3"/>
  <c r="L184" i="9" s="1"/>
  <c r="J184" i="3"/>
  <c r="E184" i="9" s="1"/>
  <c r="H184" i="9" s="1"/>
  <c r="F184" i="3"/>
  <c r="C184" i="9" s="1"/>
  <c r="D184" i="3"/>
  <c r="D184" i="9" s="1"/>
  <c r="T183" i="3"/>
  <c r="O183" i="3"/>
  <c r="F183" i="9" s="1"/>
  <c r="I183" i="9" s="1"/>
  <c r="L183" i="3"/>
  <c r="L183" i="9" s="1"/>
  <c r="J183" i="3"/>
  <c r="E183" i="9" s="1"/>
  <c r="H183" i="9" s="1"/>
  <c r="F183" i="3"/>
  <c r="C183" i="9" s="1"/>
  <c r="D183" i="3"/>
  <c r="D183" i="9" s="1"/>
  <c r="T182" i="3"/>
  <c r="O182" i="3"/>
  <c r="F182" i="9" s="1"/>
  <c r="I182" i="9" s="1"/>
  <c r="L182" i="3"/>
  <c r="L182" i="9" s="1"/>
  <c r="J182" i="3"/>
  <c r="E182" i="9" s="1"/>
  <c r="H182" i="9" s="1"/>
  <c r="F182" i="3"/>
  <c r="C182" i="9" s="1"/>
  <c r="D182" i="3"/>
  <c r="D182" i="9" s="1"/>
  <c r="T181" i="3"/>
  <c r="O181" i="3"/>
  <c r="F181" i="9" s="1"/>
  <c r="I181" i="9" s="1"/>
  <c r="L181" i="3"/>
  <c r="L181" i="9" s="1"/>
  <c r="J181" i="3"/>
  <c r="E181" i="9" s="1"/>
  <c r="H181" i="9" s="1"/>
  <c r="F181" i="3"/>
  <c r="C181" i="9" s="1"/>
  <c r="D181" i="3"/>
  <c r="D181" i="9" s="1"/>
  <c r="T180" i="3"/>
  <c r="O180" i="3"/>
  <c r="F180" i="9" s="1"/>
  <c r="I180" i="9" s="1"/>
  <c r="L180" i="3"/>
  <c r="L180" i="9" s="1"/>
  <c r="J180" i="3"/>
  <c r="E180" i="9" s="1"/>
  <c r="H180" i="9" s="1"/>
  <c r="F180" i="3"/>
  <c r="C180" i="9" s="1"/>
  <c r="D180" i="3"/>
  <c r="D180" i="9" s="1"/>
  <c r="T179" i="3"/>
  <c r="O179" i="3"/>
  <c r="F179" i="9" s="1"/>
  <c r="I179" i="9" s="1"/>
  <c r="L179" i="3"/>
  <c r="L179" i="9" s="1"/>
  <c r="J179" i="3"/>
  <c r="E179" i="9" s="1"/>
  <c r="H179" i="9" s="1"/>
  <c r="F179" i="3"/>
  <c r="C179" i="9" s="1"/>
  <c r="D179" i="3"/>
  <c r="D179" i="9" s="1"/>
  <c r="T178" i="3"/>
  <c r="O178" i="3"/>
  <c r="F178" i="9" s="1"/>
  <c r="I178" i="9" s="1"/>
  <c r="L178" i="3"/>
  <c r="L178" i="9" s="1"/>
  <c r="J178" i="3"/>
  <c r="E178" i="9" s="1"/>
  <c r="H178" i="9" s="1"/>
  <c r="F178" i="3"/>
  <c r="C178" i="9" s="1"/>
  <c r="D178" i="3"/>
  <c r="D178" i="9" s="1"/>
  <c r="T177" i="3"/>
  <c r="O177" i="3"/>
  <c r="F177" i="9" s="1"/>
  <c r="I177" i="9" s="1"/>
  <c r="L177" i="3"/>
  <c r="L177" i="9" s="1"/>
  <c r="J177" i="3"/>
  <c r="E177" i="9" s="1"/>
  <c r="H177" i="9" s="1"/>
  <c r="F177" i="3"/>
  <c r="C177" i="9" s="1"/>
  <c r="D177" i="3"/>
  <c r="D177" i="9" s="1"/>
  <c r="T176" i="3"/>
  <c r="O176" i="3"/>
  <c r="F176" i="9" s="1"/>
  <c r="I176" i="9" s="1"/>
  <c r="L176" i="3"/>
  <c r="L176" i="9" s="1"/>
  <c r="J176" i="3"/>
  <c r="E176" i="9" s="1"/>
  <c r="H176" i="9" s="1"/>
  <c r="F176" i="3"/>
  <c r="C176" i="9" s="1"/>
  <c r="D176" i="3"/>
  <c r="D176" i="9" s="1"/>
  <c r="T175" i="3"/>
  <c r="O175" i="3"/>
  <c r="F175" i="9" s="1"/>
  <c r="I175" i="9" s="1"/>
  <c r="L175" i="3"/>
  <c r="L175" i="9" s="1"/>
  <c r="J175" i="3"/>
  <c r="E175" i="9" s="1"/>
  <c r="H175" i="9" s="1"/>
  <c r="F175" i="3"/>
  <c r="C175" i="9" s="1"/>
  <c r="D175" i="3"/>
  <c r="D175" i="9" s="1"/>
  <c r="T174" i="3"/>
  <c r="O174" i="3"/>
  <c r="F174" i="9" s="1"/>
  <c r="I174" i="9" s="1"/>
  <c r="L174" i="3"/>
  <c r="L174" i="9" s="1"/>
  <c r="J174" i="3"/>
  <c r="E174" i="9" s="1"/>
  <c r="H174" i="9" s="1"/>
  <c r="F174" i="3"/>
  <c r="C174" i="9" s="1"/>
  <c r="D174" i="3"/>
  <c r="D174" i="9" s="1"/>
  <c r="T173" i="3"/>
  <c r="O173" i="3"/>
  <c r="F173" i="9" s="1"/>
  <c r="I173" i="9" s="1"/>
  <c r="L173" i="3"/>
  <c r="L173" i="9" s="1"/>
  <c r="J173" i="3"/>
  <c r="E173" i="9" s="1"/>
  <c r="H173" i="9" s="1"/>
  <c r="F173" i="3"/>
  <c r="C173" i="9" s="1"/>
  <c r="D173" i="3"/>
  <c r="D173" i="9" s="1"/>
  <c r="T172" i="3"/>
  <c r="O172" i="3"/>
  <c r="F172" i="9" s="1"/>
  <c r="I172" i="9" s="1"/>
  <c r="L172" i="3"/>
  <c r="L172" i="9" s="1"/>
  <c r="J172" i="3"/>
  <c r="E172" i="9" s="1"/>
  <c r="H172" i="9" s="1"/>
  <c r="F172" i="3"/>
  <c r="C172" i="9" s="1"/>
  <c r="D172" i="3"/>
  <c r="D172" i="9" s="1"/>
  <c r="T171" i="3"/>
  <c r="O171" i="3"/>
  <c r="F171" i="9" s="1"/>
  <c r="I171" i="9" s="1"/>
  <c r="L171" i="3"/>
  <c r="L171" i="9" s="1"/>
  <c r="J171" i="3"/>
  <c r="E171" i="9" s="1"/>
  <c r="H171" i="9" s="1"/>
  <c r="F171" i="3"/>
  <c r="C171" i="9" s="1"/>
  <c r="D171" i="3"/>
  <c r="D171" i="9" s="1"/>
  <c r="T170" i="3"/>
  <c r="O170" i="3"/>
  <c r="F170" i="9" s="1"/>
  <c r="I170" i="9" s="1"/>
  <c r="L170" i="3"/>
  <c r="L170" i="9" s="1"/>
  <c r="J170" i="3"/>
  <c r="E170" i="9" s="1"/>
  <c r="H170" i="9" s="1"/>
  <c r="F170" i="3"/>
  <c r="C170" i="9" s="1"/>
  <c r="D170" i="3"/>
  <c r="D170" i="9" s="1"/>
  <c r="T169" i="3"/>
  <c r="O169" i="3"/>
  <c r="F169" i="9" s="1"/>
  <c r="I169" i="9" s="1"/>
  <c r="L169" i="3"/>
  <c r="L169" i="9" s="1"/>
  <c r="J169" i="3"/>
  <c r="E169" i="9" s="1"/>
  <c r="H169" i="9" s="1"/>
  <c r="F169" i="3"/>
  <c r="C169" i="9" s="1"/>
  <c r="D169" i="3"/>
  <c r="D169" i="9" s="1"/>
  <c r="T168" i="3"/>
  <c r="O168" i="3"/>
  <c r="F168" i="9" s="1"/>
  <c r="I168" i="9" s="1"/>
  <c r="L168" i="3"/>
  <c r="L168" i="9" s="1"/>
  <c r="J168" i="3"/>
  <c r="E168" i="9" s="1"/>
  <c r="H168" i="9" s="1"/>
  <c r="F168" i="3"/>
  <c r="C168" i="9" s="1"/>
  <c r="D168" i="3"/>
  <c r="D168" i="9" s="1"/>
  <c r="T167" i="3"/>
  <c r="O167" i="3"/>
  <c r="F167" i="9" s="1"/>
  <c r="I167" i="9" s="1"/>
  <c r="L167" i="3"/>
  <c r="L167" i="9" s="1"/>
  <c r="J167" i="3"/>
  <c r="E167" i="9" s="1"/>
  <c r="H167" i="9" s="1"/>
  <c r="F167" i="3"/>
  <c r="C167" i="9" s="1"/>
  <c r="D167" i="3"/>
  <c r="D167" i="9" s="1"/>
  <c r="T166" i="3"/>
  <c r="O166" i="3"/>
  <c r="F166" i="9" s="1"/>
  <c r="I166" i="9" s="1"/>
  <c r="L166" i="3"/>
  <c r="L166" i="9" s="1"/>
  <c r="J166" i="3"/>
  <c r="E166" i="9" s="1"/>
  <c r="H166" i="9" s="1"/>
  <c r="F166" i="3"/>
  <c r="C166" i="9" s="1"/>
  <c r="D166" i="3"/>
  <c r="D166" i="9" s="1"/>
  <c r="T165" i="3"/>
  <c r="O165" i="3"/>
  <c r="F165" i="9" s="1"/>
  <c r="I165" i="9" s="1"/>
  <c r="L165" i="3"/>
  <c r="L165" i="9" s="1"/>
  <c r="J165" i="3"/>
  <c r="E165" i="9" s="1"/>
  <c r="H165" i="9" s="1"/>
  <c r="F165" i="3"/>
  <c r="C165" i="9" s="1"/>
  <c r="D165" i="3"/>
  <c r="D165" i="9" s="1"/>
  <c r="T164" i="3"/>
  <c r="O164" i="3"/>
  <c r="F164" i="9" s="1"/>
  <c r="I164" i="9" s="1"/>
  <c r="L164" i="3"/>
  <c r="L164" i="9" s="1"/>
  <c r="J164" i="3"/>
  <c r="E164" i="9" s="1"/>
  <c r="H164" i="9" s="1"/>
  <c r="F164" i="3"/>
  <c r="C164" i="9" s="1"/>
  <c r="D164" i="3"/>
  <c r="D164" i="9" s="1"/>
  <c r="T163" i="3"/>
  <c r="O163" i="3"/>
  <c r="F163" i="9" s="1"/>
  <c r="I163" i="9" s="1"/>
  <c r="L163" i="3"/>
  <c r="L163" i="9" s="1"/>
  <c r="J163" i="3"/>
  <c r="E163" i="9" s="1"/>
  <c r="H163" i="9" s="1"/>
  <c r="F163" i="3"/>
  <c r="C163" i="9" s="1"/>
  <c r="D163" i="3"/>
  <c r="D163" i="9" s="1"/>
  <c r="T162" i="3"/>
  <c r="O162" i="3"/>
  <c r="F162" i="9" s="1"/>
  <c r="I162" i="9" s="1"/>
  <c r="L162" i="3"/>
  <c r="L162" i="9" s="1"/>
  <c r="J162" i="3"/>
  <c r="E162" i="9" s="1"/>
  <c r="H162" i="9" s="1"/>
  <c r="F162" i="3"/>
  <c r="C162" i="9" s="1"/>
  <c r="D162" i="3"/>
  <c r="D162" i="9" s="1"/>
  <c r="T161" i="3"/>
  <c r="O161" i="3"/>
  <c r="F161" i="9" s="1"/>
  <c r="I161" i="9" s="1"/>
  <c r="L161" i="3"/>
  <c r="L161" i="9" s="1"/>
  <c r="J161" i="3"/>
  <c r="E161" i="9" s="1"/>
  <c r="H161" i="9" s="1"/>
  <c r="F161" i="3"/>
  <c r="C161" i="9" s="1"/>
  <c r="D161" i="3"/>
  <c r="D161" i="9" s="1"/>
  <c r="T160" i="3"/>
  <c r="O160" i="3"/>
  <c r="F160" i="9" s="1"/>
  <c r="I160" i="9" s="1"/>
  <c r="L160" i="3"/>
  <c r="L160" i="9" s="1"/>
  <c r="J160" i="3"/>
  <c r="E160" i="9" s="1"/>
  <c r="H160" i="9" s="1"/>
  <c r="F160" i="3"/>
  <c r="C160" i="9" s="1"/>
  <c r="D160" i="3"/>
  <c r="D160" i="9" s="1"/>
  <c r="T159" i="3"/>
  <c r="O159" i="3"/>
  <c r="F159" i="9" s="1"/>
  <c r="I159" i="9" s="1"/>
  <c r="L159" i="3"/>
  <c r="L159" i="9" s="1"/>
  <c r="J159" i="3"/>
  <c r="E159" i="9" s="1"/>
  <c r="H159" i="9" s="1"/>
  <c r="F159" i="3"/>
  <c r="C159" i="9" s="1"/>
  <c r="D159" i="3"/>
  <c r="D159" i="9" s="1"/>
  <c r="T158" i="3"/>
  <c r="O158" i="3"/>
  <c r="F158" i="9" s="1"/>
  <c r="I158" i="9" s="1"/>
  <c r="L158" i="3"/>
  <c r="L158" i="9" s="1"/>
  <c r="J158" i="3"/>
  <c r="E158" i="9" s="1"/>
  <c r="H158" i="9" s="1"/>
  <c r="F158" i="3"/>
  <c r="C158" i="9" s="1"/>
  <c r="D158" i="3"/>
  <c r="D158" i="9" s="1"/>
  <c r="T157" i="3"/>
  <c r="O157" i="3"/>
  <c r="F157" i="9" s="1"/>
  <c r="I157" i="9" s="1"/>
  <c r="L157" i="3"/>
  <c r="L157" i="9" s="1"/>
  <c r="J157" i="3"/>
  <c r="E157" i="9" s="1"/>
  <c r="H157" i="9" s="1"/>
  <c r="F157" i="3"/>
  <c r="C157" i="9" s="1"/>
  <c r="D157" i="3"/>
  <c r="D157" i="9" s="1"/>
  <c r="T156" i="3"/>
  <c r="O156" i="3"/>
  <c r="F156" i="9" s="1"/>
  <c r="I156" i="9" s="1"/>
  <c r="L156" i="3"/>
  <c r="L156" i="9" s="1"/>
  <c r="J156" i="3"/>
  <c r="E156" i="9" s="1"/>
  <c r="H156" i="9" s="1"/>
  <c r="F156" i="3"/>
  <c r="C156" i="9" s="1"/>
  <c r="D156" i="3"/>
  <c r="D156" i="9" s="1"/>
  <c r="T155" i="3"/>
  <c r="O155" i="3"/>
  <c r="F155" i="9" s="1"/>
  <c r="I155" i="9" s="1"/>
  <c r="L155" i="3"/>
  <c r="L155" i="9" s="1"/>
  <c r="J155" i="3"/>
  <c r="E155" i="9" s="1"/>
  <c r="H155" i="9" s="1"/>
  <c r="F155" i="3"/>
  <c r="C155" i="9" s="1"/>
  <c r="D155" i="3"/>
  <c r="D155" i="9" s="1"/>
  <c r="T154" i="3"/>
  <c r="O154" i="3"/>
  <c r="F154" i="9" s="1"/>
  <c r="I154" i="9" s="1"/>
  <c r="L154" i="3"/>
  <c r="L154" i="9" s="1"/>
  <c r="J154" i="3"/>
  <c r="E154" i="9" s="1"/>
  <c r="H154" i="9" s="1"/>
  <c r="F154" i="3"/>
  <c r="C154" i="9" s="1"/>
  <c r="D154" i="3"/>
  <c r="D154" i="9" s="1"/>
  <c r="T153" i="3"/>
  <c r="O153" i="3"/>
  <c r="F153" i="9" s="1"/>
  <c r="I153" i="9" s="1"/>
  <c r="L153" i="3"/>
  <c r="L153" i="9" s="1"/>
  <c r="J153" i="3"/>
  <c r="E153" i="9" s="1"/>
  <c r="H153" i="9" s="1"/>
  <c r="F153" i="3"/>
  <c r="C153" i="9" s="1"/>
  <c r="D153" i="3"/>
  <c r="D153" i="9" s="1"/>
  <c r="T152" i="3"/>
  <c r="O152" i="3"/>
  <c r="F152" i="9" s="1"/>
  <c r="I152" i="9" s="1"/>
  <c r="L152" i="3"/>
  <c r="L152" i="9" s="1"/>
  <c r="J152" i="3"/>
  <c r="E152" i="9" s="1"/>
  <c r="H152" i="9" s="1"/>
  <c r="F152" i="3"/>
  <c r="C152" i="9" s="1"/>
  <c r="D152" i="3"/>
  <c r="D152" i="9" s="1"/>
  <c r="T151" i="3"/>
  <c r="O151" i="3"/>
  <c r="F151" i="9" s="1"/>
  <c r="I151" i="9" s="1"/>
  <c r="L151" i="3"/>
  <c r="L151" i="9" s="1"/>
  <c r="J151" i="3"/>
  <c r="E151" i="9" s="1"/>
  <c r="H151" i="9" s="1"/>
  <c r="F151" i="3"/>
  <c r="C151" i="9" s="1"/>
  <c r="D151" i="3"/>
  <c r="D151" i="9" s="1"/>
  <c r="T150" i="3"/>
  <c r="O150" i="3"/>
  <c r="F150" i="9" s="1"/>
  <c r="I150" i="9" s="1"/>
  <c r="L150" i="3"/>
  <c r="L150" i="9" s="1"/>
  <c r="J150" i="3"/>
  <c r="E150" i="9" s="1"/>
  <c r="H150" i="9" s="1"/>
  <c r="F150" i="3"/>
  <c r="C150" i="9" s="1"/>
  <c r="D150" i="3"/>
  <c r="D150" i="9" s="1"/>
  <c r="T149" i="3"/>
  <c r="O149" i="3"/>
  <c r="F149" i="9" s="1"/>
  <c r="I149" i="9" s="1"/>
  <c r="L149" i="3"/>
  <c r="L149" i="9" s="1"/>
  <c r="J149" i="3"/>
  <c r="E149" i="9" s="1"/>
  <c r="H149" i="9" s="1"/>
  <c r="F149" i="3"/>
  <c r="C149" i="9" s="1"/>
  <c r="D149" i="3"/>
  <c r="D149" i="9" s="1"/>
  <c r="T148" i="3"/>
  <c r="O148" i="3"/>
  <c r="F148" i="9" s="1"/>
  <c r="I148" i="9" s="1"/>
  <c r="L148" i="3"/>
  <c r="L148" i="9" s="1"/>
  <c r="J148" i="3"/>
  <c r="E148" i="9" s="1"/>
  <c r="H148" i="9" s="1"/>
  <c r="F148" i="3"/>
  <c r="C148" i="9" s="1"/>
  <c r="D148" i="3"/>
  <c r="D148" i="9" s="1"/>
  <c r="T147" i="3"/>
  <c r="O147" i="3"/>
  <c r="F147" i="9" s="1"/>
  <c r="I147" i="9" s="1"/>
  <c r="L147" i="3"/>
  <c r="L147" i="9" s="1"/>
  <c r="J147" i="3"/>
  <c r="E147" i="9" s="1"/>
  <c r="H147" i="9" s="1"/>
  <c r="F147" i="3"/>
  <c r="C147" i="9" s="1"/>
  <c r="D147" i="3"/>
  <c r="D147" i="9" s="1"/>
  <c r="T146" i="3"/>
  <c r="O146" i="3"/>
  <c r="F146" i="9" s="1"/>
  <c r="I146" i="9" s="1"/>
  <c r="L146" i="3"/>
  <c r="L146" i="9" s="1"/>
  <c r="J146" i="3"/>
  <c r="E146" i="9" s="1"/>
  <c r="H146" i="9" s="1"/>
  <c r="F146" i="3"/>
  <c r="C146" i="9" s="1"/>
  <c r="D146" i="3"/>
  <c r="D146" i="9" s="1"/>
  <c r="T145" i="3"/>
  <c r="O145" i="3"/>
  <c r="F145" i="9" s="1"/>
  <c r="I145" i="9" s="1"/>
  <c r="L145" i="3"/>
  <c r="L145" i="9" s="1"/>
  <c r="J145" i="3"/>
  <c r="E145" i="9" s="1"/>
  <c r="H145" i="9" s="1"/>
  <c r="F145" i="3"/>
  <c r="C145" i="9" s="1"/>
  <c r="D145" i="3"/>
  <c r="D145" i="9" s="1"/>
  <c r="T144" i="3"/>
  <c r="O144" i="3"/>
  <c r="F144" i="9" s="1"/>
  <c r="I144" i="9" s="1"/>
  <c r="L144" i="3"/>
  <c r="L144" i="9" s="1"/>
  <c r="J144" i="3"/>
  <c r="E144" i="9" s="1"/>
  <c r="H144" i="9" s="1"/>
  <c r="F144" i="3"/>
  <c r="D144" i="3"/>
  <c r="D144" i="9" s="1"/>
  <c r="T143" i="3"/>
  <c r="O143" i="3"/>
  <c r="F143" i="9" s="1"/>
  <c r="I143" i="9" s="1"/>
  <c r="L143" i="3"/>
  <c r="L143" i="9" s="1"/>
  <c r="J143" i="3"/>
  <c r="E143" i="9" s="1"/>
  <c r="H143" i="9" s="1"/>
  <c r="F143" i="3"/>
  <c r="C143" i="9" s="1"/>
  <c r="D143" i="3"/>
  <c r="D143" i="9" s="1"/>
  <c r="T142" i="3"/>
  <c r="O142" i="3"/>
  <c r="F142" i="9" s="1"/>
  <c r="I142" i="9" s="1"/>
  <c r="L142" i="3"/>
  <c r="L142" i="9" s="1"/>
  <c r="J142" i="3"/>
  <c r="E142" i="9" s="1"/>
  <c r="H142" i="9" s="1"/>
  <c r="F142" i="3"/>
  <c r="C142" i="9" s="1"/>
  <c r="D142" i="3"/>
  <c r="D142" i="9" s="1"/>
  <c r="T141" i="3"/>
  <c r="O141" i="3"/>
  <c r="F141" i="9" s="1"/>
  <c r="I141" i="9" s="1"/>
  <c r="L141" i="3"/>
  <c r="L141" i="9" s="1"/>
  <c r="J141" i="3"/>
  <c r="E141" i="9" s="1"/>
  <c r="H141" i="9" s="1"/>
  <c r="F141" i="3"/>
  <c r="C141" i="9" s="1"/>
  <c r="D141" i="3"/>
  <c r="D141" i="9" s="1"/>
  <c r="T140" i="3"/>
  <c r="O140" i="3"/>
  <c r="F140" i="9" s="1"/>
  <c r="I140" i="9" s="1"/>
  <c r="L140" i="3"/>
  <c r="L140" i="9" s="1"/>
  <c r="J140" i="3"/>
  <c r="E140" i="9" s="1"/>
  <c r="H140" i="9" s="1"/>
  <c r="F140" i="3"/>
  <c r="C140" i="9" s="1"/>
  <c r="D140" i="3"/>
  <c r="D140" i="9" s="1"/>
  <c r="T139" i="3"/>
  <c r="O139" i="3"/>
  <c r="F139" i="9" s="1"/>
  <c r="I139" i="9" s="1"/>
  <c r="L139" i="3"/>
  <c r="L139" i="9" s="1"/>
  <c r="J139" i="3"/>
  <c r="E139" i="9" s="1"/>
  <c r="H139" i="9" s="1"/>
  <c r="F139" i="3"/>
  <c r="D139" i="3"/>
  <c r="D139" i="9" s="1"/>
  <c r="T138" i="3"/>
  <c r="O138" i="3"/>
  <c r="F138" i="9" s="1"/>
  <c r="I138" i="9" s="1"/>
  <c r="L138" i="3"/>
  <c r="L138" i="9" s="1"/>
  <c r="J138" i="3"/>
  <c r="E138" i="9" s="1"/>
  <c r="H138" i="9" s="1"/>
  <c r="F138" i="3"/>
  <c r="C138" i="9" s="1"/>
  <c r="D138" i="3"/>
  <c r="D138" i="9" s="1"/>
  <c r="T137" i="3"/>
  <c r="O137" i="3"/>
  <c r="F137" i="9" s="1"/>
  <c r="I137" i="9" s="1"/>
  <c r="L137" i="3"/>
  <c r="L137" i="9" s="1"/>
  <c r="J137" i="3"/>
  <c r="E137" i="9" s="1"/>
  <c r="H137" i="9" s="1"/>
  <c r="F137" i="3"/>
  <c r="C137" i="9" s="1"/>
  <c r="D137" i="3"/>
  <c r="D137" i="9" s="1"/>
  <c r="T136" i="3"/>
  <c r="O136" i="3"/>
  <c r="F136" i="9" s="1"/>
  <c r="I136" i="9" s="1"/>
  <c r="L136" i="3"/>
  <c r="L136" i="9" s="1"/>
  <c r="J136" i="3"/>
  <c r="E136" i="9" s="1"/>
  <c r="H136" i="9" s="1"/>
  <c r="F136" i="3"/>
  <c r="C136" i="9" s="1"/>
  <c r="D136" i="3"/>
  <c r="D136" i="9" s="1"/>
  <c r="T135" i="3"/>
  <c r="O135" i="3"/>
  <c r="F135" i="9" s="1"/>
  <c r="I135" i="9" s="1"/>
  <c r="L135" i="3"/>
  <c r="L135" i="9" s="1"/>
  <c r="J135" i="3"/>
  <c r="E135" i="9" s="1"/>
  <c r="H135" i="9" s="1"/>
  <c r="F135" i="3"/>
  <c r="C135" i="9" s="1"/>
  <c r="D135" i="3"/>
  <c r="D135" i="9" s="1"/>
  <c r="T134" i="3"/>
  <c r="O134" i="3"/>
  <c r="F134" i="9" s="1"/>
  <c r="I134" i="9" s="1"/>
  <c r="L134" i="3"/>
  <c r="L134" i="9" s="1"/>
  <c r="J134" i="3"/>
  <c r="E134" i="9" s="1"/>
  <c r="H134" i="9" s="1"/>
  <c r="F134" i="3"/>
  <c r="C134" i="9" s="1"/>
  <c r="D134" i="3"/>
  <c r="T133" i="3"/>
  <c r="O133" i="3"/>
  <c r="F133" i="9" s="1"/>
  <c r="I133" i="9" s="1"/>
  <c r="L133" i="3"/>
  <c r="L133" i="9" s="1"/>
  <c r="J133" i="3"/>
  <c r="E133" i="9" s="1"/>
  <c r="H133" i="9" s="1"/>
  <c r="F133" i="3"/>
  <c r="C133" i="9" s="1"/>
  <c r="D133" i="3"/>
  <c r="D133" i="9" s="1"/>
  <c r="T132" i="3"/>
  <c r="O132" i="3"/>
  <c r="F132" i="9" s="1"/>
  <c r="I132" i="9" s="1"/>
  <c r="L132" i="3"/>
  <c r="L132" i="9" s="1"/>
  <c r="J132" i="3"/>
  <c r="E132" i="9" s="1"/>
  <c r="H132" i="9" s="1"/>
  <c r="F132" i="3"/>
  <c r="C132" i="9" s="1"/>
  <c r="D132" i="3"/>
  <c r="D132" i="9" s="1"/>
  <c r="T131" i="3"/>
  <c r="O131" i="3"/>
  <c r="F131" i="9" s="1"/>
  <c r="I131" i="9" s="1"/>
  <c r="L131" i="3"/>
  <c r="L131" i="9" s="1"/>
  <c r="J131" i="3"/>
  <c r="E131" i="9" s="1"/>
  <c r="H131" i="9" s="1"/>
  <c r="F131" i="3"/>
  <c r="C131" i="9" s="1"/>
  <c r="D131" i="3"/>
  <c r="D131" i="9" s="1"/>
  <c r="T130" i="3"/>
  <c r="O130" i="3"/>
  <c r="F130" i="9" s="1"/>
  <c r="I130" i="9" s="1"/>
  <c r="L130" i="3"/>
  <c r="L130" i="9" s="1"/>
  <c r="J130" i="3"/>
  <c r="E130" i="9" s="1"/>
  <c r="H130" i="9" s="1"/>
  <c r="F130" i="3"/>
  <c r="C130" i="9" s="1"/>
  <c r="D130" i="3"/>
  <c r="D130" i="9" s="1"/>
  <c r="T129" i="3"/>
  <c r="O129" i="3"/>
  <c r="F129" i="9" s="1"/>
  <c r="I129" i="9" s="1"/>
  <c r="L129" i="3"/>
  <c r="L129" i="9" s="1"/>
  <c r="J129" i="3"/>
  <c r="E129" i="9" s="1"/>
  <c r="H129" i="9" s="1"/>
  <c r="F129" i="3"/>
  <c r="C129" i="9" s="1"/>
  <c r="D129" i="3"/>
  <c r="D129" i="9" s="1"/>
  <c r="T128" i="3"/>
  <c r="O128" i="3"/>
  <c r="F128" i="9" s="1"/>
  <c r="I128" i="9" s="1"/>
  <c r="L128" i="3"/>
  <c r="L128" i="9" s="1"/>
  <c r="J128" i="3"/>
  <c r="E128" i="9" s="1"/>
  <c r="H128" i="9" s="1"/>
  <c r="F128" i="3"/>
  <c r="C128" i="9" s="1"/>
  <c r="D128" i="3"/>
  <c r="D128" i="9" s="1"/>
  <c r="T127" i="3"/>
  <c r="O127" i="3"/>
  <c r="F127" i="9" s="1"/>
  <c r="I127" i="9" s="1"/>
  <c r="L127" i="3"/>
  <c r="L127" i="9" s="1"/>
  <c r="J127" i="3"/>
  <c r="E127" i="9" s="1"/>
  <c r="H127" i="9" s="1"/>
  <c r="F127" i="3"/>
  <c r="C127" i="9" s="1"/>
  <c r="D127" i="3"/>
  <c r="D127" i="9" s="1"/>
  <c r="T126" i="3"/>
  <c r="O126" i="3"/>
  <c r="F126" i="9" s="1"/>
  <c r="I126" i="9" s="1"/>
  <c r="L126" i="3"/>
  <c r="L126" i="9" s="1"/>
  <c r="J126" i="3"/>
  <c r="E126" i="9" s="1"/>
  <c r="H126" i="9" s="1"/>
  <c r="F126" i="3"/>
  <c r="C126" i="9" s="1"/>
  <c r="D126" i="3"/>
  <c r="D126" i="9" s="1"/>
  <c r="T125" i="3"/>
  <c r="O125" i="3"/>
  <c r="F125" i="9" s="1"/>
  <c r="I125" i="9" s="1"/>
  <c r="L125" i="3"/>
  <c r="L125" i="9" s="1"/>
  <c r="J125" i="3"/>
  <c r="E125" i="9" s="1"/>
  <c r="H125" i="9" s="1"/>
  <c r="F125" i="3"/>
  <c r="C125" i="9" s="1"/>
  <c r="D125" i="3"/>
  <c r="D125" i="9" s="1"/>
  <c r="T124" i="3"/>
  <c r="O124" i="3"/>
  <c r="F124" i="9" s="1"/>
  <c r="I124" i="9" s="1"/>
  <c r="L124" i="3"/>
  <c r="L124" i="9" s="1"/>
  <c r="J124" i="3"/>
  <c r="E124" i="9" s="1"/>
  <c r="H124" i="9" s="1"/>
  <c r="F124" i="3"/>
  <c r="C124" i="9" s="1"/>
  <c r="D124" i="3"/>
  <c r="D124" i="9" s="1"/>
  <c r="T123" i="3"/>
  <c r="O123" i="3"/>
  <c r="F123" i="9" s="1"/>
  <c r="I123" i="9" s="1"/>
  <c r="L123" i="3"/>
  <c r="L123" i="9" s="1"/>
  <c r="J123" i="3"/>
  <c r="E123" i="9" s="1"/>
  <c r="H123" i="9" s="1"/>
  <c r="F123" i="3"/>
  <c r="C123" i="9" s="1"/>
  <c r="D123" i="3"/>
  <c r="D123" i="9" s="1"/>
  <c r="T122" i="3"/>
  <c r="O122" i="3"/>
  <c r="F122" i="9" s="1"/>
  <c r="I122" i="9" s="1"/>
  <c r="L122" i="3"/>
  <c r="L122" i="9" s="1"/>
  <c r="J122" i="3"/>
  <c r="E122" i="9" s="1"/>
  <c r="H122" i="9" s="1"/>
  <c r="F122" i="3"/>
  <c r="C122" i="9" s="1"/>
  <c r="D122" i="3"/>
  <c r="D122" i="9" s="1"/>
  <c r="T121" i="3"/>
  <c r="O121" i="3"/>
  <c r="F121" i="9" s="1"/>
  <c r="I121" i="9" s="1"/>
  <c r="L121" i="3"/>
  <c r="L121" i="9" s="1"/>
  <c r="J121" i="3"/>
  <c r="E121" i="9" s="1"/>
  <c r="H121" i="9" s="1"/>
  <c r="F121" i="3"/>
  <c r="C121" i="9" s="1"/>
  <c r="D121" i="3"/>
  <c r="D121" i="9" s="1"/>
  <c r="T120" i="3"/>
  <c r="O120" i="3"/>
  <c r="F120" i="9" s="1"/>
  <c r="I120" i="9" s="1"/>
  <c r="L120" i="3"/>
  <c r="L120" i="9" s="1"/>
  <c r="J120" i="3"/>
  <c r="E120" i="9" s="1"/>
  <c r="H120" i="9" s="1"/>
  <c r="F120" i="3"/>
  <c r="C120" i="9" s="1"/>
  <c r="D120" i="3"/>
  <c r="D120" i="9" s="1"/>
  <c r="T119" i="3"/>
  <c r="O119" i="3"/>
  <c r="F119" i="9" s="1"/>
  <c r="I119" i="9" s="1"/>
  <c r="L119" i="3"/>
  <c r="L119" i="9" s="1"/>
  <c r="J119" i="3"/>
  <c r="E119" i="9" s="1"/>
  <c r="H119" i="9" s="1"/>
  <c r="F119" i="3"/>
  <c r="C119" i="9" s="1"/>
  <c r="D119" i="3"/>
  <c r="D119" i="9" s="1"/>
  <c r="T118" i="3"/>
  <c r="O118" i="3"/>
  <c r="F118" i="9" s="1"/>
  <c r="I118" i="9" s="1"/>
  <c r="L118" i="3"/>
  <c r="L118" i="9" s="1"/>
  <c r="J118" i="3"/>
  <c r="E118" i="9" s="1"/>
  <c r="H118" i="9" s="1"/>
  <c r="F118" i="3"/>
  <c r="C118" i="9" s="1"/>
  <c r="D118" i="3"/>
  <c r="D118" i="9" s="1"/>
  <c r="T117" i="3"/>
  <c r="O117" i="3"/>
  <c r="F117" i="9" s="1"/>
  <c r="I117" i="9" s="1"/>
  <c r="L117" i="3"/>
  <c r="L117" i="9" s="1"/>
  <c r="J117" i="3"/>
  <c r="E117" i="9" s="1"/>
  <c r="H117" i="9" s="1"/>
  <c r="F117" i="3"/>
  <c r="C117" i="9" s="1"/>
  <c r="D117" i="3"/>
  <c r="D117" i="9" s="1"/>
  <c r="T116" i="3"/>
  <c r="O116" i="3"/>
  <c r="F116" i="9" s="1"/>
  <c r="I116" i="9" s="1"/>
  <c r="L116" i="3"/>
  <c r="L116" i="9" s="1"/>
  <c r="J116" i="3"/>
  <c r="E116" i="9" s="1"/>
  <c r="H116" i="9" s="1"/>
  <c r="F116" i="3"/>
  <c r="C116" i="9" s="1"/>
  <c r="D116" i="3"/>
  <c r="D116" i="9" s="1"/>
  <c r="T115" i="3"/>
  <c r="O115" i="3"/>
  <c r="F115" i="9" s="1"/>
  <c r="I115" i="9" s="1"/>
  <c r="L115" i="3"/>
  <c r="L115" i="9" s="1"/>
  <c r="J115" i="3"/>
  <c r="E115" i="9" s="1"/>
  <c r="H115" i="9" s="1"/>
  <c r="F115" i="3"/>
  <c r="C115" i="9" s="1"/>
  <c r="D115" i="3"/>
  <c r="D115" i="9" s="1"/>
  <c r="T114" i="3"/>
  <c r="O114" i="3"/>
  <c r="F114" i="9" s="1"/>
  <c r="I114" i="9" s="1"/>
  <c r="L114" i="3"/>
  <c r="L114" i="9" s="1"/>
  <c r="J114" i="3"/>
  <c r="E114" i="9" s="1"/>
  <c r="H114" i="9" s="1"/>
  <c r="F114" i="3"/>
  <c r="C114" i="9" s="1"/>
  <c r="D114" i="3"/>
  <c r="D114" i="9" s="1"/>
  <c r="T113" i="3"/>
  <c r="O113" i="3"/>
  <c r="F113" i="9" s="1"/>
  <c r="I113" i="9" s="1"/>
  <c r="L113" i="3"/>
  <c r="L113" i="9" s="1"/>
  <c r="J113" i="3"/>
  <c r="E113" i="9" s="1"/>
  <c r="H113" i="9" s="1"/>
  <c r="F113" i="3"/>
  <c r="C113" i="9" s="1"/>
  <c r="D113" i="3"/>
  <c r="D113" i="9" s="1"/>
  <c r="T112" i="3"/>
  <c r="O112" i="3"/>
  <c r="F112" i="9" s="1"/>
  <c r="I112" i="9" s="1"/>
  <c r="L112" i="3"/>
  <c r="L112" i="9" s="1"/>
  <c r="J112" i="3"/>
  <c r="E112" i="9" s="1"/>
  <c r="H112" i="9" s="1"/>
  <c r="F112" i="3"/>
  <c r="D112" i="3"/>
  <c r="D112" i="9" s="1"/>
  <c r="T111" i="3"/>
  <c r="O111" i="3"/>
  <c r="F111" i="9" s="1"/>
  <c r="I111" i="9" s="1"/>
  <c r="L111" i="3"/>
  <c r="L111" i="9" s="1"/>
  <c r="J111" i="3"/>
  <c r="E111" i="9" s="1"/>
  <c r="H111" i="9" s="1"/>
  <c r="F111" i="3"/>
  <c r="C111" i="9" s="1"/>
  <c r="D111" i="3"/>
  <c r="D111" i="9" s="1"/>
  <c r="T110" i="3"/>
  <c r="O110" i="3"/>
  <c r="F110" i="9" s="1"/>
  <c r="I110" i="9" s="1"/>
  <c r="L110" i="3"/>
  <c r="L110" i="9" s="1"/>
  <c r="J110" i="3"/>
  <c r="E110" i="9" s="1"/>
  <c r="H110" i="9" s="1"/>
  <c r="F110" i="3"/>
  <c r="C110" i="9" s="1"/>
  <c r="D110" i="3"/>
  <c r="D110" i="9" s="1"/>
  <c r="T109" i="3"/>
  <c r="O109" i="3"/>
  <c r="F109" i="9" s="1"/>
  <c r="I109" i="9" s="1"/>
  <c r="L109" i="3"/>
  <c r="L109" i="9" s="1"/>
  <c r="J109" i="3"/>
  <c r="E109" i="9" s="1"/>
  <c r="H109" i="9" s="1"/>
  <c r="F109" i="3"/>
  <c r="C109" i="9" s="1"/>
  <c r="D109" i="3"/>
  <c r="D109" i="9" s="1"/>
  <c r="T108" i="3"/>
  <c r="O108" i="3"/>
  <c r="F108" i="9" s="1"/>
  <c r="I108" i="9" s="1"/>
  <c r="L108" i="3"/>
  <c r="L108" i="9" s="1"/>
  <c r="J108" i="3"/>
  <c r="E108" i="9" s="1"/>
  <c r="H108" i="9" s="1"/>
  <c r="F108" i="3"/>
  <c r="C108" i="9" s="1"/>
  <c r="D108" i="3"/>
  <c r="D108" i="9" s="1"/>
  <c r="T107" i="3"/>
  <c r="O107" i="3"/>
  <c r="F107" i="9" s="1"/>
  <c r="I107" i="9" s="1"/>
  <c r="L107" i="3"/>
  <c r="L107" i="9" s="1"/>
  <c r="J107" i="3"/>
  <c r="E107" i="9" s="1"/>
  <c r="H107" i="9" s="1"/>
  <c r="F107" i="3"/>
  <c r="C107" i="9" s="1"/>
  <c r="D107" i="3"/>
  <c r="D107" i="9" s="1"/>
  <c r="T106" i="3"/>
  <c r="O106" i="3"/>
  <c r="F106" i="9" s="1"/>
  <c r="I106" i="9" s="1"/>
  <c r="L106" i="3"/>
  <c r="L106" i="9" s="1"/>
  <c r="J106" i="3"/>
  <c r="E106" i="9" s="1"/>
  <c r="H106" i="9" s="1"/>
  <c r="F106" i="3"/>
  <c r="C106" i="9" s="1"/>
  <c r="D106" i="3"/>
  <c r="D106" i="9" s="1"/>
  <c r="T105" i="3"/>
  <c r="O105" i="3"/>
  <c r="F105" i="9" s="1"/>
  <c r="I105" i="9" s="1"/>
  <c r="L105" i="3"/>
  <c r="L105" i="9" s="1"/>
  <c r="J105" i="3"/>
  <c r="E105" i="9" s="1"/>
  <c r="H105" i="9" s="1"/>
  <c r="F105" i="3"/>
  <c r="C105" i="9" s="1"/>
  <c r="D105" i="3"/>
  <c r="D105" i="9" s="1"/>
  <c r="T104" i="3"/>
  <c r="O104" i="3"/>
  <c r="F104" i="9" s="1"/>
  <c r="I104" i="9" s="1"/>
  <c r="L104" i="3"/>
  <c r="L104" i="9" s="1"/>
  <c r="J104" i="3"/>
  <c r="E104" i="9" s="1"/>
  <c r="H104" i="9" s="1"/>
  <c r="F104" i="3"/>
  <c r="C104" i="9" s="1"/>
  <c r="D104" i="3"/>
  <c r="D104" i="9" s="1"/>
  <c r="T103" i="3"/>
  <c r="O103" i="3"/>
  <c r="F103" i="9" s="1"/>
  <c r="I103" i="9" s="1"/>
  <c r="L103" i="3"/>
  <c r="L103" i="9" s="1"/>
  <c r="J103" i="3"/>
  <c r="E103" i="9" s="1"/>
  <c r="H103" i="9" s="1"/>
  <c r="F103" i="3"/>
  <c r="C103" i="9" s="1"/>
  <c r="D103" i="3"/>
  <c r="D103" i="9" s="1"/>
  <c r="T102" i="3"/>
  <c r="O102" i="3"/>
  <c r="F102" i="9" s="1"/>
  <c r="I102" i="9" s="1"/>
  <c r="L102" i="3"/>
  <c r="L102" i="9" s="1"/>
  <c r="J102" i="3"/>
  <c r="E102" i="9" s="1"/>
  <c r="H102" i="9" s="1"/>
  <c r="F102" i="3"/>
  <c r="C102" i="9" s="1"/>
  <c r="D102" i="3"/>
  <c r="D102" i="9" s="1"/>
  <c r="T101" i="3"/>
  <c r="O101" i="3"/>
  <c r="F101" i="9" s="1"/>
  <c r="I101" i="9" s="1"/>
  <c r="L101" i="3"/>
  <c r="L101" i="9" s="1"/>
  <c r="J101" i="3"/>
  <c r="E101" i="9" s="1"/>
  <c r="H101" i="9" s="1"/>
  <c r="F101" i="3"/>
  <c r="C101" i="9" s="1"/>
  <c r="D101" i="3"/>
  <c r="D101" i="9" s="1"/>
  <c r="T100" i="3"/>
  <c r="O100" i="3"/>
  <c r="F100" i="9" s="1"/>
  <c r="I100" i="9" s="1"/>
  <c r="L100" i="3"/>
  <c r="L100" i="9" s="1"/>
  <c r="J100" i="3"/>
  <c r="E100" i="9" s="1"/>
  <c r="H100" i="9" s="1"/>
  <c r="F100" i="3"/>
  <c r="C100" i="9" s="1"/>
  <c r="D100" i="3"/>
  <c r="D100" i="9" s="1"/>
  <c r="T99" i="3"/>
  <c r="O99" i="3"/>
  <c r="F99" i="9" s="1"/>
  <c r="I99" i="9" s="1"/>
  <c r="L99" i="3"/>
  <c r="L99" i="9" s="1"/>
  <c r="J99" i="3"/>
  <c r="E99" i="9" s="1"/>
  <c r="H99" i="9" s="1"/>
  <c r="F99" i="3"/>
  <c r="C99" i="9" s="1"/>
  <c r="D99" i="3"/>
  <c r="T98" i="3"/>
  <c r="O98" i="3"/>
  <c r="F98" i="9" s="1"/>
  <c r="I98" i="9" s="1"/>
  <c r="L98" i="3"/>
  <c r="L98" i="9" s="1"/>
  <c r="J98" i="3"/>
  <c r="E98" i="9" s="1"/>
  <c r="H98" i="9" s="1"/>
  <c r="F98" i="3"/>
  <c r="C98" i="9" s="1"/>
  <c r="D98" i="3"/>
  <c r="D98" i="9" s="1"/>
  <c r="O97" i="3"/>
  <c r="F97" i="9" s="1"/>
  <c r="I97" i="9" s="1"/>
  <c r="L97" i="3"/>
  <c r="L97" i="9" s="1"/>
  <c r="J97" i="3"/>
  <c r="E97" i="9" s="1"/>
  <c r="H97" i="9" s="1"/>
  <c r="F97" i="3"/>
  <c r="C97" i="9" s="1"/>
  <c r="D97" i="3"/>
  <c r="D97" i="9" s="1"/>
  <c r="T96" i="3"/>
  <c r="O96" i="3"/>
  <c r="L96" i="3"/>
  <c r="L96" i="9" s="1"/>
  <c r="J96" i="3"/>
  <c r="E96" i="9" s="1"/>
  <c r="H96" i="9" s="1"/>
  <c r="F96" i="3"/>
  <c r="C96" i="9" s="1"/>
  <c r="D96" i="3"/>
  <c r="D96" i="9" s="1"/>
  <c r="T95" i="3"/>
  <c r="O95" i="3"/>
  <c r="F95" i="9" s="1"/>
  <c r="I95" i="9" s="1"/>
  <c r="L95" i="3"/>
  <c r="L95" i="9" s="1"/>
  <c r="J95" i="3"/>
  <c r="E95" i="9" s="1"/>
  <c r="H95" i="9" s="1"/>
  <c r="F95" i="3"/>
  <c r="C95" i="9" s="1"/>
  <c r="D95" i="3"/>
  <c r="D95" i="9" s="1"/>
  <c r="T94" i="3"/>
  <c r="O94" i="3"/>
  <c r="F94" i="9" s="1"/>
  <c r="I94" i="9" s="1"/>
  <c r="L94" i="3"/>
  <c r="L94" i="9" s="1"/>
  <c r="J94" i="3"/>
  <c r="E94" i="9" s="1"/>
  <c r="H94" i="9" s="1"/>
  <c r="F94" i="3"/>
  <c r="C94" i="9" s="1"/>
  <c r="D94" i="3"/>
  <c r="D94" i="9" s="1"/>
  <c r="T93" i="3"/>
  <c r="O93" i="3"/>
  <c r="F93" i="9" s="1"/>
  <c r="I93" i="9" s="1"/>
  <c r="L93" i="3"/>
  <c r="L93" i="9" s="1"/>
  <c r="J93" i="3"/>
  <c r="E93" i="9" s="1"/>
  <c r="H93" i="9" s="1"/>
  <c r="F93" i="3"/>
  <c r="C93" i="9" s="1"/>
  <c r="D93" i="3"/>
  <c r="D93" i="9" s="1"/>
  <c r="T92" i="3"/>
  <c r="O92" i="3"/>
  <c r="F92" i="9" s="1"/>
  <c r="I92" i="9" s="1"/>
  <c r="L92" i="3"/>
  <c r="L92" i="9" s="1"/>
  <c r="J92" i="3"/>
  <c r="E92" i="9" s="1"/>
  <c r="H92" i="9" s="1"/>
  <c r="F92" i="3"/>
  <c r="C92" i="9" s="1"/>
  <c r="D92" i="3"/>
  <c r="D92" i="9" s="1"/>
  <c r="T91" i="3"/>
  <c r="O91" i="3"/>
  <c r="F91" i="9" s="1"/>
  <c r="I91" i="9" s="1"/>
  <c r="L91" i="3"/>
  <c r="L91" i="9" s="1"/>
  <c r="J91" i="3"/>
  <c r="E91" i="9" s="1"/>
  <c r="H91" i="9" s="1"/>
  <c r="F91" i="3"/>
  <c r="C91" i="9" s="1"/>
  <c r="D91" i="3"/>
  <c r="D91" i="9" s="1"/>
  <c r="T90" i="3"/>
  <c r="O90" i="3"/>
  <c r="F90" i="9" s="1"/>
  <c r="I90" i="9" s="1"/>
  <c r="L90" i="3"/>
  <c r="L90" i="9" s="1"/>
  <c r="J90" i="3"/>
  <c r="E90" i="9" s="1"/>
  <c r="H90" i="9" s="1"/>
  <c r="F90" i="3"/>
  <c r="C90" i="9" s="1"/>
  <c r="D90" i="3"/>
  <c r="D90" i="9" s="1"/>
  <c r="T89" i="3"/>
  <c r="O89" i="3"/>
  <c r="F89" i="9" s="1"/>
  <c r="I89" i="9" s="1"/>
  <c r="L89" i="3"/>
  <c r="L89" i="9" s="1"/>
  <c r="J89" i="3"/>
  <c r="E89" i="9" s="1"/>
  <c r="H89" i="9" s="1"/>
  <c r="F89" i="3"/>
  <c r="D89" i="3"/>
  <c r="D89" i="9" s="1"/>
  <c r="O88" i="3"/>
  <c r="F88" i="9" s="1"/>
  <c r="I88" i="9" s="1"/>
  <c r="L88" i="3"/>
  <c r="L88" i="9" s="1"/>
  <c r="J88" i="3"/>
  <c r="E88" i="9" s="1"/>
  <c r="H88" i="9" s="1"/>
  <c r="F88" i="3"/>
  <c r="C88" i="9" s="1"/>
  <c r="D88" i="3"/>
  <c r="D88" i="9" s="1"/>
  <c r="T87" i="3"/>
  <c r="O87" i="3"/>
  <c r="F87" i="9" s="1"/>
  <c r="I87" i="9" s="1"/>
  <c r="L87" i="3"/>
  <c r="L87" i="9" s="1"/>
  <c r="J87" i="3"/>
  <c r="E87" i="9" s="1"/>
  <c r="H87" i="9" s="1"/>
  <c r="F87" i="3"/>
  <c r="C87" i="9" s="1"/>
  <c r="D87" i="3"/>
  <c r="D87" i="9" s="1"/>
  <c r="T86" i="3"/>
  <c r="O86" i="3"/>
  <c r="F86" i="9" s="1"/>
  <c r="I86" i="9" s="1"/>
  <c r="L86" i="3"/>
  <c r="L86" i="9" s="1"/>
  <c r="J86" i="3"/>
  <c r="F86" i="3"/>
  <c r="C86" i="9" s="1"/>
  <c r="D86" i="3"/>
  <c r="D86" i="9" s="1"/>
  <c r="T85" i="3"/>
  <c r="O85" i="3"/>
  <c r="F85" i="9" s="1"/>
  <c r="I85" i="9" s="1"/>
  <c r="L85" i="3"/>
  <c r="L85" i="9" s="1"/>
  <c r="J85" i="3"/>
  <c r="E85" i="9" s="1"/>
  <c r="H85" i="9" s="1"/>
  <c r="F85" i="3"/>
  <c r="C85" i="9" s="1"/>
  <c r="D85" i="3"/>
  <c r="D85" i="9" s="1"/>
  <c r="T84" i="3"/>
  <c r="O84" i="3"/>
  <c r="F84" i="9" s="1"/>
  <c r="I84" i="9" s="1"/>
  <c r="L84" i="3"/>
  <c r="L84" i="9" s="1"/>
  <c r="J84" i="3"/>
  <c r="E84" i="9" s="1"/>
  <c r="H84" i="9" s="1"/>
  <c r="F84" i="3"/>
  <c r="C84" i="9" s="1"/>
  <c r="D84" i="3"/>
  <c r="D84" i="9" s="1"/>
  <c r="T83" i="3"/>
  <c r="O83" i="3"/>
  <c r="F83" i="9" s="1"/>
  <c r="I83" i="9" s="1"/>
  <c r="L83" i="3"/>
  <c r="L83" i="9" s="1"/>
  <c r="J83" i="3"/>
  <c r="E83" i="9" s="1"/>
  <c r="H83" i="9" s="1"/>
  <c r="F83" i="3"/>
  <c r="C83" i="9" s="1"/>
  <c r="D83" i="3"/>
  <c r="T82" i="3"/>
  <c r="O82" i="3"/>
  <c r="F82" i="9" s="1"/>
  <c r="I82" i="9" s="1"/>
  <c r="L82" i="3"/>
  <c r="L82" i="9" s="1"/>
  <c r="J82" i="3"/>
  <c r="E82" i="9" s="1"/>
  <c r="H82" i="9" s="1"/>
  <c r="F82" i="3"/>
  <c r="C82" i="9" s="1"/>
  <c r="D82" i="3"/>
  <c r="D82" i="9" s="1"/>
  <c r="T81" i="3"/>
  <c r="O81" i="3"/>
  <c r="F81" i="9" s="1"/>
  <c r="I81" i="9" s="1"/>
  <c r="L81" i="3"/>
  <c r="L81" i="9" s="1"/>
  <c r="J81" i="3"/>
  <c r="E81" i="9" s="1"/>
  <c r="H81" i="9" s="1"/>
  <c r="F81" i="3"/>
  <c r="C81" i="9" s="1"/>
  <c r="D81" i="3"/>
  <c r="D81" i="9" s="1"/>
  <c r="T80" i="3"/>
  <c r="O80" i="3"/>
  <c r="L80" i="3"/>
  <c r="L80" i="9" s="1"/>
  <c r="J80" i="3"/>
  <c r="E80" i="9" s="1"/>
  <c r="H80" i="9" s="1"/>
  <c r="F80" i="3"/>
  <c r="C80" i="9" s="1"/>
  <c r="D80" i="3"/>
  <c r="D80" i="9" s="1"/>
  <c r="T79" i="3"/>
  <c r="O79" i="3"/>
  <c r="F79" i="9" s="1"/>
  <c r="I79" i="9" s="1"/>
  <c r="L79" i="3"/>
  <c r="L79" i="9" s="1"/>
  <c r="J79" i="3"/>
  <c r="E79" i="9" s="1"/>
  <c r="H79" i="9" s="1"/>
  <c r="F79" i="3"/>
  <c r="C79" i="9" s="1"/>
  <c r="D79" i="3"/>
  <c r="D79" i="9" s="1"/>
  <c r="T78" i="3"/>
  <c r="O78" i="3"/>
  <c r="F78" i="9" s="1"/>
  <c r="I78" i="9" s="1"/>
  <c r="L78" i="3"/>
  <c r="L78" i="9" s="1"/>
  <c r="J78" i="3"/>
  <c r="E78" i="9" s="1"/>
  <c r="H78" i="9" s="1"/>
  <c r="F78" i="3"/>
  <c r="C78" i="9" s="1"/>
  <c r="D78" i="3"/>
  <c r="D78" i="9" s="1"/>
  <c r="T77" i="3"/>
  <c r="O77" i="3"/>
  <c r="F77" i="9" s="1"/>
  <c r="I77" i="9" s="1"/>
  <c r="L77" i="3"/>
  <c r="L77" i="9" s="1"/>
  <c r="J77" i="3"/>
  <c r="E77" i="9" s="1"/>
  <c r="H77" i="9" s="1"/>
  <c r="F77" i="3"/>
  <c r="C77" i="9" s="1"/>
  <c r="D77" i="3"/>
  <c r="D77" i="9" s="1"/>
  <c r="T76" i="3"/>
  <c r="O76" i="3"/>
  <c r="F76" i="9" s="1"/>
  <c r="I76" i="9" s="1"/>
  <c r="L76" i="3"/>
  <c r="L76" i="9" s="1"/>
  <c r="J76" i="3"/>
  <c r="E76" i="9" s="1"/>
  <c r="H76" i="9" s="1"/>
  <c r="F76" i="3"/>
  <c r="C76" i="9" s="1"/>
  <c r="D76" i="3"/>
  <c r="D76" i="9" s="1"/>
  <c r="T75" i="3"/>
  <c r="O75" i="3"/>
  <c r="F75" i="9" s="1"/>
  <c r="I75" i="9" s="1"/>
  <c r="L75" i="3"/>
  <c r="L75" i="9" s="1"/>
  <c r="J75" i="3"/>
  <c r="E75" i="9" s="1"/>
  <c r="H75" i="9" s="1"/>
  <c r="F75" i="3"/>
  <c r="C75" i="9" s="1"/>
  <c r="D75" i="3"/>
  <c r="D75" i="9" s="1"/>
  <c r="T74" i="3"/>
  <c r="O74" i="3"/>
  <c r="F74" i="9" s="1"/>
  <c r="I74" i="9" s="1"/>
  <c r="L74" i="3"/>
  <c r="L74" i="9" s="1"/>
  <c r="J74" i="3"/>
  <c r="E74" i="9" s="1"/>
  <c r="H74" i="9" s="1"/>
  <c r="F74" i="3"/>
  <c r="C74" i="9" s="1"/>
  <c r="D74" i="3"/>
  <c r="D74" i="9" s="1"/>
  <c r="T73" i="3"/>
  <c r="O73" i="3"/>
  <c r="F73" i="9" s="1"/>
  <c r="I73" i="9" s="1"/>
  <c r="L73" i="3"/>
  <c r="L73" i="9" s="1"/>
  <c r="J73" i="3"/>
  <c r="E73" i="9" s="1"/>
  <c r="H73" i="9" s="1"/>
  <c r="F73" i="3"/>
  <c r="D73" i="3"/>
  <c r="D73" i="9" s="1"/>
  <c r="T72" i="3"/>
  <c r="O72" i="3"/>
  <c r="F72" i="9" s="1"/>
  <c r="I72" i="9" s="1"/>
  <c r="L72" i="3"/>
  <c r="L72" i="9" s="1"/>
  <c r="J72" i="3"/>
  <c r="E72" i="9" s="1"/>
  <c r="H72" i="9" s="1"/>
  <c r="F72" i="3"/>
  <c r="C72" i="9" s="1"/>
  <c r="D72" i="3"/>
  <c r="D72" i="9" s="1"/>
  <c r="T71" i="3"/>
  <c r="O71" i="3"/>
  <c r="F71" i="9" s="1"/>
  <c r="I71" i="9" s="1"/>
  <c r="L71" i="3"/>
  <c r="L71" i="9" s="1"/>
  <c r="J71" i="3"/>
  <c r="E71" i="9" s="1"/>
  <c r="H71" i="9" s="1"/>
  <c r="F71" i="3"/>
  <c r="C71" i="9" s="1"/>
  <c r="D71" i="3"/>
  <c r="D71" i="9" s="1"/>
  <c r="T70" i="3"/>
  <c r="O70" i="3"/>
  <c r="F70" i="9" s="1"/>
  <c r="I70" i="9" s="1"/>
  <c r="L70" i="3"/>
  <c r="L70" i="9" s="1"/>
  <c r="J70" i="3"/>
  <c r="F70" i="3"/>
  <c r="C70" i="9" s="1"/>
  <c r="D70" i="3"/>
  <c r="D70" i="9" s="1"/>
  <c r="T69" i="3"/>
  <c r="O69" i="3"/>
  <c r="F69" i="9" s="1"/>
  <c r="I69" i="9" s="1"/>
  <c r="L69" i="3"/>
  <c r="L69" i="9" s="1"/>
  <c r="J69" i="3"/>
  <c r="E69" i="9" s="1"/>
  <c r="H69" i="9" s="1"/>
  <c r="F69" i="3"/>
  <c r="C69" i="9" s="1"/>
  <c r="D69" i="3"/>
  <c r="D69" i="9" s="1"/>
  <c r="T68" i="3"/>
  <c r="O68" i="3"/>
  <c r="F68" i="9" s="1"/>
  <c r="I68" i="9" s="1"/>
  <c r="L68" i="3"/>
  <c r="L68" i="9" s="1"/>
  <c r="J68" i="3"/>
  <c r="E68" i="9" s="1"/>
  <c r="H68" i="9" s="1"/>
  <c r="F68" i="3"/>
  <c r="C68" i="9" s="1"/>
  <c r="D68" i="3"/>
  <c r="D68" i="9" s="1"/>
  <c r="T67" i="3"/>
  <c r="O67" i="3"/>
  <c r="F67" i="9" s="1"/>
  <c r="I67" i="9" s="1"/>
  <c r="L67" i="3"/>
  <c r="L67" i="9" s="1"/>
  <c r="J67" i="3"/>
  <c r="E67" i="9" s="1"/>
  <c r="H67" i="9" s="1"/>
  <c r="F67" i="3"/>
  <c r="C67" i="9" s="1"/>
  <c r="D67" i="3"/>
  <c r="T66" i="3"/>
  <c r="O66" i="3"/>
  <c r="F66" i="9" s="1"/>
  <c r="I66" i="9" s="1"/>
  <c r="L66" i="3"/>
  <c r="L66" i="9" s="1"/>
  <c r="J66" i="3"/>
  <c r="E66" i="9" s="1"/>
  <c r="H66" i="9" s="1"/>
  <c r="F66" i="3"/>
  <c r="C66" i="9" s="1"/>
  <c r="D66" i="3"/>
  <c r="D66" i="9" s="1"/>
  <c r="T65" i="3"/>
  <c r="O65" i="3"/>
  <c r="F65" i="9" s="1"/>
  <c r="I65" i="9" s="1"/>
  <c r="L65" i="3"/>
  <c r="L65" i="9" s="1"/>
  <c r="J65" i="3"/>
  <c r="E65" i="9" s="1"/>
  <c r="H65" i="9" s="1"/>
  <c r="F65" i="3"/>
  <c r="C65" i="9" s="1"/>
  <c r="D65" i="3"/>
  <c r="D65" i="9" s="1"/>
  <c r="T64" i="3"/>
  <c r="O64" i="3"/>
  <c r="L64" i="3"/>
  <c r="L64" i="9" s="1"/>
  <c r="J64" i="3"/>
  <c r="E64" i="9" s="1"/>
  <c r="H64" i="9" s="1"/>
  <c r="F64" i="3"/>
  <c r="C64" i="9" s="1"/>
  <c r="D64" i="3"/>
  <c r="D64" i="9" s="1"/>
  <c r="T63" i="3"/>
  <c r="O63" i="3"/>
  <c r="F63" i="9" s="1"/>
  <c r="I63" i="9" s="1"/>
  <c r="L63" i="3"/>
  <c r="L63" i="9" s="1"/>
  <c r="J63" i="3"/>
  <c r="E63" i="9" s="1"/>
  <c r="H63" i="9" s="1"/>
  <c r="F63" i="3"/>
  <c r="C63" i="9" s="1"/>
  <c r="D63" i="3"/>
  <c r="D63" i="9" s="1"/>
  <c r="T62" i="3"/>
  <c r="O62" i="3"/>
  <c r="F62" i="9" s="1"/>
  <c r="I62" i="9" s="1"/>
  <c r="L62" i="3"/>
  <c r="L62" i="9" s="1"/>
  <c r="J62" i="3"/>
  <c r="E62" i="9" s="1"/>
  <c r="H62" i="9" s="1"/>
  <c r="F62" i="3"/>
  <c r="C62" i="9" s="1"/>
  <c r="D62" i="3"/>
  <c r="D62" i="9" s="1"/>
  <c r="T61" i="3"/>
  <c r="O61" i="3"/>
  <c r="F61" i="9" s="1"/>
  <c r="I61" i="9" s="1"/>
  <c r="L61" i="3"/>
  <c r="L61" i="9" s="1"/>
  <c r="J61" i="3"/>
  <c r="E61" i="9" s="1"/>
  <c r="H61" i="9" s="1"/>
  <c r="F61" i="3"/>
  <c r="C61" i="9" s="1"/>
  <c r="D61" i="3"/>
  <c r="D61" i="9" s="1"/>
  <c r="T60" i="3"/>
  <c r="O60" i="3"/>
  <c r="F60" i="9" s="1"/>
  <c r="I60" i="9" s="1"/>
  <c r="L60" i="3"/>
  <c r="L60" i="9" s="1"/>
  <c r="J60" i="3"/>
  <c r="E60" i="9" s="1"/>
  <c r="H60" i="9" s="1"/>
  <c r="F60" i="3"/>
  <c r="C60" i="9" s="1"/>
  <c r="D60" i="3"/>
  <c r="D60" i="9" s="1"/>
  <c r="T59" i="3"/>
  <c r="O59" i="3"/>
  <c r="F59" i="9" s="1"/>
  <c r="I59" i="9" s="1"/>
  <c r="L59" i="3"/>
  <c r="L59" i="9" s="1"/>
  <c r="J59" i="3"/>
  <c r="E59" i="9" s="1"/>
  <c r="H59" i="9" s="1"/>
  <c r="F59" i="3"/>
  <c r="C59" i="9" s="1"/>
  <c r="D59" i="3"/>
  <c r="D59" i="9" s="1"/>
  <c r="T58" i="3"/>
  <c r="O58" i="3"/>
  <c r="F58" i="9" s="1"/>
  <c r="I58" i="9" s="1"/>
  <c r="L58" i="3"/>
  <c r="L58" i="9" s="1"/>
  <c r="J58" i="3"/>
  <c r="E58" i="9" s="1"/>
  <c r="H58" i="9" s="1"/>
  <c r="F58" i="3"/>
  <c r="C58" i="9" s="1"/>
  <c r="D58" i="3"/>
  <c r="D58" i="9" s="1"/>
  <c r="T57" i="3"/>
  <c r="O57" i="3"/>
  <c r="F57" i="9" s="1"/>
  <c r="I57" i="9" s="1"/>
  <c r="L57" i="3"/>
  <c r="L57" i="9" s="1"/>
  <c r="J57" i="3"/>
  <c r="E57" i="9" s="1"/>
  <c r="H57" i="9" s="1"/>
  <c r="F57" i="3"/>
  <c r="D57" i="3"/>
  <c r="D57" i="9" s="1"/>
  <c r="T56" i="3"/>
  <c r="O56" i="3"/>
  <c r="F56" i="9" s="1"/>
  <c r="I56" i="9" s="1"/>
  <c r="L56" i="3"/>
  <c r="L56" i="9" s="1"/>
  <c r="J56" i="3"/>
  <c r="E56" i="9" s="1"/>
  <c r="H56" i="9" s="1"/>
  <c r="F56" i="3"/>
  <c r="C56" i="9" s="1"/>
  <c r="D56" i="3"/>
  <c r="D56" i="9" s="1"/>
  <c r="T55" i="3"/>
  <c r="O55" i="3"/>
  <c r="F55" i="9" s="1"/>
  <c r="I55" i="9" s="1"/>
  <c r="L55" i="3"/>
  <c r="L55" i="9" s="1"/>
  <c r="J55" i="3"/>
  <c r="E55" i="9" s="1"/>
  <c r="H55" i="9" s="1"/>
  <c r="F55" i="3"/>
  <c r="C55" i="9" s="1"/>
  <c r="D55" i="3"/>
  <c r="D55" i="9" s="1"/>
  <c r="T54" i="3"/>
  <c r="O54" i="3"/>
  <c r="F54" i="9" s="1"/>
  <c r="I54" i="9" s="1"/>
  <c r="L54" i="3"/>
  <c r="L54" i="9" s="1"/>
  <c r="J54" i="3"/>
  <c r="F54" i="3"/>
  <c r="C54" i="9" s="1"/>
  <c r="D54" i="3"/>
  <c r="D54" i="9" s="1"/>
  <c r="T53" i="3"/>
  <c r="O53" i="3"/>
  <c r="F53" i="9" s="1"/>
  <c r="I53" i="9" s="1"/>
  <c r="L53" i="3"/>
  <c r="L53" i="9" s="1"/>
  <c r="J53" i="3"/>
  <c r="E53" i="9" s="1"/>
  <c r="H53" i="9" s="1"/>
  <c r="F53" i="3"/>
  <c r="C53" i="9" s="1"/>
  <c r="D53" i="3"/>
  <c r="D53" i="9" s="1"/>
  <c r="T52" i="3"/>
  <c r="O52" i="3"/>
  <c r="F52" i="9" s="1"/>
  <c r="I52" i="9" s="1"/>
  <c r="L52" i="3"/>
  <c r="L52" i="9" s="1"/>
  <c r="J52" i="3"/>
  <c r="E52" i="9" s="1"/>
  <c r="H52" i="9" s="1"/>
  <c r="F52" i="3"/>
  <c r="C52" i="9" s="1"/>
  <c r="D52" i="3"/>
  <c r="D52" i="9" s="1"/>
  <c r="T51" i="3"/>
  <c r="O51" i="3"/>
  <c r="F51" i="9" s="1"/>
  <c r="I51" i="9" s="1"/>
  <c r="L51" i="3"/>
  <c r="L51" i="9" s="1"/>
  <c r="J51" i="3"/>
  <c r="E51" i="9" s="1"/>
  <c r="H51" i="9" s="1"/>
  <c r="F51" i="3"/>
  <c r="C51" i="9" s="1"/>
  <c r="D51" i="3"/>
  <c r="T50" i="3"/>
  <c r="O50" i="3"/>
  <c r="F50" i="9" s="1"/>
  <c r="I50" i="9" s="1"/>
  <c r="L50" i="3"/>
  <c r="L50" i="9" s="1"/>
  <c r="J50" i="3"/>
  <c r="E50" i="9" s="1"/>
  <c r="H50" i="9" s="1"/>
  <c r="F50" i="3"/>
  <c r="C50" i="9" s="1"/>
  <c r="D50" i="3"/>
  <c r="D50" i="9" s="1"/>
  <c r="T49" i="3"/>
  <c r="O49" i="3"/>
  <c r="F49" i="9" s="1"/>
  <c r="I49" i="9" s="1"/>
  <c r="L49" i="3"/>
  <c r="L49" i="9" s="1"/>
  <c r="J49" i="3"/>
  <c r="E49" i="9" s="1"/>
  <c r="H49" i="9" s="1"/>
  <c r="F49" i="3"/>
  <c r="C49" i="9" s="1"/>
  <c r="D49" i="3"/>
  <c r="D49" i="9" s="1"/>
  <c r="T48" i="3"/>
  <c r="O48" i="3"/>
  <c r="L48" i="3"/>
  <c r="L48" i="9" s="1"/>
  <c r="J48" i="3"/>
  <c r="E48" i="9" s="1"/>
  <c r="H48" i="9" s="1"/>
  <c r="F48" i="3"/>
  <c r="C48" i="9" s="1"/>
  <c r="D48" i="3"/>
  <c r="D48" i="9" s="1"/>
  <c r="T47" i="3"/>
  <c r="O47" i="3"/>
  <c r="F47" i="9" s="1"/>
  <c r="I47" i="9" s="1"/>
  <c r="L47" i="3"/>
  <c r="L47" i="9" s="1"/>
  <c r="J47" i="3"/>
  <c r="E47" i="9" s="1"/>
  <c r="H47" i="9" s="1"/>
  <c r="F47" i="3"/>
  <c r="C47" i="9" s="1"/>
  <c r="D47" i="3"/>
  <c r="D47" i="9" s="1"/>
  <c r="T46" i="3"/>
  <c r="O46" i="3"/>
  <c r="F46" i="9" s="1"/>
  <c r="I46" i="9" s="1"/>
  <c r="L46" i="3"/>
  <c r="L46" i="9" s="1"/>
  <c r="J46" i="3"/>
  <c r="E46" i="9" s="1"/>
  <c r="H46" i="9" s="1"/>
  <c r="F46" i="3"/>
  <c r="C46" i="9" s="1"/>
  <c r="D46" i="3"/>
  <c r="D46" i="9" s="1"/>
  <c r="T45" i="3"/>
  <c r="O45" i="3"/>
  <c r="F45" i="9" s="1"/>
  <c r="I45" i="9" s="1"/>
  <c r="L45" i="3"/>
  <c r="L45" i="9" s="1"/>
  <c r="J45" i="3"/>
  <c r="E45" i="9" s="1"/>
  <c r="H45" i="9" s="1"/>
  <c r="F45" i="3"/>
  <c r="C45" i="9" s="1"/>
  <c r="D45" i="3"/>
  <c r="D45" i="9" s="1"/>
  <c r="T44" i="3"/>
  <c r="O44" i="3"/>
  <c r="F44" i="9" s="1"/>
  <c r="I44" i="9" s="1"/>
  <c r="L44" i="3"/>
  <c r="L44" i="9" s="1"/>
  <c r="J44" i="3"/>
  <c r="E44" i="9" s="1"/>
  <c r="H44" i="9" s="1"/>
  <c r="F44" i="3"/>
  <c r="C44" i="9" s="1"/>
  <c r="D44" i="3"/>
  <c r="D44" i="9" s="1"/>
  <c r="T43" i="3"/>
  <c r="O43" i="3"/>
  <c r="F43" i="9" s="1"/>
  <c r="I43" i="9" s="1"/>
  <c r="L43" i="3"/>
  <c r="L43" i="9" s="1"/>
  <c r="J43" i="3"/>
  <c r="E43" i="9" s="1"/>
  <c r="H43" i="9" s="1"/>
  <c r="F43" i="3"/>
  <c r="C43" i="9" s="1"/>
  <c r="D43" i="3"/>
  <c r="D43" i="9" s="1"/>
  <c r="T42" i="3"/>
  <c r="O42" i="3"/>
  <c r="F42" i="9" s="1"/>
  <c r="I42" i="9" s="1"/>
  <c r="L42" i="3"/>
  <c r="L42" i="9" s="1"/>
  <c r="J42" i="3"/>
  <c r="E42" i="9" s="1"/>
  <c r="H42" i="9" s="1"/>
  <c r="F42" i="3"/>
  <c r="C42" i="9" s="1"/>
  <c r="D42" i="3"/>
  <c r="D42" i="9" s="1"/>
  <c r="T41" i="3"/>
  <c r="O41" i="3"/>
  <c r="F41" i="9" s="1"/>
  <c r="I41" i="9" s="1"/>
  <c r="L41" i="3"/>
  <c r="L41" i="9" s="1"/>
  <c r="J41" i="3"/>
  <c r="E41" i="9" s="1"/>
  <c r="H41" i="9" s="1"/>
  <c r="F41" i="3"/>
  <c r="D41" i="3"/>
  <c r="D41" i="9" s="1"/>
  <c r="T40" i="3"/>
  <c r="O40" i="3"/>
  <c r="F40" i="9" s="1"/>
  <c r="I40" i="9" s="1"/>
  <c r="L40" i="3"/>
  <c r="L40" i="9" s="1"/>
  <c r="J40" i="3"/>
  <c r="E40" i="9" s="1"/>
  <c r="H40" i="9" s="1"/>
  <c r="F40" i="3"/>
  <c r="C40" i="9" s="1"/>
  <c r="D40" i="3"/>
  <c r="D40" i="9" s="1"/>
  <c r="T39" i="3"/>
  <c r="O39" i="3"/>
  <c r="F39" i="9" s="1"/>
  <c r="I39" i="9" s="1"/>
  <c r="L39" i="3"/>
  <c r="L39" i="9" s="1"/>
  <c r="J39" i="3"/>
  <c r="E39" i="9" s="1"/>
  <c r="H39" i="9" s="1"/>
  <c r="F39" i="3"/>
  <c r="C39" i="9" s="1"/>
  <c r="D39" i="3"/>
  <c r="D39" i="9" s="1"/>
  <c r="T38" i="3"/>
  <c r="O38" i="3"/>
  <c r="F38" i="9" s="1"/>
  <c r="I38" i="9" s="1"/>
  <c r="L38" i="3"/>
  <c r="L38" i="9" s="1"/>
  <c r="J38" i="3"/>
  <c r="F38" i="3"/>
  <c r="C38" i="9" s="1"/>
  <c r="D38" i="3"/>
  <c r="D38" i="9" s="1"/>
  <c r="T37" i="3"/>
  <c r="O37" i="3"/>
  <c r="F37" i="9" s="1"/>
  <c r="I37" i="9" s="1"/>
  <c r="L37" i="3"/>
  <c r="L37" i="9" s="1"/>
  <c r="J37" i="3"/>
  <c r="E37" i="9" s="1"/>
  <c r="H37" i="9" s="1"/>
  <c r="F37" i="3"/>
  <c r="C37" i="9" s="1"/>
  <c r="D37" i="3"/>
  <c r="D37" i="9" s="1"/>
  <c r="T36" i="3"/>
  <c r="O36" i="3"/>
  <c r="F36" i="9" s="1"/>
  <c r="I36" i="9" s="1"/>
  <c r="L36" i="3"/>
  <c r="L36" i="9" s="1"/>
  <c r="J36" i="3"/>
  <c r="E36" i="9" s="1"/>
  <c r="H36" i="9" s="1"/>
  <c r="F36" i="3"/>
  <c r="C36" i="9" s="1"/>
  <c r="D36" i="3"/>
  <c r="D36" i="9" s="1"/>
  <c r="T35" i="3"/>
  <c r="O35" i="3"/>
  <c r="F35" i="9" s="1"/>
  <c r="I35" i="9" s="1"/>
  <c r="L35" i="3"/>
  <c r="L35" i="9" s="1"/>
  <c r="J35" i="3"/>
  <c r="E35" i="9" s="1"/>
  <c r="H35" i="9" s="1"/>
  <c r="F35" i="3"/>
  <c r="C35" i="9" s="1"/>
  <c r="D35" i="3"/>
  <c r="T34" i="3"/>
  <c r="O34" i="3"/>
  <c r="F34" i="9" s="1"/>
  <c r="I34" i="9" s="1"/>
  <c r="L34" i="3"/>
  <c r="L34" i="9" s="1"/>
  <c r="J34" i="3"/>
  <c r="E34" i="9" s="1"/>
  <c r="H34" i="9" s="1"/>
  <c r="F34" i="3"/>
  <c r="C34" i="9" s="1"/>
  <c r="D34" i="3"/>
  <c r="D34" i="9" s="1"/>
  <c r="T33" i="3"/>
  <c r="O33" i="3"/>
  <c r="F33" i="9" s="1"/>
  <c r="I33" i="9" s="1"/>
  <c r="L33" i="3"/>
  <c r="L33" i="9" s="1"/>
  <c r="J33" i="3"/>
  <c r="E33" i="9" s="1"/>
  <c r="H33" i="9" s="1"/>
  <c r="F33" i="3"/>
  <c r="C33" i="9" s="1"/>
  <c r="D33" i="3"/>
  <c r="D33" i="9" s="1"/>
  <c r="T32" i="3"/>
  <c r="O32" i="3"/>
  <c r="L32" i="3"/>
  <c r="L32" i="9" s="1"/>
  <c r="J32" i="3"/>
  <c r="E32" i="9" s="1"/>
  <c r="H32" i="9" s="1"/>
  <c r="F32" i="3"/>
  <c r="C32" i="9" s="1"/>
  <c r="D32" i="3"/>
  <c r="D32" i="9" s="1"/>
  <c r="T31" i="3"/>
  <c r="O31" i="3"/>
  <c r="F31" i="9" s="1"/>
  <c r="I31" i="9" s="1"/>
  <c r="L31" i="3"/>
  <c r="L31" i="9" s="1"/>
  <c r="J31" i="3"/>
  <c r="E31" i="9" s="1"/>
  <c r="H31" i="9" s="1"/>
  <c r="F31" i="3"/>
  <c r="C31" i="9" s="1"/>
  <c r="D31" i="3"/>
  <c r="D31" i="9" s="1"/>
  <c r="T30" i="3"/>
  <c r="O30" i="3"/>
  <c r="F30" i="9" s="1"/>
  <c r="I30" i="9" s="1"/>
  <c r="L30" i="3"/>
  <c r="L30" i="9" s="1"/>
  <c r="J30" i="3"/>
  <c r="E30" i="9" s="1"/>
  <c r="H30" i="9" s="1"/>
  <c r="F30" i="3"/>
  <c r="C30" i="9" s="1"/>
  <c r="D30" i="3"/>
  <c r="D30" i="9" s="1"/>
  <c r="T29" i="3"/>
  <c r="O29" i="3"/>
  <c r="F29" i="9" s="1"/>
  <c r="I29" i="9" s="1"/>
  <c r="L29" i="3"/>
  <c r="L29" i="9" s="1"/>
  <c r="J29" i="3"/>
  <c r="E29" i="9" s="1"/>
  <c r="H29" i="9" s="1"/>
  <c r="F29" i="3"/>
  <c r="C29" i="9" s="1"/>
  <c r="D29" i="3"/>
  <c r="D29" i="9" s="1"/>
  <c r="T28" i="3"/>
  <c r="O28" i="3"/>
  <c r="F28" i="9" s="1"/>
  <c r="I28" i="9" s="1"/>
  <c r="L28" i="3"/>
  <c r="L28" i="9" s="1"/>
  <c r="J28" i="3"/>
  <c r="E28" i="9" s="1"/>
  <c r="H28" i="9" s="1"/>
  <c r="F28" i="3"/>
  <c r="C28" i="9" s="1"/>
  <c r="D28" i="3"/>
  <c r="D28" i="9" s="1"/>
  <c r="T27" i="3"/>
  <c r="O27" i="3"/>
  <c r="F27" i="9" s="1"/>
  <c r="I27" i="9" s="1"/>
  <c r="L27" i="3"/>
  <c r="L27" i="9" s="1"/>
  <c r="J27" i="3"/>
  <c r="E27" i="9" s="1"/>
  <c r="H27" i="9" s="1"/>
  <c r="F27" i="3"/>
  <c r="C27" i="9" s="1"/>
  <c r="D27" i="3"/>
  <c r="D27" i="9" s="1"/>
  <c r="T26" i="3"/>
  <c r="O26" i="3"/>
  <c r="F26" i="9" s="1"/>
  <c r="I26" i="9" s="1"/>
  <c r="L26" i="3"/>
  <c r="L26" i="9" s="1"/>
  <c r="J26" i="3"/>
  <c r="E26" i="9" s="1"/>
  <c r="H26" i="9" s="1"/>
  <c r="F26" i="3"/>
  <c r="C26" i="9" s="1"/>
  <c r="D26" i="3"/>
  <c r="D26" i="9" s="1"/>
  <c r="T25" i="3"/>
  <c r="O25" i="3"/>
  <c r="F25" i="9" s="1"/>
  <c r="I25" i="9" s="1"/>
  <c r="L25" i="3"/>
  <c r="L25" i="9" s="1"/>
  <c r="J25" i="3"/>
  <c r="E25" i="9" s="1"/>
  <c r="H25" i="9" s="1"/>
  <c r="F25" i="3"/>
  <c r="C25" i="9" s="1"/>
  <c r="D25" i="3"/>
  <c r="D25" i="9" s="1"/>
  <c r="T24" i="3"/>
  <c r="O24" i="3"/>
  <c r="F24" i="9" s="1"/>
  <c r="I24" i="9" s="1"/>
  <c r="L24" i="3"/>
  <c r="L24" i="9" s="1"/>
  <c r="J24" i="3"/>
  <c r="E24" i="9" s="1"/>
  <c r="H24" i="9" s="1"/>
  <c r="F24" i="3"/>
  <c r="C24" i="9" s="1"/>
  <c r="D24" i="3"/>
  <c r="D24" i="9" s="1"/>
  <c r="T23" i="3"/>
  <c r="O23" i="3"/>
  <c r="F23" i="9" s="1"/>
  <c r="I23" i="9" s="1"/>
  <c r="L23" i="3"/>
  <c r="L23" i="9" s="1"/>
  <c r="J23" i="3"/>
  <c r="E23" i="9" s="1"/>
  <c r="H23" i="9" s="1"/>
  <c r="F23" i="3"/>
  <c r="C23" i="9" s="1"/>
  <c r="D23" i="3"/>
  <c r="D23" i="9" s="1"/>
  <c r="T22" i="3"/>
  <c r="O22" i="3"/>
  <c r="F22" i="9" s="1"/>
  <c r="I22" i="9" s="1"/>
  <c r="L22" i="3"/>
  <c r="L22" i="9" s="1"/>
  <c r="J22" i="3"/>
  <c r="E22" i="9" s="1"/>
  <c r="H22" i="9" s="1"/>
  <c r="F22" i="3"/>
  <c r="C22" i="9" s="1"/>
  <c r="D22" i="3"/>
  <c r="D22" i="9" s="1"/>
  <c r="T21" i="3"/>
  <c r="O21" i="3"/>
  <c r="F21" i="9" s="1"/>
  <c r="I21" i="9" s="1"/>
  <c r="L21" i="3"/>
  <c r="L21" i="9" s="1"/>
  <c r="J21" i="3"/>
  <c r="E21" i="9" s="1"/>
  <c r="H21" i="9" s="1"/>
  <c r="F21" i="3"/>
  <c r="C21" i="9" s="1"/>
  <c r="D21" i="3"/>
  <c r="D21" i="9" s="1"/>
  <c r="T20" i="3"/>
  <c r="O20" i="3"/>
  <c r="F20" i="9" s="1"/>
  <c r="I20" i="9" s="1"/>
  <c r="L20" i="3"/>
  <c r="L20" i="9" s="1"/>
  <c r="J20" i="3"/>
  <c r="E20" i="9" s="1"/>
  <c r="H20" i="9" s="1"/>
  <c r="F20" i="3"/>
  <c r="C20" i="9" s="1"/>
  <c r="D20" i="3"/>
  <c r="D20" i="9" s="1"/>
  <c r="T19" i="3"/>
  <c r="O19" i="3"/>
  <c r="F19" i="9" s="1"/>
  <c r="I19" i="9" s="1"/>
  <c r="L19" i="3"/>
  <c r="L19" i="9" s="1"/>
  <c r="J19" i="3"/>
  <c r="E19" i="9" s="1"/>
  <c r="H19" i="9" s="1"/>
  <c r="F19" i="3"/>
  <c r="C19" i="9" s="1"/>
  <c r="D19" i="3"/>
  <c r="D19" i="9" s="1"/>
  <c r="T18" i="3"/>
  <c r="O18" i="3"/>
  <c r="F18" i="9" s="1"/>
  <c r="I18" i="9" s="1"/>
  <c r="L18" i="3"/>
  <c r="L18" i="9" s="1"/>
  <c r="J18" i="3"/>
  <c r="E18" i="9" s="1"/>
  <c r="H18" i="9" s="1"/>
  <c r="F18" i="3"/>
  <c r="C18" i="9" s="1"/>
  <c r="D18" i="3"/>
  <c r="D18" i="9" s="1"/>
  <c r="T17" i="3"/>
  <c r="O17" i="3"/>
  <c r="F17" i="9" s="1"/>
  <c r="I17" i="9" s="1"/>
  <c r="L17" i="3"/>
  <c r="L17" i="9" s="1"/>
  <c r="J17" i="3"/>
  <c r="E17" i="9" s="1"/>
  <c r="H17" i="9" s="1"/>
  <c r="F17" i="3"/>
  <c r="C17" i="9" s="1"/>
  <c r="D17" i="3"/>
  <c r="D17" i="9" s="1"/>
  <c r="T16" i="3"/>
  <c r="O16" i="3"/>
  <c r="F16" i="9" s="1"/>
  <c r="I16" i="9" s="1"/>
  <c r="L16" i="3"/>
  <c r="L16" i="9" s="1"/>
  <c r="J16" i="3"/>
  <c r="E16" i="9" s="1"/>
  <c r="H16" i="9" s="1"/>
  <c r="F16" i="3"/>
  <c r="C16" i="9" s="1"/>
  <c r="D16" i="3"/>
  <c r="D16" i="9" s="1"/>
  <c r="T15" i="3"/>
  <c r="O15" i="3"/>
  <c r="F15" i="9" s="1"/>
  <c r="I15" i="9" s="1"/>
  <c r="L15" i="3"/>
  <c r="L15" i="9" s="1"/>
  <c r="J15" i="3"/>
  <c r="E15" i="9" s="1"/>
  <c r="H15" i="9" s="1"/>
  <c r="F15" i="3"/>
  <c r="C15" i="9" s="1"/>
  <c r="D15" i="3"/>
  <c r="D15" i="9" s="1"/>
  <c r="T14" i="3"/>
  <c r="O14" i="3"/>
  <c r="F14" i="9" s="1"/>
  <c r="I14" i="9" s="1"/>
  <c r="L14" i="3"/>
  <c r="L14" i="9" s="1"/>
  <c r="J14" i="3"/>
  <c r="E14" i="9" s="1"/>
  <c r="H14" i="9" s="1"/>
  <c r="F14" i="3"/>
  <c r="C14" i="9" s="1"/>
  <c r="D14" i="3"/>
  <c r="D14" i="9" s="1"/>
  <c r="T13" i="3"/>
  <c r="O13" i="3"/>
  <c r="F13" i="9" s="1"/>
  <c r="I13" i="9" s="1"/>
  <c r="L13" i="3"/>
  <c r="L13" i="9" s="1"/>
  <c r="J13" i="3"/>
  <c r="E13" i="9" s="1"/>
  <c r="H13" i="9" s="1"/>
  <c r="F13" i="3"/>
  <c r="C13" i="9" s="1"/>
  <c r="D13" i="3"/>
  <c r="D13" i="9" s="1"/>
  <c r="T12" i="3"/>
  <c r="O12" i="3"/>
  <c r="F12" i="9" s="1"/>
  <c r="I12" i="9" s="1"/>
  <c r="L12" i="3"/>
  <c r="L12" i="9" s="1"/>
  <c r="J12" i="3"/>
  <c r="E12" i="9" s="1"/>
  <c r="H12" i="9" s="1"/>
  <c r="F12" i="3"/>
  <c r="C12" i="9" s="1"/>
  <c r="D12" i="3"/>
  <c r="D12" i="9" s="1"/>
  <c r="T11" i="3"/>
  <c r="O11" i="3"/>
  <c r="F11" i="9" s="1"/>
  <c r="I11" i="9" s="1"/>
  <c r="L11" i="3"/>
  <c r="L11" i="9" s="1"/>
  <c r="J11" i="3"/>
  <c r="E11" i="9" s="1"/>
  <c r="H11" i="9" s="1"/>
  <c r="F11" i="3"/>
  <c r="C11" i="9" s="1"/>
  <c r="D11" i="3"/>
  <c r="D11" i="9" s="1"/>
  <c r="T10" i="3"/>
  <c r="O10" i="3"/>
  <c r="F10" i="9" s="1"/>
  <c r="I10" i="9" s="1"/>
  <c r="L10" i="3"/>
  <c r="L10" i="9" s="1"/>
  <c r="J10" i="3"/>
  <c r="E10" i="9" s="1"/>
  <c r="H10" i="9" s="1"/>
  <c r="F10" i="3"/>
  <c r="C10" i="9" s="1"/>
  <c r="D10" i="3"/>
  <c r="D10" i="9" s="1"/>
  <c r="T9" i="3"/>
  <c r="O9" i="3"/>
  <c r="F9" i="9" s="1"/>
  <c r="I9" i="9" s="1"/>
  <c r="L9" i="3"/>
  <c r="L9" i="9" s="1"/>
  <c r="J9" i="3"/>
  <c r="E9" i="9" s="1"/>
  <c r="H9" i="9" s="1"/>
  <c r="F9" i="3"/>
  <c r="D9" i="3"/>
  <c r="T8" i="3"/>
  <c r="O8" i="3"/>
  <c r="F8" i="9" s="1"/>
  <c r="I8" i="9" s="1"/>
  <c r="L8" i="3"/>
  <c r="L8" i="9" s="1"/>
  <c r="J8" i="3"/>
  <c r="E8" i="9" s="1"/>
  <c r="H8" i="9" s="1"/>
  <c r="F8" i="3"/>
  <c r="C8" i="9" s="1"/>
  <c r="D8" i="3"/>
  <c r="D8" i="9" s="1"/>
  <c r="T7" i="3"/>
  <c r="O7" i="3"/>
  <c r="L7" i="3"/>
  <c r="L7" i="9" s="1"/>
  <c r="J7" i="3"/>
  <c r="F7" i="3"/>
  <c r="C7" i="9" s="1"/>
  <c r="D7" i="3"/>
  <c r="D7" i="9" s="1"/>
  <c r="T6" i="3"/>
  <c r="O6" i="3"/>
  <c r="F6" i="9" s="1"/>
  <c r="I6" i="9" s="1"/>
  <c r="L6" i="3"/>
  <c r="L6" i="9" s="1"/>
  <c r="J6" i="3"/>
  <c r="E6" i="9" s="1"/>
  <c r="H6" i="9" s="1"/>
  <c r="F6" i="3"/>
  <c r="C6" i="9" s="1"/>
  <c r="D6" i="3"/>
  <c r="D6" i="9" s="1"/>
  <c r="T5" i="3"/>
  <c r="O5" i="3"/>
  <c r="L5" i="3"/>
  <c r="L5" i="9" s="1"/>
  <c r="J5" i="3"/>
  <c r="F5" i="3"/>
  <c r="C5" i="9" s="1"/>
  <c r="D5" i="3"/>
  <c r="D5" i="9" s="1"/>
  <c r="H3" i="3"/>
  <c r="P97" i="18" l="1"/>
  <c r="L97" i="20" s="1"/>
  <c r="O395" i="3"/>
  <c r="T395" i="3"/>
  <c r="N7" i="10" s="1"/>
  <c r="O7" i="10" s="1"/>
  <c r="F395" i="16"/>
  <c r="J395" i="3"/>
  <c r="H116" i="13"/>
  <c r="P5" i="13"/>
  <c r="V5" i="13" s="1"/>
  <c r="P89" i="18"/>
  <c r="L89" i="20" s="1"/>
  <c r="K5" i="11"/>
  <c r="P86" i="18"/>
  <c r="L86" i="20" s="1"/>
  <c r="P87" i="18"/>
  <c r="L87" i="20" s="1"/>
  <c r="P81" i="18"/>
  <c r="L81" i="20" s="1"/>
  <c r="P80" i="18"/>
  <c r="L80" i="20" s="1"/>
  <c r="P79" i="18"/>
  <c r="L79" i="20" s="1"/>
  <c r="P73" i="18"/>
  <c r="L73" i="20" s="1"/>
  <c r="P72" i="18"/>
  <c r="L72" i="20" s="1"/>
  <c r="P71" i="18"/>
  <c r="L71" i="20" s="1"/>
  <c r="Q5" i="13"/>
  <c r="W5" i="13" s="1"/>
  <c r="I395" i="16"/>
  <c r="H7" i="16"/>
  <c r="E7" i="9"/>
  <c r="H7" i="9" s="1"/>
  <c r="K11" i="9"/>
  <c r="J11" i="9"/>
  <c r="K55" i="9"/>
  <c r="J55" i="9"/>
  <c r="K64" i="16"/>
  <c r="F64" i="9"/>
  <c r="I64" i="9" s="1"/>
  <c r="K79" i="9"/>
  <c r="J79" i="9"/>
  <c r="K83" i="9"/>
  <c r="J83" i="9"/>
  <c r="K87" i="9"/>
  <c r="J87" i="9"/>
  <c r="K150" i="9"/>
  <c r="J150" i="9"/>
  <c r="K170" i="9"/>
  <c r="J170" i="9"/>
  <c r="K182" i="9"/>
  <c r="J182" i="9"/>
  <c r="K194" i="9"/>
  <c r="J194" i="9"/>
  <c r="K242" i="16"/>
  <c r="F242" i="9"/>
  <c r="I242" i="9" s="1"/>
  <c r="H245" i="16"/>
  <c r="E245" i="9"/>
  <c r="H245" i="9" s="1"/>
  <c r="K246" i="16"/>
  <c r="F246" i="9"/>
  <c r="I246" i="9" s="1"/>
  <c r="H249" i="16"/>
  <c r="E249" i="9"/>
  <c r="H249" i="9" s="1"/>
  <c r="H253" i="16"/>
  <c r="E253" i="9"/>
  <c r="H253" i="9" s="1"/>
  <c r="H257" i="16"/>
  <c r="E257" i="9"/>
  <c r="H257" i="9" s="1"/>
  <c r="K262" i="16"/>
  <c r="F262" i="9"/>
  <c r="I262" i="9" s="1"/>
  <c r="K266" i="16"/>
  <c r="F266" i="9"/>
  <c r="I266" i="9" s="1"/>
  <c r="C276" i="16"/>
  <c r="C276" i="9"/>
  <c r="K94" i="9"/>
  <c r="J94" i="9"/>
  <c r="K221" i="9"/>
  <c r="J221" i="9"/>
  <c r="K225" i="9"/>
  <c r="J225" i="9"/>
  <c r="K229" i="9"/>
  <c r="J229" i="9"/>
  <c r="C244" i="16"/>
  <c r="C244" i="9"/>
  <c r="C248" i="16"/>
  <c r="C248" i="9"/>
  <c r="C252" i="16"/>
  <c r="C252" i="9"/>
  <c r="C256" i="16"/>
  <c r="C256" i="9"/>
  <c r="C260" i="16"/>
  <c r="C260" i="9"/>
  <c r="C264" i="16"/>
  <c r="C264" i="9"/>
  <c r="C268" i="16"/>
  <c r="C268" i="9"/>
  <c r="K272" i="9"/>
  <c r="J272" i="9"/>
  <c r="K273" i="16"/>
  <c r="F273" i="9"/>
  <c r="I273" i="9" s="1"/>
  <c r="D275" i="16"/>
  <c r="D275" i="9"/>
  <c r="K277" i="16"/>
  <c r="F277" i="9"/>
  <c r="I277" i="9" s="1"/>
  <c r="D279" i="16"/>
  <c r="D279" i="9"/>
  <c r="K281" i="16"/>
  <c r="F281" i="9"/>
  <c r="I281" i="9" s="1"/>
  <c r="K284" i="9"/>
  <c r="J284" i="9"/>
  <c r="D287" i="16"/>
  <c r="D287" i="9"/>
  <c r="K288" i="9"/>
  <c r="J288" i="9"/>
  <c r="K289" i="16"/>
  <c r="F289" i="9"/>
  <c r="I289" i="9" s="1"/>
  <c r="K292" i="9"/>
  <c r="J292" i="9"/>
  <c r="D295" i="16"/>
  <c r="D295" i="9"/>
  <c r="D299" i="16"/>
  <c r="D299" i="9"/>
  <c r="K304" i="9"/>
  <c r="J304" i="9"/>
  <c r="K6" i="9"/>
  <c r="J6" i="9"/>
  <c r="K7" i="16"/>
  <c r="F7" i="9"/>
  <c r="I7" i="9" s="1"/>
  <c r="D9" i="16"/>
  <c r="D9" i="9"/>
  <c r="K10" i="9"/>
  <c r="J10" i="9"/>
  <c r="K14" i="9"/>
  <c r="J14" i="9"/>
  <c r="K18" i="9"/>
  <c r="J18" i="9"/>
  <c r="K22" i="9"/>
  <c r="J22" i="9"/>
  <c r="K26" i="9"/>
  <c r="J26" i="9"/>
  <c r="K30" i="9"/>
  <c r="J30" i="9"/>
  <c r="K34" i="9"/>
  <c r="J34" i="9"/>
  <c r="H38" i="16"/>
  <c r="E38" i="9"/>
  <c r="H38" i="9" s="1"/>
  <c r="K42" i="9"/>
  <c r="J42" i="9"/>
  <c r="K46" i="9"/>
  <c r="J46" i="9"/>
  <c r="K50" i="9"/>
  <c r="J50" i="9"/>
  <c r="H54" i="16"/>
  <c r="E54" i="9"/>
  <c r="H54" i="9" s="1"/>
  <c r="K58" i="9"/>
  <c r="J58" i="9"/>
  <c r="K62" i="9"/>
  <c r="J62" i="9"/>
  <c r="K66" i="9"/>
  <c r="J66" i="9"/>
  <c r="H70" i="16"/>
  <c r="E70" i="9"/>
  <c r="H70" i="9" s="1"/>
  <c r="K74" i="9"/>
  <c r="J74" i="9"/>
  <c r="K78" i="9"/>
  <c r="J78" i="9"/>
  <c r="K82" i="9"/>
  <c r="J82" i="9"/>
  <c r="H86" i="16"/>
  <c r="E86" i="9"/>
  <c r="H86" i="9" s="1"/>
  <c r="C89" i="16"/>
  <c r="C89" i="9"/>
  <c r="K101" i="9"/>
  <c r="J101" i="9"/>
  <c r="K105" i="9"/>
  <c r="J105" i="9"/>
  <c r="K109" i="9"/>
  <c r="J109" i="9"/>
  <c r="K113" i="9"/>
  <c r="J113" i="9"/>
  <c r="K117" i="9"/>
  <c r="J117" i="9"/>
  <c r="K121" i="9"/>
  <c r="J121" i="9"/>
  <c r="K125" i="9"/>
  <c r="J125" i="9"/>
  <c r="K129" i="9"/>
  <c r="J129" i="9"/>
  <c r="K133" i="9"/>
  <c r="J133" i="9"/>
  <c r="K137" i="9"/>
  <c r="J137" i="9"/>
  <c r="K141" i="9"/>
  <c r="J141" i="9"/>
  <c r="K145" i="9"/>
  <c r="J145" i="9"/>
  <c r="K149" i="9"/>
  <c r="J149" i="9"/>
  <c r="K153" i="9"/>
  <c r="J153" i="9"/>
  <c r="K157" i="9"/>
  <c r="J157" i="9"/>
  <c r="K161" i="9"/>
  <c r="J161" i="9"/>
  <c r="K165" i="9"/>
  <c r="J165" i="9"/>
  <c r="K169" i="9"/>
  <c r="J169" i="9"/>
  <c r="K173" i="9"/>
  <c r="J173" i="9"/>
  <c r="K177" i="9"/>
  <c r="J177" i="9"/>
  <c r="K181" i="9"/>
  <c r="J181" i="9"/>
  <c r="K185" i="9"/>
  <c r="J185" i="9"/>
  <c r="K189" i="9"/>
  <c r="J189" i="9"/>
  <c r="K193" i="9"/>
  <c r="J193" i="9"/>
  <c r="K197" i="9"/>
  <c r="J197" i="9"/>
  <c r="K201" i="9"/>
  <c r="J201" i="9"/>
  <c r="K205" i="9"/>
  <c r="J205" i="9"/>
  <c r="K209" i="9"/>
  <c r="J209" i="9"/>
  <c r="K213" i="9"/>
  <c r="J213" i="9"/>
  <c r="K217" i="9"/>
  <c r="J217" i="9"/>
  <c r="K232" i="9"/>
  <c r="J232" i="9"/>
  <c r="K236" i="9"/>
  <c r="J236" i="9"/>
  <c r="K240" i="9"/>
  <c r="J240" i="9"/>
  <c r="D243" i="16"/>
  <c r="D243" i="9"/>
  <c r="K244" i="9"/>
  <c r="J244" i="9"/>
  <c r="K245" i="16"/>
  <c r="F245" i="9"/>
  <c r="I245" i="9" s="1"/>
  <c r="D247" i="16"/>
  <c r="D247" i="9"/>
  <c r="K248" i="9"/>
  <c r="J248" i="9"/>
  <c r="K249" i="16"/>
  <c r="F249" i="9"/>
  <c r="I249" i="9" s="1"/>
  <c r="D251" i="16"/>
  <c r="D251" i="9"/>
  <c r="K252" i="9"/>
  <c r="J252" i="9"/>
  <c r="K253" i="16"/>
  <c r="F253" i="9"/>
  <c r="I253" i="9" s="1"/>
  <c r="D255" i="16"/>
  <c r="D255" i="9"/>
  <c r="K256" i="9"/>
  <c r="J256" i="9"/>
  <c r="K257" i="16"/>
  <c r="F257" i="9"/>
  <c r="I257" i="9" s="1"/>
  <c r="D259" i="16"/>
  <c r="D259" i="9"/>
  <c r="K260" i="9"/>
  <c r="J260" i="9"/>
  <c r="K261" i="16"/>
  <c r="F261" i="9"/>
  <c r="I261" i="9" s="1"/>
  <c r="D263" i="16"/>
  <c r="D263" i="9"/>
  <c r="K264" i="9"/>
  <c r="J264" i="9"/>
  <c r="K265" i="16"/>
  <c r="F265" i="9"/>
  <c r="I265" i="9" s="1"/>
  <c r="D267" i="16"/>
  <c r="D267" i="9"/>
  <c r="K268" i="9"/>
  <c r="J268" i="9"/>
  <c r="K269" i="16"/>
  <c r="F269" i="9"/>
  <c r="I269" i="9" s="1"/>
  <c r="D271" i="16"/>
  <c r="D271" i="9"/>
  <c r="C275" i="16"/>
  <c r="C275" i="9"/>
  <c r="C279" i="16"/>
  <c r="C279" i="9"/>
  <c r="C283" i="16"/>
  <c r="C283" i="9"/>
  <c r="C287" i="16"/>
  <c r="C287" i="9"/>
  <c r="C291" i="16"/>
  <c r="C291" i="9"/>
  <c r="C295" i="16"/>
  <c r="C295" i="9"/>
  <c r="C299" i="16"/>
  <c r="C299" i="9"/>
  <c r="K114" i="9"/>
  <c r="J114" i="9"/>
  <c r="C41" i="16"/>
  <c r="C41" i="9"/>
  <c r="K25" i="9"/>
  <c r="J25" i="9"/>
  <c r="K45" i="9"/>
  <c r="J45" i="9"/>
  <c r="K49" i="9"/>
  <c r="J49" i="9"/>
  <c r="K81" i="9"/>
  <c r="J81" i="9"/>
  <c r="K140" i="9"/>
  <c r="J140" i="9"/>
  <c r="K144" i="9"/>
  <c r="J144" i="9"/>
  <c r="K156" i="9"/>
  <c r="J156" i="9"/>
  <c r="K160" i="9"/>
  <c r="J160" i="9"/>
  <c r="K164" i="9"/>
  <c r="J164" i="9"/>
  <c r="K168" i="9"/>
  <c r="J168" i="9"/>
  <c r="K172" i="9"/>
  <c r="J172" i="9"/>
  <c r="K176" i="9"/>
  <c r="J176" i="9"/>
  <c r="K180" i="9"/>
  <c r="J180" i="9"/>
  <c r="K192" i="9"/>
  <c r="J192" i="9"/>
  <c r="K239" i="9"/>
  <c r="J239" i="9"/>
  <c r="H247" i="16"/>
  <c r="E247" i="9"/>
  <c r="H247" i="9" s="1"/>
  <c r="D262" i="16"/>
  <c r="D262" i="9"/>
  <c r="C274" i="16"/>
  <c r="C274" i="9"/>
  <c r="C294" i="16"/>
  <c r="C294" i="9"/>
  <c r="K27" i="9"/>
  <c r="J27" i="9"/>
  <c r="K43" i="9"/>
  <c r="J43" i="9"/>
  <c r="K63" i="9"/>
  <c r="J63" i="9"/>
  <c r="K75" i="9"/>
  <c r="J75" i="9"/>
  <c r="K102" i="9"/>
  <c r="J102" i="9"/>
  <c r="K110" i="9"/>
  <c r="J110" i="9"/>
  <c r="C73" i="16"/>
  <c r="C73" i="9"/>
  <c r="K89" i="9"/>
  <c r="J89" i="9"/>
  <c r="C112" i="16"/>
  <c r="C112" i="9"/>
  <c r="C144" i="16"/>
  <c r="C144" i="9"/>
  <c r="C243" i="16"/>
  <c r="C243" i="9"/>
  <c r="C267" i="16"/>
  <c r="C267" i="9"/>
  <c r="D278" i="16"/>
  <c r="D278" i="9"/>
  <c r="H283" i="16"/>
  <c r="E283" i="9"/>
  <c r="H283" i="9" s="1"/>
  <c r="D99" i="16"/>
  <c r="D99" i="9"/>
  <c r="K120" i="9"/>
  <c r="J120" i="9"/>
  <c r="K124" i="9"/>
  <c r="J124" i="9"/>
  <c r="K148" i="9"/>
  <c r="J148" i="9"/>
  <c r="K152" i="9"/>
  <c r="J152" i="9"/>
  <c r="K184" i="9"/>
  <c r="J184" i="9"/>
  <c r="K196" i="9"/>
  <c r="J196" i="9"/>
  <c r="K208" i="9"/>
  <c r="J208" i="9"/>
  <c r="K212" i="9"/>
  <c r="J212" i="9"/>
  <c r="K235" i="9"/>
  <c r="J235" i="9"/>
  <c r="D246" i="16"/>
  <c r="D246" i="9"/>
  <c r="K248" i="16"/>
  <c r="F248" i="9"/>
  <c r="I248" i="9" s="1"/>
  <c r="K252" i="16"/>
  <c r="F252" i="9"/>
  <c r="I252" i="9" s="1"/>
  <c r="H255" i="16"/>
  <c r="E255" i="9"/>
  <c r="H255" i="9" s="1"/>
  <c r="H259" i="16"/>
  <c r="E259" i="9"/>
  <c r="H259" i="9" s="1"/>
  <c r="K264" i="16"/>
  <c r="F264" i="9"/>
  <c r="I264" i="9" s="1"/>
  <c r="K92" i="9"/>
  <c r="J92" i="9"/>
  <c r="K96" i="9"/>
  <c r="J96" i="9"/>
  <c r="C139" i="16"/>
  <c r="C139" i="9"/>
  <c r="K223" i="9"/>
  <c r="J223" i="9"/>
  <c r="K227" i="9"/>
  <c r="J227" i="9"/>
  <c r="C242" i="16"/>
  <c r="C242" i="9"/>
  <c r="C246" i="16"/>
  <c r="C246" i="9"/>
  <c r="C250" i="16"/>
  <c r="C250" i="9"/>
  <c r="C254" i="16"/>
  <c r="C254" i="9"/>
  <c r="C258" i="16"/>
  <c r="C258" i="9"/>
  <c r="C262" i="16"/>
  <c r="C262" i="9"/>
  <c r="C266" i="16"/>
  <c r="C266" i="9"/>
  <c r="C270" i="16"/>
  <c r="C270" i="9"/>
  <c r="K271" i="16"/>
  <c r="F271" i="9"/>
  <c r="I271" i="9" s="1"/>
  <c r="D273" i="16"/>
  <c r="D273" i="9"/>
  <c r="H274" i="16"/>
  <c r="E274" i="9"/>
  <c r="H274" i="9" s="1"/>
  <c r="K275" i="16"/>
  <c r="F275" i="9"/>
  <c r="I275" i="9" s="1"/>
  <c r="D277" i="16"/>
  <c r="D277" i="9"/>
  <c r="H278" i="16"/>
  <c r="E278" i="9"/>
  <c r="H278" i="9" s="1"/>
  <c r="K279" i="16"/>
  <c r="F279" i="9"/>
  <c r="I279" i="9" s="1"/>
  <c r="D281" i="16"/>
  <c r="D281" i="9"/>
  <c r="H282" i="16"/>
  <c r="E282" i="9"/>
  <c r="H282" i="9" s="1"/>
  <c r="K283" i="16"/>
  <c r="F283" i="9"/>
  <c r="I283" i="9" s="1"/>
  <c r="D285" i="16"/>
  <c r="D285" i="9"/>
  <c r="H286" i="16"/>
  <c r="E286" i="9"/>
  <c r="H286" i="9" s="1"/>
  <c r="K287" i="16"/>
  <c r="F287" i="9"/>
  <c r="I287" i="9" s="1"/>
  <c r="D289" i="16"/>
  <c r="D289" i="9"/>
  <c r="H290" i="16"/>
  <c r="E290" i="9"/>
  <c r="H290" i="9" s="1"/>
  <c r="K291" i="16"/>
  <c r="F291" i="9"/>
  <c r="I291" i="9" s="1"/>
  <c r="D293" i="16"/>
  <c r="D293" i="9"/>
  <c r="H294" i="16"/>
  <c r="E294" i="9"/>
  <c r="H294" i="9" s="1"/>
  <c r="K295" i="16"/>
  <c r="F295" i="9"/>
  <c r="I295" i="9" s="1"/>
  <c r="D297" i="16"/>
  <c r="D297" i="9"/>
  <c r="H298" i="16"/>
  <c r="E298" i="9"/>
  <c r="H298" i="9" s="1"/>
  <c r="K299" i="16"/>
  <c r="F299" i="9"/>
  <c r="I299" i="9" s="1"/>
  <c r="D301" i="16"/>
  <c r="D301" i="9"/>
  <c r="K302" i="9"/>
  <c r="J302" i="9"/>
  <c r="K15" i="9"/>
  <c r="J15" i="9"/>
  <c r="K39" i="9"/>
  <c r="J39" i="9"/>
  <c r="K48" i="16"/>
  <c r="F48" i="9"/>
  <c r="I48" i="9" s="1"/>
  <c r="K67" i="9"/>
  <c r="J67" i="9"/>
  <c r="K162" i="9"/>
  <c r="J162" i="9"/>
  <c r="K166" i="9"/>
  <c r="J166" i="9"/>
  <c r="K186" i="9"/>
  <c r="J186" i="9"/>
  <c r="K206" i="9"/>
  <c r="J206" i="9"/>
  <c r="K210" i="9"/>
  <c r="J210" i="9"/>
  <c r="K214" i="9"/>
  <c r="J214" i="9"/>
  <c r="K218" i="9"/>
  <c r="J218" i="9"/>
  <c r="K241" i="9"/>
  <c r="J241" i="9"/>
  <c r="D252" i="16"/>
  <c r="D252" i="9"/>
  <c r="D260" i="16"/>
  <c r="D260" i="9"/>
  <c r="D268" i="16"/>
  <c r="D268" i="9"/>
  <c r="H269" i="16"/>
  <c r="E269" i="9"/>
  <c r="H269" i="9" s="1"/>
  <c r="K270" i="16"/>
  <c r="F270" i="9"/>
  <c r="I270" i="9" s="1"/>
  <c r="C284" i="16"/>
  <c r="C284" i="9"/>
  <c r="C292" i="16"/>
  <c r="C292" i="9"/>
  <c r="C9" i="16"/>
  <c r="C9" i="9"/>
  <c r="K97" i="9"/>
  <c r="J97" i="9"/>
  <c r="C247" i="16"/>
  <c r="C247" i="9"/>
  <c r="C251" i="16"/>
  <c r="C251" i="9"/>
  <c r="C263" i="16"/>
  <c r="C263" i="9"/>
  <c r="D274" i="16"/>
  <c r="D274" i="9"/>
  <c r="K276" i="16"/>
  <c r="F276" i="9"/>
  <c r="I276" i="9" s="1"/>
  <c r="H279" i="16"/>
  <c r="E279" i="9"/>
  <c r="H279" i="9" s="1"/>
  <c r="K280" i="16"/>
  <c r="F280" i="9"/>
  <c r="I280" i="9" s="1"/>
  <c r="D286" i="16"/>
  <c r="D286" i="9"/>
  <c r="H287" i="16"/>
  <c r="E287" i="9"/>
  <c r="H287" i="9" s="1"/>
  <c r="K288" i="16"/>
  <c r="F288" i="9"/>
  <c r="I288" i="9" s="1"/>
  <c r="D290" i="16"/>
  <c r="D290" i="9"/>
  <c r="H291" i="16"/>
  <c r="E291" i="9"/>
  <c r="H291" i="9" s="1"/>
  <c r="K292" i="16"/>
  <c r="F292" i="9"/>
  <c r="I292" i="9" s="1"/>
  <c r="D294" i="16"/>
  <c r="D294" i="9"/>
  <c r="H295" i="16"/>
  <c r="E295" i="9"/>
  <c r="H295" i="9" s="1"/>
  <c r="D298" i="16"/>
  <c r="D298" i="9"/>
  <c r="H299" i="16"/>
  <c r="E299" i="9"/>
  <c r="H299" i="9" s="1"/>
  <c r="K300" i="16"/>
  <c r="F300" i="9"/>
  <c r="I300" i="9" s="1"/>
  <c r="K303" i="9"/>
  <c r="J303" i="9"/>
  <c r="K17" i="9"/>
  <c r="J17" i="9"/>
  <c r="K21" i="9"/>
  <c r="J21" i="9"/>
  <c r="K53" i="9"/>
  <c r="J53" i="9"/>
  <c r="K57" i="9"/>
  <c r="J57" i="9"/>
  <c r="K61" i="9"/>
  <c r="J61" i="9"/>
  <c r="K65" i="9"/>
  <c r="J65" i="9"/>
  <c r="K69" i="9"/>
  <c r="J69" i="9"/>
  <c r="K73" i="9"/>
  <c r="J73" i="9"/>
  <c r="K77" i="9"/>
  <c r="J77" i="9"/>
  <c r="K100" i="9"/>
  <c r="J100" i="9"/>
  <c r="K104" i="9"/>
  <c r="J104" i="9"/>
  <c r="K108" i="9"/>
  <c r="J108" i="9"/>
  <c r="K112" i="9"/>
  <c r="J112" i="9"/>
  <c r="K116" i="9"/>
  <c r="J116" i="9"/>
  <c r="K188" i="9"/>
  <c r="J188" i="9"/>
  <c r="K200" i="9"/>
  <c r="J200" i="9"/>
  <c r="K231" i="9"/>
  <c r="J231" i="9"/>
  <c r="D242" i="16"/>
  <c r="D242" i="9"/>
  <c r="K244" i="16"/>
  <c r="F244" i="9"/>
  <c r="I244" i="9" s="1"/>
  <c r="H251" i="16"/>
  <c r="E251" i="9"/>
  <c r="H251" i="9" s="1"/>
  <c r="D258" i="16"/>
  <c r="D258" i="9"/>
  <c r="D266" i="16"/>
  <c r="D266" i="9"/>
  <c r="K268" i="16"/>
  <c r="F268" i="9"/>
  <c r="I268" i="9" s="1"/>
  <c r="C278" i="16"/>
  <c r="C278" i="9"/>
  <c r="C282" i="16"/>
  <c r="C282" i="9"/>
  <c r="C298" i="16"/>
  <c r="C298" i="9"/>
  <c r="K5" i="16"/>
  <c r="F5" i="9"/>
  <c r="I5" i="9" s="1"/>
  <c r="K16" i="9"/>
  <c r="J16" i="9"/>
  <c r="K24" i="9"/>
  <c r="J24" i="9"/>
  <c r="K32" i="9"/>
  <c r="J32" i="9"/>
  <c r="D35" i="16"/>
  <c r="D35" i="9"/>
  <c r="K40" i="9"/>
  <c r="J40" i="9"/>
  <c r="K48" i="9"/>
  <c r="J48" i="9"/>
  <c r="D51" i="16"/>
  <c r="D51" i="9"/>
  <c r="K60" i="9"/>
  <c r="J60" i="9"/>
  <c r="K64" i="9"/>
  <c r="J64" i="9"/>
  <c r="D67" i="16"/>
  <c r="D67" i="9"/>
  <c r="K76" i="9"/>
  <c r="J76" i="9"/>
  <c r="K80" i="9"/>
  <c r="J80" i="9"/>
  <c r="K84" i="9"/>
  <c r="J84" i="9"/>
  <c r="K107" i="9"/>
  <c r="J107" i="9"/>
  <c r="K119" i="9"/>
  <c r="J119" i="9"/>
  <c r="D134" i="16"/>
  <c r="D134" i="9"/>
  <c r="K139" i="9"/>
  <c r="J139" i="9"/>
  <c r="K147" i="9"/>
  <c r="J147" i="9"/>
  <c r="K159" i="9"/>
  <c r="J159" i="9"/>
  <c r="K163" i="9"/>
  <c r="J163" i="9"/>
  <c r="K171" i="9"/>
  <c r="J171" i="9"/>
  <c r="K179" i="9"/>
  <c r="J179" i="9"/>
  <c r="K187" i="9"/>
  <c r="J187" i="9"/>
  <c r="K191" i="9"/>
  <c r="J191" i="9"/>
  <c r="K195" i="9"/>
  <c r="J195" i="9"/>
  <c r="K203" i="9"/>
  <c r="J203" i="9"/>
  <c r="K207" i="9"/>
  <c r="J207" i="9"/>
  <c r="K211" i="9"/>
  <c r="J211" i="9"/>
  <c r="K215" i="9"/>
  <c r="J215" i="9"/>
  <c r="K219" i="9"/>
  <c r="J219" i="9"/>
  <c r="K234" i="9"/>
  <c r="J234" i="9"/>
  <c r="K238" i="9"/>
  <c r="J238" i="9"/>
  <c r="H242" i="16"/>
  <c r="E242" i="9"/>
  <c r="H242" i="9" s="1"/>
  <c r="K243" i="16"/>
  <c r="F243" i="9"/>
  <c r="I243" i="9" s="1"/>
  <c r="D245" i="16"/>
  <c r="D245" i="9"/>
  <c r="H246" i="16"/>
  <c r="E246" i="9"/>
  <c r="H246" i="9" s="1"/>
  <c r="K247" i="16"/>
  <c r="F247" i="9"/>
  <c r="I247" i="9" s="1"/>
  <c r="D249" i="16"/>
  <c r="D249" i="9"/>
  <c r="H250" i="16"/>
  <c r="E250" i="9"/>
  <c r="H250" i="9" s="1"/>
  <c r="K251" i="16"/>
  <c r="F251" i="9"/>
  <c r="I251" i="9" s="1"/>
  <c r="D253" i="16"/>
  <c r="D253" i="9"/>
  <c r="H254" i="16"/>
  <c r="E254" i="9"/>
  <c r="H254" i="9" s="1"/>
  <c r="K255" i="16"/>
  <c r="F255" i="9"/>
  <c r="I255" i="9" s="1"/>
  <c r="D257" i="16"/>
  <c r="D257" i="9"/>
  <c r="H258" i="16"/>
  <c r="E258" i="9"/>
  <c r="H258" i="9" s="1"/>
  <c r="K259" i="16"/>
  <c r="F259" i="9"/>
  <c r="I259" i="9" s="1"/>
  <c r="D261" i="16"/>
  <c r="D261" i="9"/>
  <c r="H262" i="16"/>
  <c r="E262" i="9"/>
  <c r="H262" i="9" s="1"/>
  <c r="K263" i="16"/>
  <c r="F263" i="9"/>
  <c r="I263" i="9" s="1"/>
  <c r="D265" i="16"/>
  <c r="D265" i="9"/>
  <c r="H266" i="16"/>
  <c r="E266" i="9"/>
  <c r="H266" i="9" s="1"/>
  <c r="K267" i="16"/>
  <c r="F267" i="9"/>
  <c r="I267" i="9" s="1"/>
  <c r="D269" i="16"/>
  <c r="D269" i="9"/>
  <c r="H270" i="16"/>
  <c r="E270" i="9"/>
  <c r="H270" i="9" s="1"/>
  <c r="C273" i="16"/>
  <c r="C273" i="9"/>
  <c r="C277" i="16"/>
  <c r="C277" i="9"/>
  <c r="C281" i="16"/>
  <c r="C281" i="9"/>
  <c r="C285" i="16"/>
  <c r="C285" i="9"/>
  <c r="C289" i="16"/>
  <c r="C289" i="9"/>
  <c r="C293" i="16"/>
  <c r="C293" i="9"/>
  <c r="C297" i="16"/>
  <c r="C297" i="9"/>
  <c r="C301" i="16"/>
  <c r="C301" i="9"/>
  <c r="K19" i="9"/>
  <c r="J19" i="9"/>
  <c r="K32" i="16"/>
  <c r="F32" i="9"/>
  <c r="I32" i="9" s="1"/>
  <c r="K80" i="16"/>
  <c r="F80" i="9"/>
  <c r="I80" i="9" s="1"/>
  <c r="K98" i="9"/>
  <c r="J98" i="9"/>
  <c r="K122" i="9"/>
  <c r="J122" i="9"/>
  <c r="K126" i="9"/>
  <c r="J126" i="9"/>
  <c r="K134" i="9"/>
  <c r="J134" i="9"/>
  <c r="K138" i="9"/>
  <c r="J138" i="9"/>
  <c r="K146" i="9"/>
  <c r="J146" i="9"/>
  <c r="K158" i="9"/>
  <c r="J158" i="9"/>
  <c r="K190" i="9"/>
  <c r="J190" i="9"/>
  <c r="K198" i="9"/>
  <c r="J198" i="9"/>
  <c r="D248" i="16"/>
  <c r="D248" i="9"/>
  <c r="K254" i="16"/>
  <c r="F254" i="9"/>
  <c r="I254" i="9" s="1"/>
  <c r="K258" i="16"/>
  <c r="F258" i="9"/>
  <c r="I258" i="9" s="1"/>
  <c r="H261" i="16"/>
  <c r="E261" i="9"/>
  <c r="H261" i="9" s="1"/>
  <c r="H265" i="16"/>
  <c r="E265" i="9"/>
  <c r="H265" i="9" s="1"/>
  <c r="C280" i="16"/>
  <c r="C280" i="9"/>
  <c r="C288" i="16"/>
  <c r="C288" i="9"/>
  <c r="C57" i="16"/>
  <c r="C57" i="9"/>
  <c r="K93" i="9"/>
  <c r="J93" i="9"/>
  <c r="K224" i="9"/>
  <c r="J224" i="9"/>
  <c r="K228" i="9"/>
  <c r="J228" i="9"/>
  <c r="C255" i="16"/>
  <c r="C255" i="9"/>
  <c r="C259" i="16"/>
  <c r="C259" i="9"/>
  <c r="C271" i="16"/>
  <c r="C271" i="9"/>
  <c r="K272" i="16"/>
  <c r="F272" i="9"/>
  <c r="I272" i="9" s="1"/>
  <c r="H275" i="16"/>
  <c r="E275" i="9"/>
  <c r="H275" i="9" s="1"/>
  <c r="D282" i="16"/>
  <c r="D282" i="9"/>
  <c r="K284" i="16"/>
  <c r="F284" i="9"/>
  <c r="I284" i="9" s="1"/>
  <c r="K296" i="16"/>
  <c r="F296" i="9"/>
  <c r="I296" i="9" s="1"/>
  <c r="H5" i="16"/>
  <c r="E5" i="9"/>
  <c r="H5" i="9" s="1"/>
  <c r="K9" i="9"/>
  <c r="J9" i="9"/>
  <c r="K13" i="9"/>
  <c r="J13" i="9"/>
  <c r="K29" i="9"/>
  <c r="J29" i="9"/>
  <c r="K33" i="9"/>
  <c r="J33" i="9"/>
  <c r="K37" i="9"/>
  <c r="J37" i="9"/>
  <c r="K41" i="9"/>
  <c r="J41" i="9"/>
  <c r="K85" i="9"/>
  <c r="J85" i="9"/>
  <c r="K128" i="9"/>
  <c r="J128" i="9"/>
  <c r="K132" i="9"/>
  <c r="J132" i="9"/>
  <c r="K136" i="9"/>
  <c r="J136" i="9"/>
  <c r="K204" i="9"/>
  <c r="J204" i="9"/>
  <c r="K216" i="9"/>
  <c r="J216" i="9"/>
  <c r="K220" i="9"/>
  <c r="J220" i="9"/>
  <c r="H243" i="16"/>
  <c r="E243" i="9"/>
  <c r="H243" i="9" s="1"/>
  <c r="D250" i="16"/>
  <c r="D250" i="9"/>
  <c r="D254" i="16"/>
  <c r="D254" i="9"/>
  <c r="K256" i="16"/>
  <c r="F256" i="9"/>
  <c r="I256" i="9" s="1"/>
  <c r="K260" i="16"/>
  <c r="F260" i="9"/>
  <c r="I260" i="9" s="1"/>
  <c r="H263" i="16"/>
  <c r="E263" i="9"/>
  <c r="H263" i="9" s="1"/>
  <c r="H267" i="16"/>
  <c r="E267" i="9"/>
  <c r="H267" i="9" s="1"/>
  <c r="D270" i="16"/>
  <c r="D270" i="9"/>
  <c r="H271" i="16"/>
  <c r="E271" i="9"/>
  <c r="H271" i="9" s="1"/>
  <c r="C286" i="16"/>
  <c r="C286" i="9"/>
  <c r="C290" i="16"/>
  <c r="C290" i="9"/>
  <c r="K8" i="9"/>
  <c r="J8" i="9"/>
  <c r="K12" i="9"/>
  <c r="J12" i="9"/>
  <c r="K20" i="9"/>
  <c r="J20" i="9"/>
  <c r="K28" i="9"/>
  <c r="J28" i="9"/>
  <c r="K36" i="9"/>
  <c r="J36" i="9"/>
  <c r="K44" i="9"/>
  <c r="J44" i="9"/>
  <c r="K52" i="9"/>
  <c r="J52" i="9"/>
  <c r="K56" i="9"/>
  <c r="J56" i="9"/>
  <c r="K68" i="9"/>
  <c r="J68" i="9"/>
  <c r="K72" i="9"/>
  <c r="J72" i="9"/>
  <c r="D83" i="16"/>
  <c r="D83" i="9"/>
  <c r="K88" i="9"/>
  <c r="J88" i="9"/>
  <c r="K99" i="9"/>
  <c r="J99" i="9"/>
  <c r="K103" i="9"/>
  <c r="J103" i="9"/>
  <c r="K111" i="9"/>
  <c r="J111" i="9"/>
  <c r="K115" i="9"/>
  <c r="J115" i="9"/>
  <c r="K123" i="9"/>
  <c r="J123" i="9"/>
  <c r="K127" i="9"/>
  <c r="J127" i="9"/>
  <c r="K131" i="9"/>
  <c r="J131" i="9"/>
  <c r="K135" i="9"/>
  <c r="J135" i="9"/>
  <c r="K143" i="9"/>
  <c r="J143" i="9"/>
  <c r="K151" i="9"/>
  <c r="J151" i="9"/>
  <c r="K155" i="9"/>
  <c r="J155" i="9"/>
  <c r="K167" i="9"/>
  <c r="J167" i="9"/>
  <c r="K175" i="9"/>
  <c r="J175" i="9"/>
  <c r="K183" i="9"/>
  <c r="J183" i="9"/>
  <c r="K199" i="9"/>
  <c r="J199" i="9"/>
  <c r="K91" i="9"/>
  <c r="J91" i="9"/>
  <c r="K95" i="9"/>
  <c r="J95" i="9"/>
  <c r="K96" i="16"/>
  <c r="F96" i="9"/>
  <c r="I96" i="9" s="1"/>
  <c r="K222" i="9"/>
  <c r="J222" i="9"/>
  <c r="K226" i="9"/>
  <c r="J226" i="9"/>
  <c r="K230" i="9"/>
  <c r="J230" i="9"/>
  <c r="C245" i="16"/>
  <c r="C245" i="9"/>
  <c r="C249" i="16"/>
  <c r="C249" i="9"/>
  <c r="C253" i="16"/>
  <c r="C253" i="9"/>
  <c r="C257" i="16"/>
  <c r="C257" i="9"/>
  <c r="C261" i="16"/>
  <c r="C261" i="9"/>
  <c r="C265" i="16"/>
  <c r="C265" i="9"/>
  <c r="C269" i="16"/>
  <c r="C269" i="9"/>
  <c r="D272" i="16"/>
  <c r="D272" i="9"/>
  <c r="H273" i="16"/>
  <c r="E273" i="9"/>
  <c r="H273" i="9" s="1"/>
  <c r="K274" i="16"/>
  <c r="F274" i="9"/>
  <c r="I274" i="9" s="1"/>
  <c r="D276" i="16"/>
  <c r="D276" i="9"/>
  <c r="H277" i="16"/>
  <c r="E277" i="9"/>
  <c r="H277" i="9" s="1"/>
  <c r="K278" i="16"/>
  <c r="F278" i="9"/>
  <c r="I278" i="9" s="1"/>
  <c r="D280" i="16"/>
  <c r="D280" i="9"/>
  <c r="H281" i="16"/>
  <c r="E281" i="9"/>
  <c r="H281" i="9" s="1"/>
  <c r="K282" i="16"/>
  <c r="F282" i="9"/>
  <c r="I282" i="9" s="1"/>
  <c r="D284" i="16"/>
  <c r="D284" i="9"/>
  <c r="H285" i="16"/>
  <c r="E285" i="9"/>
  <c r="H285" i="9" s="1"/>
  <c r="K286" i="16"/>
  <c r="F286" i="9"/>
  <c r="I286" i="9" s="1"/>
  <c r="D288" i="16"/>
  <c r="D288" i="9"/>
  <c r="H289" i="16"/>
  <c r="E289" i="9"/>
  <c r="H289" i="9" s="1"/>
  <c r="K290" i="16"/>
  <c r="F290" i="9"/>
  <c r="I290" i="9" s="1"/>
  <c r="D292" i="16"/>
  <c r="D292" i="9"/>
  <c r="H293" i="16"/>
  <c r="E293" i="9"/>
  <c r="H293" i="9" s="1"/>
  <c r="K294" i="16"/>
  <c r="F294" i="9"/>
  <c r="I294" i="9" s="1"/>
  <c r="D296" i="16"/>
  <c r="D296" i="9"/>
  <c r="H297" i="16"/>
  <c r="E297" i="9"/>
  <c r="H297" i="9" s="1"/>
  <c r="K298" i="16"/>
  <c r="F298" i="9"/>
  <c r="I298" i="9" s="1"/>
  <c r="D300" i="16"/>
  <c r="D300" i="9"/>
  <c r="H301" i="16"/>
  <c r="E301" i="9"/>
  <c r="H301" i="9" s="1"/>
  <c r="K305" i="9"/>
  <c r="J305" i="9"/>
  <c r="K35" i="9"/>
  <c r="J35" i="9"/>
  <c r="K47" i="9"/>
  <c r="J47" i="9"/>
  <c r="K71" i="9"/>
  <c r="J71" i="9"/>
  <c r="K118" i="9"/>
  <c r="J118" i="9"/>
  <c r="K130" i="9"/>
  <c r="J130" i="9"/>
  <c r="K178" i="9"/>
  <c r="J178" i="9"/>
  <c r="K233" i="9"/>
  <c r="J233" i="9"/>
  <c r="K250" i="16"/>
  <c r="F250" i="9"/>
  <c r="I250" i="9" s="1"/>
  <c r="C300" i="16"/>
  <c r="C300" i="9"/>
  <c r="K23" i="9"/>
  <c r="J23" i="9"/>
  <c r="K31" i="9"/>
  <c r="J31" i="9"/>
  <c r="K51" i="9"/>
  <c r="J51" i="9"/>
  <c r="K59" i="9"/>
  <c r="J59" i="9"/>
  <c r="K106" i="9"/>
  <c r="J106" i="9"/>
  <c r="K142" i="9"/>
  <c r="J142" i="9"/>
  <c r="K154" i="9"/>
  <c r="J154" i="9"/>
  <c r="K174" i="9"/>
  <c r="J174" i="9"/>
  <c r="K202" i="9"/>
  <c r="J202" i="9"/>
  <c r="K237" i="9"/>
  <c r="J237" i="9"/>
  <c r="D244" i="16"/>
  <c r="D244" i="9"/>
  <c r="D256" i="16"/>
  <c r="D256" i="9"/>
  <c r="D264" i="16"/>
  <c r="D264" i="9"/>
  <c r="C272" i="16"/>
  <c r="C272" i="9"/>
  <c r="C296" i="16"/>
  <c r="C296" i="9"/>
  <c r="K90" i="9"/>
  <c r="J90" i="9"/>
  <c r="K276" i="9"/>
  <c r="J276" i="9"/>
  <c r="K280" i="9"/>
  <c r="J280" i="9"/>
  <c r="D283" i="16"/>
  <c r="D283" i="9"/>
  <c r="K285" i="16"/>
  <c r="F285" i="9"/>
  <c r="I285" i="9" s="1"/>
  <c r="D291" i="16"/>
  <c r="D291" i="9"/>
  <c r="K293" i="16"/>
  <c r="F293" i="9"/>
  <c r="I293" i="9" s="1"/>
  <c r="K296" i="9"/>
  <c r="J296" i="9"/>
  <c r="K297" i="16"/>
  <c r="F297" i="9"/>
  <c r="I297" i="9" s="1"/>
  <c r="K300" i="9"/>
  <c r="J300" i="9"/>
  <c r="K301" i="16"/>
  <c r="F301" i="9"/>
  <c r="I301" i="9" s="1"/>
  <c r="P303" i="3"/>
  <c r="L303" i="16" s="1"/>
  <c r="P302" i="3"/>
  <c r="L302" i="16" s="1"/>
  <c r="P35" i="18"/>
  <c r="L35" i="20" s="1"/>
  <c r="P32" i="18"/>
  <c r="L32" i="20" s="1"/>
  <c r="P27" i="18"/>
  <c r="L27" i="20" s="1"/>
  <c r="P63" i="18"/>
  <c r="L63" i="20" s="1"/>
  <c r="P57" i="18"/>
  <c r="L57" i="20" s="1"/>
  <c r="P18" i="18"/>
  <c r="L18" i="20" s="1"/>
  <c r="P40" i="18"/>
  <c r="L40" i="20" s="1"/>
  <c r="P47" i="18"/>
  <c r="L47" i="20" s="1"/>
  <c r="P55" i="18"/>
  <c r="L55" i="20" s="1"/>
  <c r="P25" i="18"/>
  <c r="L25" i="20" s="1"/>
  <c r="K27" i="17"/>
  <c r="F19" i="38"/>
  <c r="F56" i="38"/>
  <c r="F64" i="38"/>
  <c r="F72" i="38"/>
  <c r="F86" i="38"/>
  <c r="F89" i="38"/>
  <c r="F98" i="38"/>
  <c r="F115" i="38"/>
  <c r="F36" i="38"/>
  <c r="F39" i="38"/>
  <c r="F42" i="38"/>
  <c r="F45" i="38"/>
  <c r="F53" i="38"/>
  <c r="F104" i="38"/>
  <c r="F32" i="38"/>
  <c r="O5" i="11"/>
  <c r="S5" i="11" s="1"/>
  <c r="D7" i="21" s="1"/>
  <c r="M6" i="41"/>
  <c r="M5" i="41"/>
  <c r="P31" i="18"/>
  <c r="L31" i="20" s="1"/>
  <c r="P58" i="18"/>
  <c r="L58" i="20" s="1"/>
  <c r="P66" i="18"/>
  <c r="L66" i="20" s="1"/>
  <c r="P56" i="18"/>
  <c r="L56" i="20" s="1"/>
  <c r="P20" i="18"/>
  <c r="L20" i="20" s="1"/>
  <c r="P39" i="18"/>
  <c r="L39" i="20" s="1"/>
  <c r="P50" i="18"/>
  <c r="L50" i="20" s="1"/>
  <c r="P10" i="18"/>
  <c r="L10" i="20" s="1"/>
  <c r="P49" i="18"/>
  <c r="L49" i="20" s="1"/>
  <c r="P65" i="18"/>
  <c r="L65" i="20" s="1"/>
  <c r="P100" i="18"/>
  <c r="L100" i="20" s="1"/>
  <c r="P153" i="18"/>
  <c r="P12" i="18"/>
  <c r="L12" i="20" s="1"/>
  <c r="P41" i="18"/>
  <c r="L41" i="20" s="1"/>
  <c r="P33" i="18"/>
  <c r="L33" i="20" s="1"/>
  <c r="P48" i="18"/>
  <c r="L48" i="20" s="1"/>
  <c r="P64" i="18"/>
  <c r="L64" i="20" s="1"/>
  <c r="H310" i="11"/>
  <c r="J3" i="41"/>
  <c r="M7" i="41"/>
  <c r="K7" i="17"/>
  <c r="K20" i="17"/>
  <c r="K17" i="17"/>
  <c r="K11" i="17"/>
  <c r="K28" i="17"/>
  <c r="K25" i="17"/>
  <c r="K12" i="17"/>
  <c r="K8" i="17"/>
  <c r="K23" i="17"/>
  <c r="K9" i="17"/>
  <c r="K16" i="17"/>
  <c r="K18" i="17"/>
  <c r="K24" i="17"/>
  <c r="K5" i="17"/>
  <c r="K13" i="17"/>
  <c r="K19" i="17"/>
  <c r="K15" i="17"/>
  <c r="K6" i="17"/>
  <c r="H3" i="17"/>
  <c r="K14" i="17"/>
  <c r="K22" i="17"/>
  <c r="K10" i="17"/>
  <c r="K26" i="17"/>
  <c r="D5" i="19"/>
  <c r="F11" i="19"/>
  <c r="I11" i="19" s="1"/>
  <c r="E12" i="19"/>
  <c r="H12" i="19" s="1"/>
  <c r="D13" i="19"/>
  <c r="F19" i="19"/>
  <c r="I19" i="19" s="1"/>
  <c r="E20" i="19"/>
  <c r="H20" i="19" s="1"/>
  <c r="D21" i="19"/>
  <c r="F27" i="19"/>
  <c r="I27" i="19" s="1"/>
  <c r="E28" i="19"/>
  <c r="H28" i="19" s="1"/>
  <c r="D29" i="19"/>
  <c r="F35" i="19"/>
  <c r="I35" i="19" s="1"/>
  <c r="E36" i="19"/>
  <c r="H36" i="19" s="1"/>
  <c r="D37" i="19"/>
  <c r="F43" i="19"/>
  <c r="I43" i="19" s="1"/>
  <c r="E44" i="19"/>
  <c r="H44" i="19" s="1"/>
  <c r="D45" i="19"/>
  <c r="F51" i="19"/>
  <c r="I51" i="19" s="1"/>
  <c r="E52" i="19"/>
  <c r="H52" i="19" s="1"/>
  <c r="D53" i="19"/>
  <c r="F59" i="19"/>
  <c r="I59" i="19" s="1"/>
  <c r="E60" i="19"/>
  <c r="H60" i="19" s="1"/>
  <c r="D61" i="19"/>
  <c r="F69" i="19"/>
  <c r="I69" i="19" s="1"/>
  <c r="E70" i="19"/>
  <c r="H70" i="19" s="1"/>
  <c r="D92" i="19"/>
  <c r="D93" i="19"/>
  <c r="D94" i="19"/>
  <c r="K72" i="20"/>
  <c r="F72" i="19"/>
  <c r="I72" i="19" s="1"/>
  <c r="K118" i="20"/>
  <c r="F118" i="19"/>
  <c r="F71" i="19"/>
  <c r="I71" i="19" s="1"/>
  <c r="K71" i="20"/>
  <c r="K95" i="20"/>
  <c r="F95" i="19"/>
  <c r="I95" i="19" s="1"/>
  <c r="P8" i="18"/>
  <c r="L8" i="20" s="1"/>
  <c r="P16" i="18"/>
  <c r="L16" i="20" s="1"/>
  <c r="P24" i="18"/>
  <c r="L24" i="20" s="1"/>
  <c r="K70" i="20"/>
  <c r="F70" i="19"/>
  <c r="I70" i="19" s="1"/>
  <c r="D74" i="20"/>
  <c r="D74" i="19"/>
  <c r="K78" i="20"/>
  <c r="F78" i="19"/>
  <c r="I78" i="19" s="1"/>
  <c r="D82" i="20"/>
  <c r="D82" i="19"/>
  <c r="K86" i="20"/>
  <c r="F86" i="19"/>
  <c r="I86" i="19" s="1"/>
  <c r="D90" i="20"/>
  <c r="D90" i="19"/>
  <c r="K94" i="20"/>
  <c r="F94" i="19"/>
  <c r="I94" i="19" s="1"/>
  <c r="D98" i="20"/>
  <c r="D98" i="19"/>
  <c r="K101" i="20"/>
  <c r="F101" i="19"/>
  <c r="D103" i="20"/>
  <c r="D103" i="19"/>
  <c r="H104" i="20"/>
  <c r="E104" i="19"/>
  <c r="K105" i="20"/>
  <c r="F105" i="19"/>
  <c r="D107" i="20"/>
  <c r="D107" i="19"/>
  <c r="H108" i="20"/>
  <c r="E108" i="19"/>
  <c r="K109" i="20"/>
  <c r="F109" i="19"/>
  <c r="D111" i="20"/>
  <c r="D111" i="19"/>
  <c r="H112" i="20"/>
  <c r="E112" i="19"/>
  <c r="K113" i="20"/>
  <c r="F113" i="19"/>
  <c r="D115" i="20"/>
  <c r="D115" i="19"/>
  <c r="H116" i="20"/>
  <c r="E116" i="19"/>
  <c r="K117" i="20"/>
  <c r="F117" i="19"/>
  <c r="D119" i="20"/>
  <c r="D119" i="19"/>
  <c r="H120" i="20"/>
  <c r="E120" i="19"/>
  <c r="K121" i="20"/>
  <c r="F121" i="19"/>
  <c r="D123" i="20"/>
  <c r="D123" i="19"/>
  <c r="H124" i="20"/>
  <c r="E124" i="19"/>
  <c r="K125" i="20"/>
  <c r="F125" i="19"/>
  <c r="D127" i="20"/>
  <c r="D127" i="19"/>
  <c r="H128" i="20"/>
  <c r="E128" i="19"/>
  <c r="K129" i="20"/>
  <c r="F129" i="19"/>
  <c r="D131" i="20"/>
  <c r="D131" i="19"/>
  <c r="H132" i="20"/>
  <c r="E132" i="19"/>
  <c r="K133" i="20"/>
  <c r="F133" i="19"/>
  <c r="D135" i="20"/>
  <c r="D135" i="19"/>
  <c r="H136" i="20"/>
  <c r="E136" i="19"/>
  <c r="K137" i="20"/>
  <c r="F137" i="19"/>
  <c r="D139" i="20"/>
  <c r="D139" i="19"/>
  <c r="H140" i="20"/>
  <c r="E140" i="19"/>
  <c r="K141" i="20"/>
  <c r="F141" i="19"/>
  <c r="D143" i="20"/>
  <c r="D143" i="19"/>
  <c r="H144" i="20"/>
  <c r="E144" i="19"/>
  <c r="K145" i="20"/>
  <c r="F145" i="19"/>
  <c r="D147" i="20"/>
  <c r="D147" i="19"/>
  <c r="H148" i="20"/>
  <c r="E148" i="19"/>
  <c r="K149" i="20"/>
  <c r="F149" i="19"/>
  <c r="D151" i="20"/>
  <c r="D151" i="19"/>
  <c r="H152" i="20"/>
  <c r="E152" i="19"/>
  <c r="E5" i="19"/>
  <c r="H5" i="19" s="1"/>
  <c r="D6" i="19"/>
  <c r="F12" i="19"/>
  <c r="I12" i="19" s="1"/>
  <c r="E13" i="19"/>
  <c r="H13" i="19" s="1"/>
  <c r="D14" i="19"/>
  <c r="F20" i="19"/>
  <c r="I20" i="19" s="1"/>
  <c r="E21" i="19"/>
  <c r="H21" i="19" s="1"/>
  <c r="D22" i="19"/>
  <c r="F28" i="19"/>
  <c r="I28" i="19" s="1"/>
  <c r="E29" i="19"/>
  <c r="H29" i="19" s="1"/>
  <c r="D30" i="19"/>
  <c r="F36" i="19"/>
  <c r="I36" i="19" s="1"/>
  <c r="E37" i="19"/>
  <c r="H37" i="19" s="1"/>
  <c r="D38" i="19"/>
  <c r="F44" i="19"/>
  <c r="I44" i="19" s="1"/>
  <c r="E45" i="19"/>
  <c r="H45" i="19" s="1"/>
  <c r="D46" i="19"/>
  <c r="F52" i="19"/>
  <c r="I52" i="19" s="1"/>
  <c r="E53" i="19"/>
  <c r="H53" i="19" s="1"/>
  <c r="D54" i="19"/>
  <c r="F60" i="19"/>
  <c r="I60" i="19" s="1"/>
  <c r="E61" i="19"/>
  <c r="H61" i="19" s="1"/>
  <c r="D62" i="19"/>
  <c r="D75" i="19"/>
  <c r="D76" i="19"/>
  <c r="E91" i="19"/>
  <c r="H91" i="19" s="1"/>
  <c r="E92" i="19"/>
  <c r="H92" i="19" s="1"/>
  <c r="E93" i="19"/>
  <c r="H93" i="19" s="1"/>
  <c r="K96" i="20"/>
  <c r="F96" i="19"/>
  <c r="I96" i="19" s="1"/>
  <c r="K102" i="20"/>
  <c r="F102" i="19"/>
  <c r="H105" i="20"/>
  <c r="E105" i="19"/>
  <c r="K106" i="20"/>
  <c r="F106" i="19"/>
  <c r="H109" i="20"/>
  <c r="E109" i="19"/>
  <c r="K110" i="20"/>
  <c r="F110" i="19"/>
  <c r="D116" i="20"/>
  <c r="D116" i="19"/>
  <c r="H121" i="20"/>
  <c r="E121" i="19"/>
  <c r="K87" i="20"/>
  <c r="F87" i="19"/>
  <c r="I87" i="19" s="1"/>
  <c r="P38" i="18"/>
  <c r="L38" i="20" s="1"/>
  <c r="P46" i="18"/>
  <c r="L46" i="20" s="1"/>
  <c r="P54" i="18"/>
  <c r="L54" i="20" s="1"/>
  <c r="P70" i="18"/>
  <c r="L70" i="20" s="1"/>
  <c r="D73" i="20"/>
  <c r="D73" i="19"/>
  <c r="P78" i="18"/>
  <c r="L78" i="20" s="1"/>
  <c r="D81" i="20"/>
  <c r="D81" i="19"/>
  <c r="K85" i="20"/>
  <c r="F85" i="19"/>
  <c r="I85" i="19" s="1"/>
  <c r="P101" i="18"/>
  <c r="L101" i="20" s="1"/>
  <c r="P109" i="18"/>
  <c r="L109" i="20" s="1"/>
  <c r="P121" i="18"/>
  <c r="L121" i="20" s="1"/>
  <c r="F5" i="19"/>
  <c r="I5" i="19" s="1"/>
  <c r="E6" i="19"/>
  <c r="H6" i="19" s="1"/>
  <c r="D7" i="19"/>
  <c r="F13" i="19"/>
  <c r="I13" i="19" s="1"/>
  <c r="E14" i="19"/>
  <c r="H14" i="19" s="1"/>
  <c r="D15" i="19"/>
  <c r="F21" i="19"/>
  <c r="I21" i="19" s="1"/>
  <c r="E22" i="19"/>
  <c r="H22" i="19" s="1"/>
  <c r="D23" i="19"/>
  <c r="F29" i="19"/>
  <c r="I29" i="19" s="1"/>
  <c r="E30" i="19"/>
  <c r="H30" i="19" s="1"/>
  <c r="D31" i="19"/>
  <c r="F37" i="19"/>
  <c r="I37" i="19" s="1"/>
  <c r="E38" i="19"/>
  <c r="H38" i="19" s="1"/>
  <c r="D39" i="19"/>
  <c r="F45" i="19"/>
  <c r="I45" i="19" s="1"/>
  <c r="E46" i="19"/>
  <c r="H46" i="19" s="1"/>
  <c r="D47" i="19"/>
  <c r="F53" i="19"/>
  <c r="I53" i="19" s="1"/>
  <c r="E54" i="19"/>
  <c r="H54" i="19" s="1"/>
  <c r="D55" i="19"/>
  <c r="F61" i="19"/>
  <c r="I61" i="19" s="1"/>
  <c r="E62" i="19"/>
  <c r="H62" i="19" s="1"/>
  <c r="D63" i="19"/>
  <c r="E74" i="19"/>
  <c r="H74" i="19" s="1"/>
  <c r="E75" i="19"/>
  <c r="H75" i="19" s="1"/>
  <c r="E76" i="19"/>
  <c r="H76" i="19" s="1"/>
  <c r="D77" i="19"/>
  <c r="F91" i="19"/>
  <c r="I91" i="19" s="1"/>
  <c r="F92" i="19"/>
  <c r="I92" i="19" s="1"/>
  <c r="H86" i="20"/>
  <c r="E86" i="19"/>
  <c r="H86" i="19" s="1"/>
  <c r="K88" i="20"/>
  <c r="F88" i="19"/>
  <c r="I88" i="19" s="1"/>
  <c r="D120" i="20"/>
  <c r="D120" i="19"/>
  <c r="T157" i="18"/>
  <c r="N16" i="10" s="1"/>
  <c r="O16" i="10" s="1"/>
  <c r="D91" i="20"/>
  <c r="D91" i="19"/>
  <c r="D99" i="20"/>
  <c r="D99" i="19"/>
  <c r="P15" i="18"/>
  <c r="L15" i="20" s="1"/>
  <c r="P14" i="18"/>
  <c r="L14" i="20" s="1"/>
  <c r="P22" i="18"/>
  <c r="L22" i="20" s="1"/>
  <c r="P29" i="18"/>
  <c r="L29" i="20" s="1"/>
  <c r="P37" i="18"/>
  <c r="L37" i="20" s="1"/>
  <c r="P45" i="18"/>
  <c r="L45" i="20" s="1"/>
  <c r="P53" i="18"/>
  <c r="L53" i="20" s="1"/>
  <c r="P61" i="18"/>
  <c r="L61" i="20" s="1"/>
  <c r="P69" i="18"/>
  <c r="L69" i="20" s="1"/>
  <c r="D72" i="20"/>
  <c r="D72" i="19"/>
  <c r="P77" i="18"/>
  <c r="L77" i="20" s="1"/>
  <c r="D80" i="20"/>
  <c r="D80" i="19"/>
  <c r="P85" i="18"/>
  <c r="L85" i="20" s="1"/>
  <c r="D88" i="20"/>
  <c r="D88" i="19"/>
  <c r="H90" i="20"/>
  <c r="E90" i="19"/>
  <c r="H90" i="19" s="1"/>
  <c r="P93" i="18"/>
  <c r="L93" i="20" s="1"/>
  <c r="D96" i="20"/>
  <c r="D96" i="19"/>
  <c r="H98" i="20"/>
  <c r="E98" i="19"/>
  <c r="H98" i="19" s="1"/>
  <c r="H103" i="20"/>
  <c r="E103" i="19"/>
  <c r="K104" i="20"/>
  <c r="F104" i="19"/>
  <c r="D106" i="20"/>
  <c r="D106" i="19"/>
  <c r="H107" i="20"/>
  <c r="E107" i="19"/>
  <c r="K108" i="20"/>
  <c r="F108" i="19"/>
  <c r="D110" i="20"/>
  <c r="D110" i="19"/>
  <c r="H111" i="20"/>
  <c r="E111" i="19"/>
  <c r="K112" i="20"/>
  <c r="F112" i="19"/>
  <c r="D114" i="20"/>
  <c r="D114" i="19"/>
  <c r="H115" i="20"/>
  <c r="E115" i="19"/>
  <c r="K116" i="20"/>
  <c r="F116" i="19"/>
  <c r="D118" i="20"/>
  <c r="D118" i="19"/>
  <c r="H119" i="20"/>
  <c r="E119" i="19"/>
  <c r="K120" i="20"/>
  <c r="F120" i="19"/>
  <c r="D122" i="20"/>
  <c r="D122" i="19"/>
  <c r="H123" i="20"/>
  <c r="E123" i="19"/>
  <c r="K124" i="20"/>
  <c r="F124" i="19"/>
  <c r="D126" i="20"/>
  <c r="D126" i="19"/>
  <c r="H127" i="20"/>
  <c r="E127" i="19"/>
  <c r="K128" i="20"/>
  <c r="F128" i="19"/>
  <c r="D130" i="20"/>
  <c r="D130" i="19"/>
  <c r="H131" i="20"/>
  <c r="E131" i="19"/>
  <c r="K132" i="20"/>
  <c r="F132" i="19"/>
  <c r="D134" i="20"/>
  <c r="D134" i="19"/>
  <c r="H135" i="20"/>
  <c r="E135" i="19"/>
  <c r="K136" i="20"/>
  <c r="F136" i="19"/>
  <c r="D138" i="20"/>
  <c r="D138" i="19"/>
  <c r="H139" i="20"/>
  <c r="E139" i="19"/>
  <c r="K140" i="20"/>
  <c r="F140" i="19"/>
  <c r="D142" i="20"/>
  <c r="D142" i="19"/>
  <c r="H143" i="20"/>
  <c r="E143" i="19"/>
  <c r="K144" i="20"/>
  <c r="F144" i="19"/>
  <c r="D146" i="20"/>
  <c r="D146" i="19"/>
  <c r="H147" i="20"/>
  <c r="E147" i="19"/>
  <c r="K148" i="20"/>
  <c r="F148" i="19"/>
  <c r="D150" i="20"/>
  <c r="D150" i="19"/>
  <c r="H151" i="20"/>
  <c r="E151" i="19"/>
  <c r="K152" i="20"/>
  <c r="F152" i="19"/>
  <c r="F6" i="19"/>
  <c r="I6" i="19" s="1"/>
  <c r="E7" i="19"/>
  <c r="H7" i="19" s="1"/>
  <c r="D8" i="19"/>
  <c r="F14" i="19"/>
  <c r="I14" i="19" s="1"/>
  <c r="E15" i="19"/>
  <c r="H15" i="19" s="1"/>
  <c r="D16" i="19"/>
  <c r="F22" i="19"/>
  <c r="I22" i="19" s="1"/>
  <c r="E23" i="19"/>
  <c r="H23" i="19" s="1"/>
  <c r="D24" i="19"/>
  <c r="F30" i="19"/>
  <c r="I30" i="19" s="1"/>
  <c r="E31" i="19"/>
  <c r="H31" i="19" s="1"/>
  <c r="D32" i="19"/>
  <c r="F38" i="19"/>
  <c r="I38" i="19" s="1"/>
  <c r="E39" i="19"/>
  <c r="H39" i="19" s="1"/>
  <c r="D40" i="19"/>
  <c r="F46" i="19"/>
  <c r="I46" i="19" s="1"/>
  <c r="E47" i="19"/>
  <c r="H47" i="19" s="1"/>
  <c r="D48" i="19"/>
  <c r="F54" i="19"/>
  <c r="I54" i="19" s="1"/>
  <c r="E55" i="19"/>
  <c r="H55" i="19" s="1"/>
  <c r="D56" i="19"/>
  <c r="F62" i="19"/>
  <c r="I62" i="19" s="1"/>
  <c r="E63" i="19"/>
  <c r="H63" i="19" s="1"/>
  <c r="D64" i="19"/>
  <c r="F74" i="19"/>
  <c r="I74" i="19" s="1"/>
  <c r="F75" i="19"/>
  <c r="I75" i="19" s="1"/>
  <c r="F76" i="19"/>
  <c r="I76" i="19" s="1"/>
  <c r="E77" i="19"/>
  <c r="H77" i="19" s="1"/>
  <c r="D78" i="19"/>
  <c r="D83" i="19"/>
  <c r="D84" i="19"/>
  <c r="F90" i="19"/>
  <c r="I90" i="19" s="1"/>
  <c r="K80" i="20"/>
  <c r="F80" i="19"/>
  <c r="I80" i="19" s="1"/>
  <c r="H94" i="20"/>
  <c r="E94" i="19"/>
  <c r="H94" i="19" s="1"/>
  <c r="H117" i="20"/>
  <c r="E117" i="19"/>
  <c r="P9" i="18"/>
  <c r="L9" i="20" s="1"/>
  <c r="P17" i="18"/>
  <c r="L17" i="20" s="1"/>
  <c r="K79" i="20"/>
  <c r="F79" i="19"/>
  <c r="I79" i="19" s="1"/>
  <c r="P7" i="18"/>
  <c r="L7" i="20" s="1"/>
  <c r="P23" i="18"/>
  <c r="L23" i="20" s="1"/>
  <c r="P30" i="18"/>
  <c r="L30" i="20" s="1"/>
  <c r="P62" i="18"/>
  <c r="L62" i="20" s="1"/>
  <c r="D89" i="20"/>
  <c r="D89" i="19"/>
  <c r="K93" i="20"/>
  <c r="F93" i="19"/>
  <c r="I93" i="19" s="1"/>
  <c r="P94" i="18"/>
  <c r="L94" i="20" s="1"/>
  <c r="D97" i="20"/>
  <c r="D97" i="19"/>
  <c r="P105" i="18"/>
  <c r="L105" i="20" s="1"/>
  <c r="P6" i="18"/>
  <c r="L6" i="20" s="1"/>
  <c r="P5" i="18"/>
  <c r="L5" i="20" s="1"/>
  <c r="P13" i="18"/>
  <c r="L13" i="20" s="1"/>
  <c r="P21" i="18"/>
  <c r="L21" i="20" s="1"/>
  <c r="P28" i="18"/>
  <c r="L28" i="20" s="1"/>
  <c r="P36" i="18"/>
  <c r="L36" i="20" s="1"/>
  <c r="P44" i="18"/>
  <c r="L44" i="20" s="1"/>
  <c r="P52" i="18"/>
  <c r="L52" i="20" s="1"/>
  <c r="P60" i="18"/>
  <c r="L60" i="20" s="1"/>
  <c r="P68" i="18"/>
  <c r="L68" i="20" s="1"/>
  <c r="H73" i="20"/>
  <c r="E73" i="19"/>
  <c r="H73" i="19" s="1"/>
  <c r="P76" i="18"/>
  <c r="L76" i="20" s="1"/>
  <c r="D79" i="20"/>
  <c r="D79" i="19"/>
  <c r="H81" i="20"/>
  <c r="E81" i="19"/>
  <c r="H81" i="19" s="1"/>
  <c r="P84" i="18"/>
  <c r="L84" i="20" s="1"/>
  <c r="D87" i="20"/>
  <c r="D87" i="19"/>
  <c r="H89" i="20"/>
  <c r="E89" i="19"/>
  <c r="H89" i="19" s="1"/>
  <c r="P92" i="18"/>
  <c r="L92" i="20" s="1"/>
  <c r="D95" i="20"/>
  <c r="D95" i="19"/>
  <c r="H97" i="20"/>
  <c r="E97" i="19"/>
  <c r="H97" i="19" s="1"/>
  <c r="F7" i="19"/>
  <c r="I7" i="19" s="1"/>
  <c r="E8" i="19"/>
  <c r="H8" i="19" s="1"/>
  <c r="D9" i="19"/>
  <c r="F15" i="19"/>
  <c r="I15" i="19" s="1"/>
  <c r="E16" i="19"/>
  <c r="H16" i="19" s="1"/>
  <c r="D17" i="19"/>
  <c r="F23" i="19"/>
  <c r="I23" i="19" s="1"/>
  <c r="E24" i="19"/>
  <c r="H24" i="19" s="1"/>
  <c r="F31" i="19"/>
  <c r="I31" i="19" s="1"/>
  <c r="E32" i="19"/>
  <c r="H32" i="19" s="1"/>
  <c r="D33" i="19"/>
  <c r="F39" i="19"/>
  <c r="I39" i="19" s="1"/>
  <c r="E40" i="19"/>
  <c r="H40" i="19" s="1"/>
  <c r="D41" i="19"/>
  <c r="F47" i="19"/>
  <c r="I47" i="19" s="1"/>
  <c r="E48" i="19"/>
  <c r="H48" i="19" s="1"/>
  <c r="D49" i="19"/>
  <c r="F55" i="19"/>
  <c r="I55" i="19" s="1"/>
  <c r="E56" i="19"/>
  <c r="H56" i="19" s="1"/>
  <c r="D57" i="19"/>
  <c r="F63" i="19"/>
  <c r="I63" i="19" s="1"/>
  <c r="E64" i="19"/>
  <c r="H64" i="19" s="1"/>
  <c r="D65" i="19"/>
  <c r="F73" i="19"/>
  <c r="I73" i="19" s="1"/>
  <c r="F77" i="19"/>
  <c r="I77" i="19" s="1"/>
  <c r="E78" i="19"/>
  <c r="H78" i="19" s="1"/>
  <c r="E82" i="19"/>
  <c r="H82" i="19" s="1"/>
  <c r="E83" i="19"/>
  <c r="H83" i="19" s="1"/>
  <c r="E84" i="19"/>
  <c r="H84" i="19" s="1"/>
  <c r="D85" i="19"/>
  <c r="D86" i="19"/>
  <c r="D100" i="19"/>
  <c r="D101" i="19"/>
  <c r="D102" i="19"/>
  <c r="D125" i="20"/>
  <c r="D125" i="19"/>
  <c r="H126" i="20"/>
  <c r="E126" i="19"/>
  <c r="K127" i="20"/>
  <c r="F127" i="19"/>
  <c r="D129" i="20"/>
  <c r="D129" i="19"/>
  <c r="H130" i="20"/>
  <c r="E130" i="19"/>
  <c r="K131" i="20"/>
  <c r="F131" i="19"/>
  <c r="D133" i="20"/>
  <c r="D133" i="19"/>
  <c r="H134" i="20"/>
  <c r="E134" i="19"/>
  <c r="K135" i="20"/>
  <c r="F135" i="19"/>
  <c r="D137" i="20"/>
  <c r="D137" i="19"/>
  <c r="H138" i="20"/>
  <c r="E138" i="19"/>
  <c r="K139" i="20"/>
  <c r="F139" i="19"/>
  <c r="D141" i="20"/>
  <c r="D141" i="19"/>
  <c r="H142" i="20"/>
  <c r="E142" i="19"/>
  <c r="K143" i="20"/>
  <c r="F143" i="19"/>
  <c r="D145" i="20"/>
  <c r="D145" i="19"/>
  <c r="H146" i="20"/>
  <c r="E146" i="19"/>
  <c r="K147" i="20"/>
  <c r="F147" i="19"/>
  <c r="D149" i="20"/>
  <c r="D149" i="19"/>
  <c r="H150" i="20"/>
  <c r="E150" i="19"/>
  <c r="K151" i="20"/>
  <c r="F151" i="19"/>
  <c r="F8" i="19"/>
  <c r="I8" i="19" s="1"/>
  <c r="E9" i="19"/>
  <c r="H9" i="19" s="1"/>
  <c r="D10" i="19"/>
  <c r="F16" i="19"/>
  <c r="I16" i="19" s="1"/>
  <c r="E17" i="19"/>
  <c r="H17" i="19" s="1"/>
  <c r="D18" i="19"/>
  <c r="F24" i="19"/>
  <c r="I24" i="19" s="1"/>
  <c r="D26" i="19"/>
  <c r="F32" i="19"/>
  <c r="I32" i="19" s="1"/>
  <c r="E33" i="19"/>
  <c r="H33" i="19" s="1"/>
  <c r="D34" i="19"/>
  <c r="F40" i="19"/>
  <c r="I40" i="19" s="1"/>
  <c r="E41" i="19"/>
  <c r="H41" i="19" s="1"/>
  <c r="D42" i="19"/>
  <c r="F48" i="19"/>
  <c r="I48" i="19" s="1"/>
  <c r="E49" i="19"/>
  <c r="H49" i="19" s="1"/>
  <c r="D50" i="19"/>
  <c r="F56" i="19"/>
  <c r="I56" i="19" s="1"/>
  <c r="E57" i="19"/>
  <c r="H57" i="19" s="1"/>
  <c r="D58" i="19"/>
  <c r="F64" i="19"/>
  <c r="I64" i="19" s="1"/>
  <c r="E65" i="19"/>
  <c r="H65" i="19" s="1"/>
  <c r="D66" i="19"/>
  <c r="D67" i="19"/>
  <c r="D68" i="19"/>
  <c r="F82" i="19"/>
  <c r="I82" i="19" s="1"/>
  <c r="F83" i="19"/>
  <c r="I83" i="19" s="1"/>
  <c r="F84" i="19"/>
  <c r="I84" i="19" s="1"/>
  <c r="E85" i="19"/>
  <c r="H85" i="19" s="1"/>
  <c r="E99" i="19"/>
  <c r="H99" i="19" s="1"/>
  <c r="E100" i="19"/>
  <c r="E101" i="19"/>
  <c r="D104" i="20"/>
  <c r="D104" i="19"/>
  <c r="D108" i="20"/>
  <c r="D108" i="19"/>
  <c r="D112" i="20"/>
  <c r="D112" i="19"/>
  <c r="H113" i="20"/>
  <c r="E113" i="19"/>
  <c r="K114" i="20"/>
  <c r="F114" i="19"/>
  <c r="K122" i="20"/>
  <c r="F122" i="19"/>
  <c r="J157" i="18"/>
  <c r="P43" i="18"/>
  <c r="L43" i="20" s="1"/>
  <c r="P51" i="18"/>
  <c r="L51" i="20" s="1"/>
  <c r="P59" i="18"/>
  <c r="L59" i="20" s="1"/>
  <c r="P67" i="18"/>
  <c r="L67" i="20" s="1"/>
  <c r="H72" i="20"/>
  <c r="E72" i="19"/>
  <c r="H72" i="19" s="1"/>
  <c r="P75" i="18"/>
  <c r="L75" i="20" s="1"/>
  <c r="H80" i="20"/>
  <c r="E80" i="19"/>
  <c r="H80" i="19" s="1"/>
  <c r="P83" i="18"/>
  <c r="L83" i="20" s="1"/>
  <c r="H88" i="20"/>
  <c r="E88" i="19"/>
  <c r="H88" i="19" s="1"/>
  <c r="P91" i="18"/>
  <c r="L91" i="20" s="1"/>
  <c r="H96" i="20"/>
  <c r="E96" i="19"/>
  <c r="H96" i="19" s="1"/>
  <c r="P99" i="18"/>
  <c r="L99" i="20" s="1"/>
  <c r="H102" i="20"/>
  <c r="E102" i="19"/>
  <c r="K103" i="20"/>
  <c r="F103" i="19"/>
  <c r="D105" i="20"/>
  <c r="D105" i="19"/>
  <c r="H106" i="20"/>
  <c r="E106" i="19"/>
  <c r="K107" i="20"/>
  <c r="F107" i="19"/>
  <c r="D109" i="20"/>
  <c r="D109" i="19"/>
  <c r="H110" i="20"/>
  <c r="E110" i="19"/>
  <c r="K111" i="20"/>
  <c r="F111" i="19"/>
  <c r="D113" i="20"/>
  <c r="D113" i="19"/>
  <c r="H114" i="20"/>
  <c r="E114" i="19"/>
  <c r="K115" i="20"/>
  <c r="F115" i="19"/>
  <c r="D117" i="20"/>
  <c r="D117" i="19"/>
  <c r="H118" i="20"/>
  <c r="E118" i="19"/>
  <c r="K119" i="20"/>
  <c r="F119" i="19"/>
  <c r="D121" i="20"/>
  <c r="D121" i="19"/>
  <c r="H122" i="20"/>
  <c r="E122" i="19"/>
  <c r="K123" i="20"/>
  <c r="F123" i="19"/>
  <c r="P11" i="18"/>
  <c r="L11" i="20" s="1"/>
  <c r="P19" i="18"/>
  <c r="L19" i="20" s="1"/>
  <c r="P26" i="18"/>
  <c r="L26" i="20" s="1"/>
  <c r="P34" i="18"/>
  <c r="L34" i="20" s="1"/>
  <c r="P42" i="18"/>
  <c r="L42" i="20" s="1"/>
  <c r="H71" i="20"/>
  <c r="E71" i="19"/>
  <c r="H71" i="19" s="1"/>
  <c r="P74" i="18"/>
  <c r="L74" i="20" s="1"/>
  <c r="H79" i="20"/>
  <c r="E79" i="19"/>
  <c r="H79" i="19" s="1"/>
  <c r="P82" i="18"/>
  <c r="L82" i="20" s="1"/>
  <c r="H87" i="20"/>
  <c r="E87" i="19"/>
  <c r="H87" i="19" s="1"/>
  <c r="K89" i="20"/>
  <c r="F89" i="19"/>
  <c r="I89" i="19" s="1"/>
  <c r="P90" i="18"/>
  <c r="L90" i="20" s="1"/>
  <c r="H95" i="20"/>
  <c r="E95" i="19"/>
  <c r="H95" i="19" s="1"/>
  <c r="K97" i="20"/>
  <c r="F97" i="19"/>
  <c r="I97" i="19" s="1"/>
  <c r="F9" i="19"/>
  <c r="I9" i="19" s="1"/>
  <c r="E10" i="19"/>
  <c r="H10" i="19" s="1"/>
  <c r="D11" i="19"/>
  <c r="F17" i="19"/>
  <c r="I17" i="19" s="1"/>
  <c r="E18" i="19"/>
  <c r="H18" i="19" s="1"/>
  <c r="D19" i="19"/>
  <c r="E26" i="19"/>
  <c r="H26" i="19" s="1"/>
  <c r="D27" i="19"/>
  <c r="F33" i="19"/>
  <c r="I33" i="19" s="1"/>
  <c r="E34" i="19"/>
  <c r="H34" i="19" s="1"/>
  <c r="D35" i="19"/>
  <c r="F41" i="19"/>
  <c r="I41" i="19" s="1"/>
  <c r="E42" i="19"/>
  <c r="H42" i="19" s="1"/>
  <c r="D43" i="19"/>
  <c r="F49" i="19"/>
  <c r="I49" i="19" s="1"/>
  <c r="E50" i="19"/>
  <c r="H50" i="19" s="1"/>
  <c r="D51" i="19"/>
  <c r="F57" i="19"/>
  <c r="I57" i="19" s="1"/>
  <c r="E58" i="19"/>
  <c r="H58" i="19" s="1"/>
  <c r="D59" i="19"/>
  <c r="F65" i="19"/>
  <c r="I65" i="19" s="1"/>
  <c r="E66" i="19"/>
  <c r="H66" i="19" s="1"/>
  <c r="E67" i="19"/>
  <c r="H67" i="19" s="1"/>
  <c r="E68" i="19"/>
  <c r="H68" i="19" s="1"/>
  <c r="D69" i="19"/>
  <c r="F81" i="19"/>
  <c r="I81" i="19" s="1"/>
  <c r="F99" i="19"/>
  <c r="I99" i="19" s="1"/>
  <c r="F100" i="19"/>
  <c r="D124" i="20"/>
  <c r="D124" i="19"/>
  <c r="H125" i="20"/>
  <c r="E125" i="19"/>
  <c r="K126" i="20"/>
  <c r="F126" i="19"/>
  <c r="D128" i="20"/>
  <c r="D128" i="19"/>
  <c r="H129" i="20"/>
  <c r="E129" i="19"/>
  <c r="K130" i="20"/>
  <c r="F130" i="19"/>
  <c r="D132" i="20"/>
  <c r="D132" i="19"/>
  <c r="H133" i="20"/>
  <c r="E133" i="19"/>
  <c r="K134" i="20"/>
  <c r="F134" i="19"/>
  <c r="D136" i="20"/>
  <c r="D136" i="19"/>
  <c r="H137" i="20"/>
  <c r="E137" i="19"/>
  <c r="K138" i="20"/>
  <c r="F138" i="19"/>
  <c r="D140" i="20"/>
  <c r="D140" i="19"/>
  <c r="H141" i="20"/>
  <c r="E141" i="19"/>
  <c r="K142" i="20"/>
  <c r="F142" i="19"/>
  <c r="D144" i="20"/>
  <c r="D144" i="19"/>
  <c r="H145" i="20"/>
  <c r="E145" i="19"/>
  <c r="K146" i="20"/>
  <c r="F146" i="19"/>
  <c r="D148" i="20"/>
  <c r="D148" i="19"/>
  <c r="H149" i="20"/>
  <c r="E149" i="19"/>
  <c r="K150" i="20"/>
  <c r="F150" i="19"/>
  <c r="D152" i="20"/>
  <c r="D152" i="19"/>
  <c r="F10" i="19"/>
  <c r="I10" i="19" s="1"/>
  <c r="E11" i="19"/>
  <c r="H11" i="19" s="1"/>
  <c r="D12" i="19"/>
  <c r="F18" i="19"/>
  <c r="I18" i="19" s="1"/>
  <c r="E19" i="19"/>
  <c r="H19" i="19" s="1"/>
  <c r="D20" i="19"/>
  <c r="F26" i="19"/>
  <c r="I26" i="19" s="1"/>
  <c r="E27" i="19"/>
  <c r="H27" i="19" s="1"/>
  <c r="D28" i="19"/>
  <c r="F34" i="19"/>
  <c r="I34" i="19" s="1"/>
  <c r="E35" i="19"/>
  <c r="H35" i="19" s="1"/>
  <c r="D36" i="19"/>
  <c r="F42" i="19"/>
  <c r="I42" i="19" s="1"/>
  <c r="E43" i="19"/>
  <c r="H43" i="19" s="1"/>
  <c r="D44" i="19"/>
  <c r="F50" i="19"/>
  <c r="I50" i="19" s="1"/>
  <c r="E51" i="19"/>
  <c r="H51" i="19" s="1"/>
  <c r="D52" i="19"/>
  <c r="F58" i="19"/>
  <c r="I58" i="19" s="1"/>
  <c r="E59" i="19"/>
  <c r="H59" i="19" s="1"/>
  <c r="D60" i="19"/>
  <c r="F66" i="19"/>
  <c r="I66" i="19" s="1"/>
  <c r="F67" i="19"/>
  <c r="I67" i="19" s="1"/>
  <c r="F68" i="19"/>
  <c r="I68" i="19" s="1"/>
  <c r="E69" i="19"/>
  <c r="H69" i="19" s="1"/>
  <c r="D70" i="19"/>
  <c r="D71" i="19"/>
  <c r="F98" i="19"/>
  <c r="I98" i="19" s="1"/>
  <c r="I153" i="20"/>
  <c r="F153" i="20"/>
  <c r="O157" i="18"/>
  <c r="F25" i="19"/>
  <c r="K25" i="20"/>
  <c r="O7" i="19"/>
  <c r="H25" i="20"/>
  <c r="E25" i="19"/>
  <c r="D25" i="19"/>
  <c r="J292" i="41"/>
  <c r="P5" i="11"/>
  <c r="T5" i="11" s="1"/>
  <c r="D8" i="21" s="1"/>
  <c r="I5" i="21" s="1"/>
  <c r="H416" i="17"/>
  <c r="F49" i="38"/>
  <c r="F60" i="38"/>
  <c r="F68" i="38"/>
  <c r="F79" i="38"/>
  <c r="F82" i="38"/>
  <c r="F20" i="38"/>
  <c r="F23" i="38"/>
  <c r="F26" i="38"/>
  <c r="F29" i="38"/>
  <c r="F40" i="38"/>
  <c r="F43" i="38"/>
  <c r="F46" i="38"/>
  <c r="F57" i="38"/>
  <c r="F65" i="38"/>
  <c r="F73" i="38"/>
  <c r="F87" i="38"/>
  <c r="F90" i="38"/>
  <c r="F108" i="38"/>
  <c r="F119" i="38"/>
  <c r="F6" i="38"/>
  <c r="F24" i="38"/>
  <c r="F27" i="38"/>
  <c r="F30" i="38"/>
  <c r="F47" i="38"/>
  <c r="F58" i="38"/>
  <c r="F66" i="38"/>
  <c r="F74" i="38"/>
  <c r="F100" i="38"/>
  <c r="F106" i="38"/>
  <c r="F117" i="38"/>
  <c r="F51" i="38"/>
  <c r="F62" i="38"/>
  <c r="F70" i="38"/>
  <c r="F84" i="38"/>
  <c r="F93" i="38"/>
  <c r="F96" i="38"/>
  <c r="F110" i="38"/>
  <c r="F113" i="38"/>
  <c r="F121" i="38"/>
  <c r="P97" i="3"/>
  <c r="L97" i="16" s="1"/>
  <c r="F77" i="38"/>
  <c r="F7" i="38"/>
  <c r="F31" i="38"/>
  <c r="F48" i="38"/>
  <c r="F59" i="38"/>
  <c r="F67" i="38"/>
  <c r="F75" i="38"/>
  <c r="F78" i="38"/>
  <c r="F81" i="38"/>
  <c r="F101" i="38"/>
  <c r="F118" i="38"/>
  <c r="F11" i="38"/>
  <c r="F14" i="38"/>
  <c r="F17" i="38"/>
  <c r="F34" i="38"/>
  <c r="F116" i="38"/>
  <c r="F35" i="38"/>
  <c r="F38" i="38"/>
  <c r="F52" i="38"/>
  <c r="F55" i="38"/>
  <c r="F63" i="38"/>
  <c r="F71" i="38"/>
  <c r="F85" i="38"/>
  <c r="F97" i="38"/>
  <c r="F114" i="38"/>
  <c r="F13" i="38"/>
  <c r="F16" i="38"/>
  <c r="F33" i="38"/>
  <c r="F50" i="38"/>
  <c r="F61" i="38"/>
  <c r="F69" i="38"/>
  <c r="F83" i="38"/>
  <c r="F95" i="38"/>
  <c r="F109" i="38"/>
  <c r="F112" i="38"/>
  <c r="F120" i="38"/>
  <c r="E141" i="38"/>
  <c r="P101" i="3"/>
  <c r="L101" i="16" s="1"/>
  <c r="P105" i="3"/>
  <c r="L105" i="16" s="1"/>
  <c r="P109" i="3"/>
  <c r="L109" i="16" s="1"/>
  <c r="P113" i="3"/>
  <c r="L113" i="16" s="1"/>
  <c r="P117" i="3"/>
  <c r="L117" i="16" s="1"/>
  <c r="P121" i="3"/>
  <c r="L121" i="16" s="1"/>
  <c r="P125" i="3"/>
  <c r="L125" i="16" s="1"/>
  <c r="P133" i="3"/>
  <c r="L133" i="16" s="1"/>
  <c r="P137" i="3"/>
  <c r="L137" i="16" s="1"/>
  <c r="P141" i="3"/>
  <c r="L141" i="16" s="1"/>
  <c r="P145" i="3"/>
  <c r="L145" i="16" s="1"/>
  <c r="P149" i="3"/>
  <c r="L149" i="16" s="1"/>
  <c r="P157" i="3"/>
  <c r="L157" i="16" s="1"/>
  <c r="P189" i="3"/>
  <c r="L189" i="16" s="1"/>
  <c r="P197" i="3"/>
  <c r="L197" i="16" s="1"/>
  <c r="P201" i="3"/>
  <c r="L201" i="16" s="1"/>
  <c r="P205" i="3"/>
  <c r="P209" i="3"/>
  <c r="L209" i="16" s="1"/>
  <c r="P29" i="3"/>
  <c r="L29" i="16" s="1"/>
  <c r="C5" i="19"/>
  <c r="C11" i="19"/>
  <c r="C15" i="19"/>
  <c r="C19" i="19"/>
  <c r="C23" i="19"/>
  <c r="C27" i="19"/>
  <c r="C31" i="19"/>
  <c r="C35" i="19"/>
  <c r="C39" i="19"/>
  <c r="C43" i="19"/>
  <c r="C47" i="19"/>
  <c r="C51" i="19"/>
  <c r="C55" i="19"/>
  <c r="C59" i="19"/>
  <c r="C63" i="19"/>
  <c r="C67" i="19"/>
  <c r="C71" i="19"/>
  <c r="C75" i="19"/>
  <c r="C79" i="19"/>
  <c r="C83" i="19"/>
  <c r="C87" i="19"/>
  <c r="C91" i="19"/>
  <c r="C95" i="19"/>
  <c r="C99" i="19"/>
  <c r="C103" i="19"/>
  <c r="C107" i="19"/>
  <c r="C111" i="19"/>
  <c r="C115" i="19"/>
  <c r="C119" i="19"/>
  <c r="C123" i="19"/>
  <c r="C127" i="19"/>
  <c r="C131" i="19"/>
  <c r="C135" i="19"/>
  <c r="C139" i="19"/>
  <c r="C143" i="19"/>
  <c r="C147" i="19"/>
  <c r="C151" i="19"/>
  <c r="C9" i="20"/>
  <c r="C17" i="20"/>
  <c r="C25" i="20"/>
  <c r="C33" i="20"/>
  <c r="C41" i="20"/>
  <c r="C49" i="20"/>
  <c r="C57" i="20"/>
  <c r="C65" i="20"/>
  <c r="C73" i="20"/>
  <c r="C81" i="20"/>
  <c r="C89" i="20"/>
  <c r="C97" i="20"/>
  <c r="C105" i="20"/>
  <c r="C113" i="20"/>
  <c r="C121" i="20"/>
  <c r="C129" i="20"/>
  <c r="C137" i="20"/>
  <c r="C145" i="20"/>
  <c r="C7" i="19"/>
  <c r="C12" i="20"/>
  <c r="C20" i="20"/>
  <c r="C28" i="20"/>
  <c r="C36" i="20"/>
  <c r="C44" i="20"/>
  <c r="C52" i="20"/>
  <c r="C60" i="20"/>
  <c r="C68" i="20"/>
  <c r="C76" i="20"/>
  <c r="C84" i="20"/>
  <c r="C92" i="20"/>
  <c r="C100" i="20"/>
  <c r="C108" i="20"/>
  <c r="C116" i="20"/>
  <c r="C124" i="20"/>
  <c r="C132" i="20"/>
  <c r="C140" i="20"/>
  <c r="C148" i="20"/>
  <c r="C16" i="19"/>
  <c r="C24" i="19"/>
  <c r="C32" i="19"/>
  <c r="C40" i="19"/>
  <c r="C48" i="19"/>
  <c r="C56" i="19"/>
  <c r="C64" i="19"/>
  <c r="C72" i="19"/>
  <c r="C80" i="19"/>
  <c r="C88" i="19"/>
  <c r="C96" i="19"/>
  <c r="C104" i="19"/>
  <c r="C112" i="19"/>
  <c r="C120" i="19"/>
  <c r="C128" i="19"/>
  <c r="C136" i="19"/>
  <c r="C144" i="19"/>
  <c r="C152" i="19"/>
  <c r="C10" i="20"/>
  <c r="C18" i="20"/>
  <c r="C26" i="20"/>
  <c r="C34" i="20"/>
  <c r="C42" i="20"/>
  <c r="C50" i="20"/>
  <c r="C58" i="20"/>
  <c r="C66" i="20"/>
  <c r="C74" i="20"/>
  <c r="C82" i="20"/>
  <c r="C90" i="20"/>
  <c r="C98" i="20"/>
  <c r="C106" i="20"/>
  <c r="C114" i="20"/>
  <c r="C122" i="20"/>
  <c r="C130" i="20"/>
  <c r="C138" i="20"/>
  <c r="C146" i="20"/>
  <c r="C13" i="19"/>
  <c r="C21" i="19"/>
  <c r="C29" i="19"/>
  <c r="C37" i="19"/>
  <c r="C45" i="19"/>
  <c r="C53" i="19"/>
  <c r="C61" i="19"/>
  <c r="C69" i="19"/>
  <c r="C77" i="19"/>
  <c r="C85" i="19"/>
  <c r="C93" i="19"/>
  <c r="C101" i="19"/>
  <c r="C109" i="19"/>
  <c r="C117" i="19"/>
  <c r="C125" i="19"/>
  <c r="C133" i="19"/>
  <c r="C141" i="19"/>
  <c r="C149" i="19"/>
  <c r="C6" i="19"/>
  <c r="C8" i="20"/>
  <c r="C14" i="19"/>
  <c r="C22" i="19"/>
  <c r="C30" i="19"/>
  <c r="C38" i="19"/>
  <c r="C46" i="19"/>
  <c r="C54" i="19"/>
  <c r="C62" i="19"/>
  <c r="C70" i="19"/>
  <c r="C78" i="19"/>
  <c r="C86" i="19"/>
  <c r="C94" i="19"/>
  <c r="C102" i="19"/>
  <c r="C110" i="19"/>
  <c r="C118" i="19"/>
  <c r="C126" i="19"/>
  <c r="C134" i="19"/>
  <c r="C142" i="19"/>
  <c r="C150" i="19"/>
  <c r="P43" i="3"/>
  <c r="L43" i="16" s="1"/>
  <c r="P47" i="3"/>
  <c r="L47" i="16" s="1"/>
  <c r="P51" i="3"/>
  <c r="L51" i="16" s="1"/>
  <c r="P55" i="3"/>
  <c r="L55" i="16" s="1"/>
  <c r="P59" i="3"/>
  <c r="P63" i="3"/>
  <c r="L63" i="16" s="1"/>
  <c r="P67" i="3"/>
  <c r="L67" i="16" s="1"/>
  <c r="P87" i="3"/>
  <c r="L87" i="16" s="1"/>
  <c r="P15" i="3"/>
  <c r="L15" i="16" s="1"/>
  <c r="P23" i="3"/>
  <c r="L23" i="16" s="1"/>
  <c r="P31" i="3"/>
  <c r="L31" i="16" s="1"/>
  <c r="P35" i="3"/>
  <c r="L35" i="16" s="1"/>
  <c r="P94" i="3"/>
  <c r="L94" i="16" s="1"/>
  <c r="P223" i="3"/>
  <c r="L223" i="16" s="1"/>
  <c r="P224" i="3"/>
  <c r="L224" i="16" s="1"/>
  <c r="P5" i="3"/>
  <c r="L5" i="16" s="1"/>
  <c r="P20" i="3"/>
  <c r="L20" i="16" s="1"/>
  <c r="P231" i="3"/>
  <c r="L231" i="16" s="1"/>
  <c r="P235" i="3"/>
  <c r="L235" i="16" s="1"/>
  <c r="P239" i="3"/>
  <c r="L239" i="16" s="1"/>
  <c r="P287" i="3"/>
  <c r="L287" i="16" s="1"/>
  <c r="P71" i="3"/>
  <c r="L71" i="16" s="1"/>
  <c r="P291" i="3"/>
  <c r="L291" i="16" s="1"/>
  <c r="P112" i="3"/>
  <c r="L112" i="16" s="1"/>
  <c r="P161" i="3"/>
  <c r="L161" i="16" s="1"/>
  <c r="P177" i="3"/>
  <c r="L177" i="16" s="1"/>
  <c r="P228" i="3"/>
  <c r="L228" i="16" s="1"/>
  <c r="P192" i="3"/>
  <c r="L192" i="16" s="1"/>
  <c r="P193" i="3"/>
  <c r="L193" i="16" s="1"/>
  <c r="P208" i="3"/>
  <c r="L208" i="16" s="1"/>
  <c r="P283" i="3"/>
  <c r="L283" i="16" s="1"/>
  <c r="P28" i="3"/>
  <c r="L28" i="16" s="1"/>
  <c r="P19" i="3"/>
  <c r="L19" i="16" s="1"/>
  <c r="P39" i="3"/>
  <c r="L39" i="16" s="1"/>
  <c r="P42" i="3"/>
  <c r="L42" i="16" s="1"/>
  <c r="P75" i="3"/>
  <c r="L75" i="16" s="1"/>
  <c r="P79" i="3"/>
  <c r="L79" i="16" s="1"/>
  <c r="P83" i="3"/>
  <c r="L83" i="16" s="1"/>
  <c r="P128" i="3"/>
  <c r="L128" i="16" s="1"/>
  <c r="P129" i="3"/>
  <c r="L129" i="16" s="1"/>
  <c r="P144" i="3"/>
  <c r="L144" i="16" s="1"/>
  <c r="P165" i="3"/>
  <c r="L165" i="16" s="1"/>
  <c r="P169" i="3"/>
  <c r="L169" i="16" s="1"/>
  <c r="P173" i="3"/>
  <c r="L173" i="16" s="1"/>
  <c r="P58" i="3"/>
  <c r="L58" i="16" s="1"/>
  <c r="P181" i="3"/>
  <c r="L181" i="16" s="1"/>
  <c r="P185" i="3"/>
  <c r="L185" i="16" s="1"/>
  <c r="P238" i="3"/>
  <c r="P13" i="3"/>
  <c r="L13" i="16" s="1"/>
  <c r="P21" i="3"/>
  <c r="L21" i="16" s="1"/>
  <c r="P37" i="3"/>
  <c r="L37" i="16" s="1"/>
  <c r="P74" i="3"/>
  <c r="L74" i="16" s="1"/>
  <c r="P90" i="3"/>
  <c r="L90" i="16" s="1"/>
  <c r="P160" i="3"/>
  <c r="L160" i="16" s="1"/>
  <c r="P176" i="3"/>
  <c r="L176" i="16" s="1"/>
  <c r="P251" i="3"/>
  <c r="L251" i="16" s="1"/>
  <c r="P12" i="3"/>
  <c r="L12" i="16" s="1"/>
  <c r="P213" i="3"/>
  <c r="L213" i="16" s="1"/>
  <c r="P217" i="3"/>
  <c r="L217" i="16" s="1"/>
  <c r="P267" i="3"/>
  <c r="L267" i="16" s="1"/>
  <c r="P153" i="3"/>
  <c r="P247" i="3"/>
  <c r="P279" i="3"/>
  <c r="L279" i="16" s="1"/>
  <c r="P255" i="3"/>
  <c r="L255" i="16" s="1"/>
  <c r="P259" i="3"/>
  <c r="L259" i="16" s="1"/>
  <c r="P263" i="3"/>
  <c r="L263" i="16" s="1"/>
  <c r="P295" i="3"/>
  <c r="L295" i="16" s="1"/>
  <c r="P7" i="3"/>
  <c r="L7" i="16" s="1"/>
  <c r="P299" i="3"/>
  <c r="D22" i="38" s="1"/>
  <c r="F22" i="38" s="1"/>
  <c r="P271" i="3"/>
  <c r="L271" i="16" s="1"/>
  <c r="P243" i="3"/>
  <c r="L243" i="16" s="1"/>
  <c r="P275" i="3"/>
  <c r="L275" i="16" s="1"/>
  <c r="H9" i="16"/>
  <c r="P9" i="3"/>
  <c r="L9" i="16" s="1"/>
  <c r="K26" i="16"/>
  <c r="H68" i="16"/>
  <c r="P68" i="3"/>
  <c r="L68" i="16" s="1"/>
  <c r="C125" i="16"/>
  <c r="D152" i="16"/>
  <c r="D7" i="16"/>
  <c r="C39" i="16"/>
  <c r="K50" i="16"/>
  <c r="D93" i="16"/>
  <c r="C129" i="16"/>
  <c r="C224" i="16"/>
  <c r="C7" i="16"/>
  <c r="H8" i="16"/>
  <c r="P8" i="3"/>
  <c r="L8" i="16" s="1"/>
  <c r="P18" i="3"/>
  <c r="L18" i="16" s="1"/>
  <c r="K19" i="16"/>
  <c r="C23" i="16"/>
  <c r="H24" i="16"/>
  <c r="P24" i="3"/>
  <c r="L24" i="16" s="1"/>
  <c r="P34" i="3"/>
  <c r="L34" i="16" s="1"/>
  <c r="D38" i="16"/>
  <c r="C43" i="16"/>
  <c r="H44" i="16"/>
  <c r="P44" i="3"/>
  <c r="L44" i="16" s="1"/>
  <c r="K54" i="16"/>
  <c r="D70" i="16"/>
  <c r="C75" i="16"/>
  <c r="H76" i="16"/>
  <c r="P76" i="3"/>
  <c r="L76" i="16" s="1"/>
  <c r="K86" i="16"/>
  <c r="P89" i="3"/>
  <c r="L89" i="16" s="1"/>
  <c r="D97" i="16"/>
  <c r="C101" i="16"/>
  <c r="H102" i="16"/>
  <c r="P102" i="3"/>
  <c r="L102" i="16" s="1"/>
  <c r="K112" i="16"/>
  <c r="P120" i="3"/>
  <c r="L120" i="16" s="1"/>
  <c r="D128" i="16"/>
  <c r="C133" i="16"/>
  <c r="H134" i="16"/>
  <c r="P134" i="3"/>
  <c r="L134" i="16" s="1"/>
  <c r="K144" i="16"/>
  <c r="P152" i="3"/>
  <c r="D160" i="16"/>
  <c r="C165" i="16"/>
  <c r="H166" i="16"/>
  <c r="P166" i="3"/>
  <c r="K176" i="16"/>
  <c r="P184" i="3"/>
  <c r="L184" i="16" s="1"/>
  <c r="D192" i="16"/>
  <c r="C197" i="16"/>
  <c r="H198" i="16"/>
  <c r="P198" i="3"/>
  <c r="L198" i="16" s="1"/>
  <c r="K208" i="16"/>
  <c r="P216" i="3"/>
  <c r="L216" i="16" s="1"/>
  <c r="D223" i="16"/>
  <c r="C228" i="16"/>
  <c r="H229" i="16"/>
  <c r="P229" i="3"/>
  <c r="L229" i="16" s="1"/>
  <c r="K234" i="16"/>
  <c r="H256" i="16"/>
  <c r="P256" i="3"/>
  <c r="L256" i="16" s="1"/>
  <c r="H288" i="16"/>
  <c r="P288" i="3"/>
  <c r="L288" i="16" s="1"/>
  <c r="F5" i="38"/>
  <c r="K104" i="16"/>
  <c r="D120" i="16"/>
  <c r="H126" i="16"/>
  <c r="P126" i="3"/>
  <c r="L126" i="16" s="1"/>
  <c r="C157" i="16"/>
  <c r="D184" i="16"/>
  <c r="H190" i="16"/>
  <c r="P190" i="3"/>
  <c r="L190" i="16" s="1"/>
  <c r="D23" i="16"/>
  <c r="H162" i="16"/>
  <c r="P162" i="3"/>
  <c r="L162" i="16" s="1"/>
  <c r="H284" i="16"/>
  <c r="P284" i="3"/>
  <c r="L284" i="16" s="1"/>
  <c r="D6" i="16"/>
  <c r="C11" i="16"/>
  <c r="H12" i="16"/>
  <c r="K14" i="16"/>
  <c r="D22" i="16"/>
  <c r="C27" i="16"/>
  <c r="H28" i="16"/>
  <c r="K30" i="16"/>
  <c r="D42" i="16"/>
  <c r="C47" i="16"/>
  <c r="H48" i="16"/>
  <c r="P48" i="3"/>
  <c r="K58" i="16"/>
  <c r="P66" i="3"/>
  <c r="D74" i="16"/>
  <c r="C79" i="16"/>
  <c r="H80" i="16"/>
  <c r="P80" i="3"/>
  <c r="D100" i="16"/>
  <c r="C105" i="16"/>
  <c r="H106" i="16"/>
  <c r="P106" i="3"/>
  <c r="L106" i="16" s="1"/>
  <c r="K116" i="16"/>
  <c r="D132" i="16"/>
  <c r="C137" i="16"/>
  <c r="H138" i="16"/>
  <c r="P138" i="3"/>
  <c r="K148" i="16"/>
  <c r="D164" i="16"/>
  <c r="C169" i="16"/>
  <c r="H170" i="16"/>
  <c r="P170" i="3"/>
  <c r="L170" i="16" s="1"/>
  <c r="K180" i="16"/>
  <c r="D196" i="16"/>
  <c r="C201" i="16"/>
  <c r="H202" i="16"/>
  <c r="P202" i="3"/>
  <c r="L202" i="16" s="1"/>
  <c r="K212" i="16"/>
  <c r="D227" i="16"/>
  <c r="K238" i="16"/>
  <c r="H260" i="16"/>
  <c r="P260" i="3"/>
  <c r="L260" i="16" s="1"/>
  <c r="H292" i="16"/>
  <c r="P292" i="3"/>
  <c r="K302" i="16"/>
  <c r="C94" i="16"/>
  <c r="H158" i="16"/>
  <c r="P158" i="3"/>
  <c r="L158" i="16" s="1"/>
  <c r="K168" i="16"/>
  <c r="K108" i="16"/>
  <c r="D26" i="16"/>
  <c r="H52" i="16"/>
  <c r="P52" i="3"/>
  <c r="L52" i="16" s="1"/>
  <c r="C83" i="16"/>
  <c r="D104" i="16"/>
  <c r="H110" i="16"/>
  <c r="P110" i="3"/>
  <c r="L110" i="16" s="1"/>
  <c r="C205" i="16"/>
  <c r="H206" i="16"/>
  <c r="P206" i="3"/>
  <c r="L206" i="16" s="1"/>
  <c r="K216" i="16"/>
  <c r="C231" i="16"/>
  <c r="H232" i="16"/>
  <c r="P232" i="3"/>
  <c r="L232" i="16" s="1"/>
  <c r="H264" i="16"/>
  <c r="P264" i="3"/>
  <c r="L264" i="16" s="1"/>
  <c r="H296" i="16"/>
  <c r="P296" i="3"/>
  <c r="L296" i="16" s="1"/>
  <c r="D18" i="16"/>
  <c r="D89" i="16"/>
  <c r="H95" i="16"/>
  <c r="P95" i="3"/>
  <c r="L95" i="16" s="1"/>
  <c r="K200" i="16"/>
  <c r="D216" i="16"/>
  <c r="H221" i="16"/>
  <c r="P221" i="3"/>
  <c r="L221" i="16" s="1"/>
  <c r="H280" i="16"/>
  <c r="P280" i="3"/>
  <c r="L280" i="16" s="1"/>
  <c r="K82" i="16"/>
  <c r="K120" i="16"/>
  <c r="K152" i="16"/>
  <c r="D168" i="16"/>
  <c r="H174" i="16"/>
  <c r="P174" i="3"/>
  <c r="L174" i="16" s="1"/>
  <c r="D200" i="16"/>
  <c r="C32" i="16"/>
  <c r="C55" i="16"/>
  <c r="K66" i="16"/>
  <c r="D82" i="16"/>
  <c r="C87" i="16"/>
  <c r="H88" i="16"/>
  <c r="P88" i="3"/>
  <c r="K93" i="16"/>
  <c r="D108" i="16"/>
  <c r="C113" i="16"/>
  <c r="H114" i="16"/>
  <c r="P114" i="3"/>
  <c r="L114" i="16" s="1"/>
  <c r="K124" i="16"/>
  <c r="D140" i="16"/>
  <c r="C145" i="16"/>
  <c r="H146" i="16"/>
  <c r="P146" i="3"/>
  <c r="L146" i="16" s="1"/>
  <c r="K156" i="16"/>
  <c r="D172" i="16"/>
  <c r="C177" i="16"/>
  <c r="H178" i="16"/>
  <c r="P178" i="3"/>
  <c r="L178" i="16" s="1"/>
  <c r="K188" i="16"/>
  <c r="D204" i="16"/>
  <c r="C209" i="16"/>
  <c r="H210" i="16"/>
  <c r="P210" i="3"/>
  <c r="L210" i="16" s="1"/>
  <c r="K220" i="16"/>
  <c r="C235" i="16"/>
  <c r="H236" i="16"/>
  <c r="P236" i="3"/>
  <c r="L236" i="16" s="1"/>
  <c r="H268" i="16"/>
  <c r="P268" i="3"/>
  <c r="L268" i="16" s="1"/>
  <c r="H300" i="16"/>
  <c r="P300" i="3"/>
  <c r="L300" i="16" s="1"/>
  <c r="K10" i="16"/>
  <c r="D34" i="16"/>
  <c r="K46" i="16"/>
  <c r="D62" i="16"/>
  <c r="K78" i="16"/>
  <c r="C189" i="16"/>
  <c r="C8" i="16"/>
  <c r="C24" i="16"/>
  <c r="D66" i="16"/>
  <c r="H72" i="16"/>
  <c r="P72" i="3"/>
  <c r="L72" i="16" s="1"/>
  <c r="C161" i="16"/>
  <c r="C193" i="16"/>
  <c r="H194" i="16"/>
  <c r="P194" i="3"/>
  <c r="L194" i="16" s="1"/>
  <c r="D10" i="16"/>
  <c r="H17" i="16"/>
  <c r="P17" i="3"/>
  <c r="L17" i="16" s="1"/>
  <c r="K18" i="16"/>
  <c r="K34" i="16"/>
  <c r="C51" i="16"/>
  <c r="D78" i="16"/>
  <c r="K89" i="16"/>
  <c r="C141" i="16"/>
  <c r="C16" i="16"/>
  <c r="P10" i="3"/>
  <c r="L10" i="16" s="1"/>
  <c r="C31" i="16"/>
  <c r="H32" i="16"/>
  <c r="P32" i="3"/>
  <c r="L32" i="16" s="1"/>
  <c r="K38" i="16"/>
  <c r="D54" i="16"/>
  <c r="K70" i="16"/>
  <c r="D86" i="16"/>
  <c r="K97" i="16"/>
  <c r="P104" i="3"/>
  <c r="L104" i="16" s="1"/>
  <c r="C117" i="16"/>
  <c r="H118" i="16"/>
  <c r="P118" i="3"/>
  <c r="L118" i="16" s="1"/>
  <c r="D144" i="16"/>
  <c r="C149" i="16"/>
  <c r="H150" i="16"/>
  <c r="P150" i="3"/>
  <c r="L150" i="16" s="1"/>
  <c r="K160" i="16"/>
  <c r="P168" i="3"/>
  <c r="L168" i="16" s="1"/>
  <c r="D176" i="16"/>
  <c r="C181" i="16"/>
  <c r="H182" i="16"/>
  <c r="P182" i="3"/>
  <c r="L182" i="16" s="1"/>
  <c r="K192" i="16"/>
  <c r="P200" i="3"/>
  <c r="L200" i="16" s="1"/>
  <c r="D208" i="16"/>
  <c r="C213" i="16"/>
  <c r="H214" i="16"/>
  <c r="P214" i="3"/>
  <c r="L214" i="16" s="1"/>
  <c r="K223" i="16"/>
  <c r="D234" i="16"/>
  <c r="C239" i="16"/>
  <c r="H240" i="16"/>
  <c r="P240" i="3"/>
  <c r="L240" i="16" s="1"/>
  <c r="H272" i="16"/>
  <c r="P272" i="3"/>
  <c r="L272" i="16" s="1"/>
  <c r="C303" i="16"/>
  <c r="H304" i="16"/>
  <c r="P304" i="3"/>
  <c r="L304" i="16" s="1"/>
  <c r="H25" i="16"/>
  <c r="P25" i="3"/>
  <c r="L25" i="16" s="1"/>
  <c r="C67" i="16"/>
  <c r="K136" i="16"/>
  <c r="H248" i="16"/>
  <c r="P248" i="3"/>
  <c r="L248" i="16" s="1"/>
  <c r="H40" i="16"/>
  <c r="P40" i="3"/>
  <c r="L40" i="16" s="1"/>
  <c r="C71" i="16"/>
  <c r="H98" i="16"/>
  <c r="P98" i="3"/>
  <c r="L98" i="16" s="1"/>
  <c r="D124" i="16"/>
  <c r="H130" i="16"/>
  <c r="P130" i="3"/>
  <c r="L130" i="16" s="1"/>
  <c r="K140" i="16"/>
  <c r="D156" i="16"/>
  <c r="K172" i="16"/>
  <c r="D188" i="16"/>
  <c r="K204" i="16"/>
  <c r="D220" i="16"/>
  <c r="H225" i="16"/>
  <c r="P225" i="3"/>
  <c r="H252" i="16"/>
  <c r="P252" i="3"/>
  <c r="L252" i="16" s="1"/>
  <c r="D46" i="16"/>
  <c r="K62" i="16"/>
  <c r="H84" i="16"/>
  <c r="P84" i="3"/>
  <c r="L84" i="16" s="1"/>
  <c r="C109" i="16"/>
  <c r="D136" i="16"/>
  <c r="H142" i="16"/>
  <c r="P142" i="3"/>
  <c r="L142" i="16" s="1"/>
  <c r="C173" i="16"/>
  <c r="K184" i="16"/>
  <c r="D15" i="16"/>
  <c r="D31" i="16"/>
  <c r="D50" i="16"/>
  <c r="H56" i="16"/>
  <c r="P56" i="3"/>
  <c r="L56" i="16" s="1"/>
  <c r="K11" i="16"/>
  <c r="C15" i="16"/>
  <c r="H16" i="16"/>
  <c r="P16" i="3"/>
  <c r="L16" i="16" s="1"/>
  <c r="P26" i="3"/>
  <c r="L26" i="16" s="1"/>
  <c r="K27" i="16"/>
  <c r="C59" i="16"/>
  <c r="H60" i="16"/>
  <c r="P60" i="3"/>
  <c r="L60" i="16" s="1"/>
  <c r="D112" i="16"/>
  <c r="K128" i="16"/>
  <c r="P136" i="3"/>
  <c r="L136" i="16" s="1"/>
  <c r="K6" i="16"/>
  <c r="P11" i="3"/>
  <c r="D14" i="16"/>
  <c r="C19" i="16"/>
  <c r="H20" i="16"/>
  <c r="K22" i="16"/>
  <c r="P27" i="3"/>
  <c r="L27" i="16" s="1"/>
  <c r="D30" i="16"/>
  <c r="C35" i="16"/>
  <c r="H36" i="16"/>
  <c r="P36" i="3"/>
  <c r="L36" i="16" s="1"/>
  <c r="K42" i="16"/>
  <c r="P50" i="3"/>
  <c r="L50" i="16" s="1"/>
  <c r="D58" i="16"/>
  <c r="C63" i="16"/>
  <c r="H64" i="16"/>
  <c r="P64" i="3"/>
  <c r="L64" i="16" s="1"/>
  <c r="K74" i="16"/>
  <c r="P82" i="3"/>
  <c r="L82" i="16" s="1"/>
  <c r="C90" i="16"/>
  <c r="H91" i="16"/>
  <c r="P91" i="3"/>
  <c r="L91" i="16" s="1"/>
  <c r="K100" i="16"/>
  <c r="D116" i="16"/>
  <c r="C121" i="16"/>
  <c r="H122" i="16"/>
  <c r="P122" i="3"/>
  <c r="L122" i="16" s="1"/>
  <c r="K132" i="16"/>
  <c r="D148" i="16"/>
  <c r="C153" i="16"/>
  <c r="H154" i="16"/>
  <c r="P154" i="3"/>
  <c r="L154" i="16" s="1"/>
  <c r="K164" i="16"/>
  <c r="D180" i="16"/>
  <c r="C185" i="16"/>
  <c r="H186" i="16"/>
  <c r="P186" i="3"/>
  <c r="L186" i="16" s="1"/>
  <c r="K196" i="16"/>
  <c r="D212" i="16"/>
  <c r="C217" i="16"/>
  <c r="H218" i="16"/>
  <c r="P218" i="3"/>
  <c r="L218" i="16" s="1"/>
  <c r="K227" i="16"/>
  <c r="D238" i="16"/>
  <c r="H244" i="16"/>
  <c r="P244" i="3"/>
  <c r="H276" i="16"/>
  <c r="P276" i="3"/>
  <c r="D99" i="38" s="1"/>
  <c r="F99" i="38" s="1"/>
  <c r="D302" i="16"/>
  <c r="H33" i="16"/>
  <c r="K35" i="16"/>
  <c r="D39" i="16"/>
  <c r="C40" i="16"/>
  <c r="H41" i="16"/>
  <c r="K43" i="16"/>
  <c r="D47" i="16"/>
  <c r="C48" i="16"/>
  <c r="H49" i="16"/>
  <c r="K51" i="16"/>
  <c r="D55" i="16"/>
  <c r="C56" i="16"/>
  <c r="H57" i="16"/>
  <c r="K59" i="16"/>
  <c r="D63" i="16"/>
  <c r="C64" i="16"/>
  <c r="H65" i="16"/>
  <c r="K67" i="16"/>
  <c r="D71" i="16"/>
  <c r="C72" i="16"/>
  <c r="H73" i="16"/>
  <c r="K75" i="16"/>
  <c r="D79" i="16"/>
  <c r="C80" i="16"/>
  <c r="H81" i="16"/>
  <c r="K83" i="16"/>
  <c r="D87" i="16"/>
  <c r="C88" i="16"/>
  <c r="K90" i="16"/>
  <c r="D94" i="16"/>
  <c r="C95" i="16"/>
  <c r="H96" i="16"/>
  <c r="D101" i="16"/>
  <c r="C102" i="16"/>
  <c r="H103" i="16"/>
  <c r="K105" i="16"/>
  <c r="D109" i="16"/>
  <c r="C110" i="16"/>
  <c r="H111" i="16"/>
  <c r="K113" i="16"/>
  <c r="D117" i="16"/>
  <c r="C118" i="16"/>
  <c r="H119" i="16"/>
  <c r="K121" i="16"/>
  <c r="D125" i="16"/>
  <c r="C126" i="16"/>
  <c r="H127" i="16"/>
  <c r="K129" i="16"/>
  <c r="D133" i="16"/>
  <c r="C134" i="16"/>
  <c r="H135" i="16"/>
  <c r="K137" i="16"/>
  <c r="D141" i="16"/>
  <c r="C142" i="16"/>
  <c r="H143" i="16"/>
  <c r="K145" i="16"/>
  <c r="D149" i="16"/>
  <c r="C150" i="16"/>
  <c r="H151" i="16"/>
  <c r="K153" i="16"/>
  <c r="D157" i="16"/>
  <c r="C158" i="16"/>
  <c r="H159" i="16"/>
  <c r="K161" i="16"/>
  <c r="D165" i="16"/>
  <c r="C166" i="16"/>
  <c r="H167" i="16"/>
  <c r="K169" i="16"/>
  <c r="D173" i="16"/>
  <c r="C174" i="16"/>
  <c r="H175" i="16"/>
  <c r="K177" i="16"/>
  <c r="D181" i="16"/>
  <c r="C182" i="16"/>
  <c r="H183" i="16"/>
  <c r="K185" i="16"/>
  <c r="D189" i="16"/>
  <c r="C190" i="16"/>
  <c r="H191" i="16"/>
  <c r="K193" i="16"/>
  <c r="D197" i="16"/>
  <c r="C198" i="16"/>
  <c r="H199" i="16"/>
  <c r="K201" i="16"/>
  <c r="D205" i="16"/>
  <c r="C206" i="16"/>
  <c r="H207" i="16"/>
  <c r="K209" i="16"/>
  <c r="D213" i="16"/>
  <c r="C214" i="16"/>
  <c r="H215" i="16"/>
  <c r="K217" i="16"/>
  <c r="C221" i="16"/>
  <c r="H222" i="16"/>
  <c r="K224" i="16"/>
  <c r="D228" i="16"/>
  <c r="C229" i="16"/>
  <c r="H230" i="16"/>
  <c r="K231" i="16"/>
  <c r="D235" i="16"/>
  <c r="C236" i="16"/>
  <c r="H237" i="16"/>
  <c r="K239" i="16"/>
  <c r="K303" i="16"/>
  <c r="D5" i="16"/>
  <c r="C6" i="16"/>
  <c r="K9" i="16"/>
  <c r="D13" i="16"/>
  <c r="C14" i="16"/>
  <c r="H15" i="16"/>
  <c r="K17" i="16"/>
  <c r="D21" i="16"/>
  <c r="C22" i="16"/>
  <c r="H23" i="16"/>
  <c r="K25" i="16"/>
  <c r="D29" i="16"/>
  <c r="C30" i="16"/>
  <c r="H31" i="16"/>
  <c r="K33" i="16"/>
  <c r="D37" i="16"/>
  <c r="C38" i="16"/>
  <c r="H39" i="16"/>
  <c r="K41" i="16"/>
  <c r="D45" i="16"/>
  <c r="C46" i="16"/>
  <c r="H47" i="16"/>
  <c r="K49" i="16"/>
  <c r="D53" i="16"/>
  <c r="C54" i="16"/>
  <c r="H55" i="16"/>
  <c r="K57" i="16"/>
  <c r="D61" i="16"/>
  <c r="C62" i="16"/>
  <c r="H63" i="16"/>
  <c r="K65" i="16"/>
  <c r="D69" i="16"/>
  <c r="C70" i="16"/>
  <c r="H71" i="16"/>
  <c r="K73" i="16"/>
  <c r="D77" i="16"/>
  <c r="C78" i="16"/>
  <c r="H79" i="16"/>
  <c r="K81" i="16"/>
  <c r="D85" i="16"/>
  <c r="C86" i="16"/>
  <c r="H87" i="16"/>
  <c r="D92" i="16"/>
  <c r="C93" i="16"/>
  <c r="H94" i="16"/>
  <c r="C100" i="16"/>
  <c r="H101" i="16"/>
  <c r="K103" i="16"/>
  <c r="D107" i="16"/>
  <c r="C108" i="16"/>
  <c r="H109" i="16"/>
  <c r="K111" i="16"/>
  <c r="D115" i="16"/>
  <c r="C116" i="16"/>
  <c r="H117" i="16"/>
  <c r="K119" i="16"/>
  <c r="D123" i="16"/>
  <c r="C124" i="16"/>
  <c r="H125" i="16"/>
  <c r="K127" i="16"/>
  <c r="D131" i="16"/>
  <c r="C132" i="16"/>
  <c r="H133" i="16"/>
  <c r="K135" i="16"/>
  <c r="D139" i="16"/>
  <c r="C140" i="16"/>
  <c r="H141" i="16"/>
  <c r="K143" i="16"/>
  <c r="D147" i="16"/>
  <c r="C148" i="16"/>
  <c r="H149" i="16"/>
  <c r="K151" i="16"/>
  <c r="D155" i="16"/>
  <c r="C156" i="16"/>
  <c r="H157" i="16"/>
  <c r="K159" i="16"/>
  <c r="D163" i="16"/>
  <c r="C164" i="16"/>
  <c r="H165" i="16"/>
  <c r="K167" i="16"/>
  <c r="D171" i="16"/>
  <c r="C172" i="16"/>
  <c r="H173" i="16"/>
  <c r="K175" i="16"/>
  <c r="D179" i="16"/>
  <c r="C180" i="16"/>
  <c r="H181" i="16"/>
  <c r="K183" i="16"/>
  <c r="D187" i="16"/>
  <c r="C188" i="16"/>
  <c r="H189" i="16"/>
  <c r="K191" i="16"/>
  <c r="D195" i="16"/>
  <c r="C196" i="16"/>
  <c r="H197" i="16"/>
  <c r="K199" i="16"/>
  <c r="D203" i="16"/>
  <c r="C204" i="16"/>
  <c r="H205" i="16"/>
  <c r="K207" i="16"/>
  <c r="D211" i="16"/>
  <c r="C212" i="16"/>
  <c r="H213" i="16"/>
  <c r="K215" i="16"/>
  <c r="D219" i="16"/>
  <c r="C220" i="16"/>
  <c r="K222" i="16"/>
  <c r="D226" i="16"/>
  <c r="C227" i="16"/>
  <c r="H228" i="16"/>
  <c r="K230" i="16"/>
  <c r="D233" i="16"/>
  <c r="C234" i="16"/>
  <c r="H235" i="16"/>
  <c r="K237" i="16"/>
  <c r="D241" i="16"/>
  <c r="P246" i="3"/>
  <c r="L246" i="16" s="1"/>
  <c r="P254" i="3"/>
  <c r="L254" i="16" s="1"/>
  <c r="P262" i="3"/>
  <c r="L262" i="16" s="1"/>
  <c r="P270" i="3"/>
  <c r="L270" i="16" s="1"/>
  <c r="P278" i="3"/>
  <c r="P286" i="3"/>
  <c r="L286" i="16" s="1"/>
  <c r="P294" i="3"/>
  <c r="L294" i="16" s="1"/>
  <c r="D305" i="16"/>
  <c r="C5" i="16"/>
  <c r="H6" i="16"/>
  <c r="K8" i="16"/>
  <c r="D12" i="16"/>
  <c r="C13" i="16"/>
  <c r="H14" i="16"/>
  <c r="K16" i="16"/>
  <c r="D20" i="16"/>
  <c r="C21" i="16"/>
  <c r="H22" i="16"/>
  <c r="K24" i="16"/>
  <c r="D28" i="16"/>
  <c r="C29" i="16"/>
  <c r="H30" i="16"/>
  <c r="P33" i="3"/>
  <c r="L33" i="16" s="1"/>
  <c r="D36" i="16"/>
  <c r="C37" i="16"/>
  <c r="K40" i="16"/>
  <c r="P41" i="3"/>
  <c r="L41" i="16" s="1"/>
  <c r="D44" i="16"/>
  <c r="C45" i="16"/>
  <c r="H46" i="16"/>
  <c r="P49" i="3"/>
  <c r="L49" i="16" s="1"/>
  <c r="D52" i="16"/>
  <c r="C53" i="16"/>
  <c r="K56" i="16"/>
  <c r="P57" i="3"/>
  <c r="L57" i="16" s="1"/>
  <c r="D60" i="16"/>
  <c r="C61" i="16"/>
  <c r="H62" i="16"/>
  <c r="P65" i="3"/>
  <c r="L65" i="16" s="1"/>
  <c r="D68" i="16"/>
  <c r="C69" i="16"/>
  <c r="K72" i="16"/>
  <c r="P73" i="3"/>
  <c r="L73" i="16" s="1"/>
  <c r="D76" i="16"/>
  <c r="C77" i="16"/>
  <c r="H78" i="16"/>
  <c r="P81" i="3"/>
  <c r="D84" i="16"/>
  <c r="C85" i="16"/>
  <c r="K88" i="16"/>
  <c r="D91" i="16"/>
  <c r="C92" i="16"/>
  <c r="H93" i="16"/>
  <c r="K95" i="16"/>
  <c r="P96" i="3"/>
  <c r="L96" i="16" s="1"/>
  <c r="D98" i="16"/>
  <c r="C99" i="16"/>
  <c r="H100" i="16"/>
  <c r="K102" i="16"/>
  <c r="P103" i="3"/>
  <c r="L103" i="16" s="1"/>
  <c r="D106" i="16"/>
  <c r="C107" i="16"/>
  <c r="H108" i="16"/>
  <c r="K110" i="16"/>
  <c r="P111" i="3"/>
  <c r="L111" i="16" s="1"/>
  <c r="D114" i="16"/>
  <c r="C115" i="16"/>
  <c r="H116" i="16"/>
  <c r="K118" i="16"/>
  <c r="P119" i="3"/>
  <c r="L119" i="16" s="1"/>
  <c r="D122" i="16"/>
  <c r="C123" i="16"/>
  <c r="H124" i="16"/>
  <c r="K126" i="16"/>
  <c r="P127" i="3"/>
  <c r="L127" i="16" s="1"/>
  <c r="D130" i="16"/>
  <c r="C131" i="16"/>
  <c r="H132" i="16"/>
  <c r="K134" i="16"/>
  <c r="P135" i="3"/>
  <c r="L135" i="16" s="1"/>
  <c r="D138" i="16"/>
  <c r="H140" i="16"/>
  <c r="K142" i="16"/>
  <c r="P143" i="3"/>
  <c r="L143" i="16" s="1"/>
  <c r="D146" i="16"/>
  <c r="C147" i="16"/>
  <c r="H148" i="16"/>
  <c r="K150" i="16"/>
  <c r="P151" i="3"/>
  <c r="L151" i="16" s="1"/>
  <c r="D154" i="16"/>
  <c r="C155" i="16"/>
  <c r="H156" i="16"/>
  <c r="K158" i="16"/>
  <c r="P159" i="3"/>
  <c r="L159" i="16" s="1"/>
  <c r="D162" i="16"/>
  <c r="C163" i="16"/>
  <c r="H164" i="16"/>
  <c r="K166" i="16"/>
  <c r="P167" i="3"/>
  <c r="L167" i="16" s="1"/>
  <c r="D170" i="16"/>
  <c r="C171" i="16"/>
  <c r="H172" i="16"/>
  <c r="K174" i="16"/>
  <c r="P175" i="3"/>
  <c r="L175" i="16" s="1"/>
  <c r="D178" i="16"/>
  <c r="C179" i="16"/>
  <c r="H180" i="16"/>
  <c r="K182" i="16"/>
  <c r="P183" i="3"/>
  <c r="L183" i="16" s="1"/>
  <c r="D186" i="16"/>
  <c r="C187" i="16"/>
  <c r="H188" i="16"/>
  <c r="K190" i="16"/>
  <c r="P191" i="3"/>
  <c r="L191" i="16" s="1"/>
  <c r="D194" i="16"/>
  <c r="C195" i="16"/>
  <c r="H196" i="16"/>
  <c r="K198" i="16"/>
  <c r="P199" i="3"/>
  <c r="L199" i="16" s="1"/>
  <c r="D202" i="16"/>
  <c r="C203" i="16"/>
  <c r="H204" i="16"/>
  <c r="K206" i="16"/>
  <c r="P207" i="3"/>
  <c r="L207" i="16" s="1"/>
  <c r="D210" i="16"/>
  <c r="C211" i="16"/>
  <c r="H212" i="16"/>
  <c r="K214" i="16"/>
  <c r="P215" i="3"/>
  <c r="L215" i="16" s="1"/>
  <c r="D218" i="16"/>
  <c r="C219" i="16"/>
  <c r="H220" i="16"/>
  <c r="K221" i="16"/>
  <c r="P222" i="3"/>
  <c r="D225" i="16"/>
  <c r="C226" i="16"/>
  <c r="H227" i="16"/>
  <c r="K229" i="16"/>
  <c r="P230" i="3"/>
  <c r="L230" i="16" s="1"/>
  <c r="D232" i="16"/>
  <c r="C233" i="16"/>
  <c r="H234" i="16"/>
  <c r="K236" i="16"/>
  <c r="P237" i="3"/>
  <c r="L237" i="16" s="1"/>
  <c r="D240" i="16"/>
  <c r="C241" i="16"/>
  <c r="P245" i="3"/>
  <c r="L245" i="16" s="1"/>
  <c r="P253" i="3"/>
  <c r="L253" i="16" s="1"/>
  <c r="P261" i="3"/>
  <c r="L261" i="16" s="1"/>
  <c r="P269" i="3"/>
  <c r="L269" i="16" s="1"/>
  <c r="P277" i="3"/>
  <c r="L277" i="16" s="1"/>
  <c r="P285" i="3"/>
  <c r="L285" i="16" s="1"/>
  <c r="P293" i="3"/>
  <c r="L293" i="16" s="1"/>
  <c r="P301" i="3"/>
  <c r="L301" i="16" s="1"/>
  <c r="D304" i="16"/>
  <c r="C305" i="16"/>
  <c r="D11" i="16"/>
  <c r="C12" i="16"/>
  <c r="H13" i="16"/>
  <c r="K15" i="16"/>
  <c r="D19" i="16"/>
  <c r="C20" i="16"/>
  <c r="H21" i="16"/>
  <c r="K23" i="16"/>
  <c r="D27" i="16"/>
  <c r="C28" i="16"/>
  <c r="H29" i="16"/>
  <c r="K31" i="16"/>
  <c r="C36" i="16"/>
  <c r="H37" i="16"/>
  <c r="K39" i="16"/>
  <c r="D43" i="16"/>
  <c r="C44" i="16"/>
  <c r="H45" i="16"/>
  <c r="K47" i="16"/>
  <c r="C52" i="16"/>
  <c r="H53" i="16"/>
  <c r="K55" i="16"/>
  <c r="D59" i="16"/>
  <c r="C60" i="16"/>
  <c r="H61" i="16"/>
  <c r="K63" i="16"/>
  <c r="C68" i="16"/>
  <c r="H69" i="16"/>
  <c r="K71" i="16"/>
  <c r="D75" i="16"/>
  <c r="C76" i="16"/>
  <c r="H77" i="16"/>
  <c r="K79" i="16"/>
  <c r="C84" i="16"/>
  <c r="H85" i="16"/>
  <c r="K87" i="16"/>
  <c r="D90" i="16"/>
  <c r="C91" i="16"/>
  <c r="H92" i="16"/>
  <c r="K94" i="16"/>
  <c r="C98" i="16"/>
  <c r="H99" i="16"/>
  <c r="K101" i="16"/>
  <c r="D105" i="16"/>
  <c r="C106" i="16"/>
  <c r="H107" i="16"/>
  <c r="K109" i="16"/>
  <c r="D113" i="16"/>
  <c r="C114" i="16"/>
  <c r="H115" i="16"/>
  <c r="K117" i="16"/>
  <c r="D121" i="16"/>
  <c r="C122" i="16"/>
  <c r="H123" i="16"/>
  <c r="K125" i="16"/>
  <c r="D129" i="16"/>
  <c r="C130" i="16"/>
  <c r="H131" i="16"/>
  <c r="K133" i="16"/>
  <c r="D137" i="16"/>
  <c r="C138" i="16"/>
  <c r="H139" i="16"/>
  <c r="K141" i="16"/>
  <c r="D145" i="16"/>
  <c r="C146" i="16"/>
  <c r="H147" i="16"/>
  <c r="K149" i="16"/>
  <c r="D153" i="16"/>
  <c r="C154" i="16"/>
  <c r="H155" i="16"/>
  <c r="K157" i="16"/>
  <c r="D161" i="16"/>
  <c r="C162" i="16"/>
  <c r="H163" i="16"/>
  <c r="K165" i="16"/>
  <c r="D169" i="16"/>
  <c r="C170" i="16"/>
  <c r="H171" i="16"/>
  <c r="K173" i="16"/>
  <c r="D177" i="16"/>
  <c r="C178" i="16"/>
  <c r="H179" i="16"/>
  <c r="K181" i="16"/>
  <c r="D185" i="16"/>
  <c r="C186" i="16"/>
  <c r="H187" i="16"/>
  <c r="K189" i="16"/>
  <c r="D193" i="16"/>
  <c r="C194" i="16"/>
  <c r="H195" i="16"/>
  <c r="K197" i="16"/>
  <c r="D201" i="16"/>
  <c r="C202" i="16"/>
  <c r="H203" i="16"/>
  <c r="K205" i="16"/>
  <c r="D209" i="16"/>
  <c r="C210" i="16"/>
  <c r="H211" i="16"/>
  <c r="K213" i="16"/>
  <c r="D217" i="16"/>
  <c r="C218" i="16"/>
  <c r="H219" i="16"/>
  <c r="D224" i="16"/>
  <c r="C225" i="16"/>
  <c r="H226" i="16"/>
  <c r="K228" i="16"/>
  <c r="D231" i="16"/>
  <c r="C232" i="16"/>
  <c r="H233" i="16"/>
  <c r="K235" i="16"/>
  <c r="D239" i="16"/>
  <c r="C240" i="16"/>
  <c r="H241" i="16"/>
  <c r="D303" i="16"/>
  <c r="C304" i="16"/>
  <c r="H305" i="16"/>
  <c r="P6" i="3"/>
  <c r="C10" i="16"/>
  <c r="H11" i="16"/>
  <c r="K13" i="16"/>
  <c r="P14" i="3"/>
  <c r="L14" i="16" s="1"/>
  <c r="D17" i="16"/>
  <c r="C18" i="16"/>
  <c r="H19" i="16"/>
  <c r="K21" i="16"/>
  <c r="P22" i="3"/>
  <c r="L22" i="16" s="1"/>
  <c r="D25" i="16"/>
  <c r="C26" i="16"/>
  <c r="H27" i="16"/>
  <c r="K29" i="16"/>
  <c r="P30" i="3"/>
  <c r="L30" i="16" s="1"/>
  <c r="D33" i="16"/>
  <c r="C34" i="16"/>
  <c r="H35" i="16"/>
  <c r="K37" i="16"/>
  <c r="P38" i="3"/>
  <c r="L38" i="16" s="1"/>
  <c r="D41" i="16"/>
  <c r="C42" i="16"/>
  <c r="H43" i="16"/>
  <c r="K45" i="16"/>
  <c r="P46" i="3"/>
  <c r="L46" i="16" s="1"/>
  <c r="D49" i="16"/>
  <c r="C50" i="16"/>
  <c r="H51" i="16"/>
  <c r="K53" i="16"/>
  <c r="P54" i="3"/>
  <c r="L54" i="16" s="1"/>
  <c r="D57" i="16"/>
  <c r="C58" i="16"/>
  <c r="H59" i="16"/>
  <c r="K61" i="16"/>
  <c r="P62" i="3"/>
  <c r="L62" i="16" s="1"/>
  <c r="D65" i="16"/>
  <c r="C66" i="16"/>
  <c r="H67" i="16"/>
  <c r="K69" i="16"/>
  <c r="P70" i="3"/>
  <c r="D73" i="16"/>
  <c r="C74" i="16"/>
  <c r="H75" i="16"/>
  <c r="K77" i="16"/>
  <c r="P78" i="3"/>
  <c r="L78" i="16" s="1"/>
  <c r="D81" i="16"/>
  <c r="C82" i="16"/>
  <c r="H83" i="16"/>
  <c r="K85" i="16"/>
  <c r="P86" i="3"/>
  <c r="H90" i="16"/>
  <c r="K92" i="16"/>
  <c r="P93" i="3"/>
  <c r="L93" i="16" s="1"/>
  <c r="D96" i="16"/>
  <c r="C97" i="16"/>
  <c r="K99" i="16"/>
  <c r="P100" i="3"/>
  <c r="L100" i="16" s="1"/>
  <c r="D103" i="16"/>
  <c r="C104" i="16"/>
  <c r="H105" i="16"/>
  <c r="K107" i="16"/>
  <c r="P108" i="3"/>
  <c r="L108" i="16" s="1"/>
  <c r="D111" i="16"/>
  <c r="H113" i="16"/>
  <c r="K115" i="16"/>
  <c r="P116" i="3"/>
  <c r="L116" i="16" s="1"/>
  <c r="D119" i="16"/>
  <c r="C120" i="16"/>
  <c r="H121" i="16"/>
  <c r="K123" i="16"/>
  <c r="P124" i="3"/>
  <c r="L124" i="16" s="1"/>
  <c r="D127" i="16"/>
  <c r="C128" i="16"/>
  <c r="H129" i="16"/>
  <c r="K131" i="16"/>
  <c r="P132" i="3"/>
  <c r="L132" i="16" s="1"/>
  <c r="D135" i="16"/>
  <c r="C136" i="16"/>
  <c r="H137" i="16"/>
  <c r="K139" i="16"/>
  <c r="P140" i="3"/>
  <c r="L140" i="16" s="1"/>
  <c r="D143" i="16"/>
  <c r="H145" i="16"/>
  <c r="K147" i="16"/>
  <c r="P148" i="3"/>
  <c r="L148" i="16" s="1"/>
  <c r="D151" i="16"/>
  <c r="C152" i="16"/>
  <c r="H153" i="16"/>
  <c r="K155" i="16"/>
  <c r="P156" i="3"/>
  <c r="L156" i="16" s="1"/>
  <c r="D159" i="16"/>
  <c r="C160" i="16"/>
  <c r="H161" i="16"/>
  <c r="K163" i="16"/>
  <c r="P164" i="3"/>
  <c r="D167" i="16"/>
  <c r="C168" i="16"/>
  <c r="H169" i="16"/>
  <c r="K171" i="16"/>
  <c r="P172" i="3"/>
  <c r="L172" i="16" s="1"/>
  <c r="D175" i="16"/>
  <c r="C176" i="16"/>
  <c r="H177" i="16"/>
  <c r="K179" i="16"/>
  <c r="P180" i="3"/>
  <c r="L180" i="16" s="1"/>
  <c r="D183" i="16"/>
  <c r="C184" i="16"/>
  <c r="H185" i="16"/>
  <c r="K187" i="16"/>
  <c r="P188" i="3"/>
  <c r="L188" i="16" s="1"/>
  <c r="D191" i="16"/>
  <c r="C192" i="16"/>
  <c r="H193" i="16"/>
  <c r="K195" i="16"/>
  <c r="P196" i="3"/>
  <c r="D199" i="16"/>
  <c r="C200" i="16"/>
  <c r="H201" i="16"/>
  <c r="K203" i="16"/>
  <c r="P204" i="3"/>
  <c r="L204" i="16" s="1"/>
  <c r="D207" i="16"/>
  <c r="C208" i="16"/>
  <c r="H209" i="16"/>
  <c r="K211" i="16"/>
  <c r="P212" i="3"/>
  <c r="L212" i="16" s="1"/>
  <c r="D215" i="16"/>
  <c r="C216" i="16"/>
  <c r="H217" i="16"/>
  <c r="K219" i="16"/>
  <c r="P220" i="3"/>
  <c r="L220" i="16" s="1"/>
  <c r="D222" i="16"/>
  <c r="C223" i="16"/>
  <c r="H224" i="16"/>
  <c r="K226" i="16"/>
  <c r="P227" i="3"/>
  <c r="L227" i="16" s="1"/>
  <c r="D230" i="16"/>
  <c r="H231" i="16"/>
  <c r="K233" i="16"/>
  <c r="P234" i="3"/>
  <c r="L234" i="16" s="1"/>
  <c r="D237" i="16"/>
  <c r="C238" i="16"/>
  <c r="H239" i="16"/>
  <c r="K241" i="16"/>
  <c r="P242" i="3"/>
  <c r="L242" i="16" s="1"/>
  <c r="P250" i="3"/>
  <c r="L250" i="16" s="1"/>
  <c r="P258" i="3"/>
  <c r="L258" i="16" s="1"/>
  <c r="P266" i="3"/>
  <c r="L266" i="16" s="1"/>
  <c r="P274" i="3"/>
  <c r="L274" i="16" s="1"/>
  <c r="P282" i="3"/>
  <c r="L282" i="16" s="1"/>
  <c r="P290" i="3"/>
  <c r="L290" i="16" s="1"/>
  <c r="P298" i="3"/>
  <c r="L298" i="16" s="1"/>
  <c r="C302" i="16"/>
  <c r="H303" i="16"/>
  <c r="K305" i="16"/>
  <c r="D8" i="16"/>
  <c r="H10" i="16"/>
  <c r="K12" i="16"/>
  <c r="D16" i="16"/>
  <c r="C17" i="16"/>
  <c r="H18" i="16"/>
  <c r="K20" i="16"/>
  <c r="D24" i="16"/>
  <c r="C25" i="16"/>
  <c r="H26" i="16"/>
  <c r="K28" i="16"/>
  <c r="D32" i="16"/>
  <c r="C33" i="16"/>
  <c r="H34" i="16"/>
  <c r="K36" i="16"/>
  <c r="D40" i="16"/>
  <c r="H42" i="16"/>
  <c r="K44" i="16"/>
  <c r="P45" i="3"/>
  <c r="L45" i="16" s="1"/>
  <c r="D48" i="16"/>
  <c r="C49" i="16"/>
  <c r="H50" i="16"/>
  <c r="K52" i="16"/>
  <c r="P53" i="3"/>
  <c r="L53" i="16" s="1"/>
  <c r="D56" i="16"/>
  <c r="H58" i="16"/>
  <c r="K60" i="16"/>
  <c r="P61" i="3"/>
  <c r="D64" i="16"/>
  <c r="C65" i="16"/>
  <c r="H66" i="16"/>
  <c r="K68" i="16"/>
  <c r="P69" i="3"/>
  <c r="D72" i="16"/>
  <c r="H74" i="16"/>
  <c r="K76" i="16"/>
  <c r="P77" i="3"/>
  <c r="D80" i="16"/>
  <c r="C81" i="16"/>
  <c r="H82" i="16"/>
  <c r="K84" i="16"/>
  <c r="P85" i="3"/>
  <c r="L85" i="16" s="1"/>
  <c r="D88" i="16"/>
  <c r="H89" i="16"/>
  <c r="K91" i="16"/>
  <c r="P92" i="3"/>
  <c r="L92" i="16" s="1"/>
  <c r="D95" i="16"/>
  <c r="C96" i="16"/>
  <c r="H97" i="16"/>
  <c r="K98" i="16"/>
  <c r="P99" i="3"/>
  <c r="L99" i="16" s="1"/>
  <c r="D102" i="16"/>
  <c r="C103" i="16"/>
  <c r="H104" i="16"/>
  <c r="K106" i="16"/>
  <c r="P107" i="3"/>
  <c r="L107" i="16" s="1"/>
  <c r="D110" i="16"/>
  <c r="C111" i="16"/>
  <c r="H112" i="16"/>
  <c r="K114" i="16"/>
  <c r="P115" i="3"/>
  <c r="L115" i="16" s="1"/>
  <c r="D118" i="16"/>
  <c r="C119" i="16"/>
  <c r="H120" i="16"/>
  <c r="K122" i="16"/>
  <c r="P123" i="3"/>
  <c r="L123" i="16" s="1"/>
  <c r="D126" i="16"/>
  <c r="C127" i="16"/>
  <c r="H128" i="16"/>
  <c r="K130" i="16"/>
  <c r="P131" i="3"/>
  <c r="L131" i="16" s="1"/>
  <c r="C135" i="16"/>
  <c r="H136" i="16"/>
  <c r="K138" i="16"/>
  <c r="P139" i="3"/>
  <c r="L139" i="16" s="1"/>
  <c r="D142" i="16"/>
  <c r="C143" i="16"/>
  <c r="H144" i="16"/>
  <c r="K146" i="16"/>
  <c r="P147" i="3"/>
  <c r="L147" i="16" s="1"/>
  <c r="D150" i="16"/>
  <c r="C151" i="16"/>
  <c r="H152" i="16"/>
  <c r="K154" i="16"/>
  <c r="P155" i="3"/>
  <c r="L155" i="16" s="1"/>
  <c r="D158" i="16"/>
  <c r="C159" i="16"/>
  <c r="H160" i="16"/>
  <c r="K162" i="16"/>
  <c r="P163" i="3"/>
  <c r="L163" i="16" s="1"/>
  <c r="D166" i="16"/>
  <c r="C167" i="16"/>
  <c r="H168" i="16"/>
  <c r="K170" i="16"/>
  <c r="P171" i="3"/>
  <c r="L171" i="16" s="1"/>
  <c r="D174" i="16"/>
  <c r="C175" i="16"/>
  <c r="H176" i="16"/>
  <c r="K178" i="16"/>
  <c r="P179" i="3"/>
  <c r="L179" i="16" s="1"/>
  <c r="D182" i="16"/>
  <c r="C183" i="16"/>
  <c r="H184" i="16"/>
  <c r="K186" i="16"/>
  <c r="P187" i="3"/>
  <c r="D190" i="16"/>
  <c r="C191" i="16"/>
  <c r="H192" i="16"/>
  <c r="K194" i="16"/>
  <c r="P195" i="3"/>
  <c r="L195" i="16" s="1"/>
  <c r="D198" i="16"/>
  <c r="C199" i="16"/>
  <c r="H200" i="16"/>
  <c r="K202" i="16"/>
  <c r="P203" i="3"/>
  <c r="L203" i="16" s="1"/>
  <c r="D206" i="16"/>
  <c r="C207" i="16"/>
  <c r="H208" i="16"/>
  <c r="K210" i="16"/>
  <c r="P211" i="3"/>
  <c r="L211" i="16" s="1"/>
  <c r="D214" i="16"/>
  <c r="C215" i="16"/>
  <c r="H216" i="16"/>
  <c r="K218" i="16"/>
  <c r="P219" i="3"/>
  <c r="L219" i="16" s="1"/>
  <c r="D221" i="16"/>
  <c r="C222" i="16"/>
  <c r="H223" i="16"/>
  <c r="K225" i="16"/>
  <c r="P226" i="3"/>
  <c r="L226" i="16" s="1"/>
  <c r="D229" i="16"/>
  <c r="C230" i="16"/>
  <c r="K232" i="16"/>
  <c r="P233" i="3"/>
  <c r="L233" i="16" s="1"/>
  <c r="D236" i="16"/>
  <c r="C237" i="16"/>
  <c r="H238" i="16"/>
  <c r="K240" i="16"/>
  <c r="P241" i="3"/>
  <c r="L241" i="16" s="1"/>
  <c r="P249" i="3"/>
  <c r="L249" i="16" s="1"/>
  <c r="P257" i="3"/>
  <c r="L257" i="16" s="1"/>
  <c r="P265" i="3"/>
  <c r="L265" i="16" s="1"/>
  <c r="P273" i="3"/>
  <c r="L273" i="16" s="1"/>
  <c r="P281" i="3"/>
  <c r="L281" i="16" s="1"/>
  <c r="P289" i="3"/>
  <c r="L289" i="16" s="1"/>
  <c r="P297" i="3"/>
  <c r="L297" i="16" s="1"/>
  <c r="H302" i="16"/>
  <c r="K304" i="16"/>
  <c r="P305" i="3"/>
  <c r="L305" i="16" s="1"/>
  <c r="K98" i="19" l="1"/>
  <c r="J98" i="19"/>
  <c r="K99" i="19"/>
  <c r="J99" i="19"/>
  <c r="K97" i="19"/>
  <c r="J97" i="19"/>
  <c r="K96" i="19"/>
  <c r="J96" i="19"/>
  <c r="H5" i="21"/>
  <c r="D221" i="21"/>
  <c r="L5" i="21" s="1"/>
  <c r="J95" i="19"/>
  <c r="K95" i="19"/>
  <c r="K94" i="19"/>
  <c r="J94" i="19"/>
  <c r="K93" i="19"/>
  <c r="J93" i="19"/>
  <c r="P3" i="3"/>
  <c r="K92" i="19"/>
  <c r="J92" i="19"/>
  <c r="K91" i="19"/>
  <c r="J91" i="19"/>
  <c r="K90" i="19"/>
  <c r="J90" i="19"/>
  <c r="K89" i="19"/>
  <c r="J89" i="19"/>
  <c r="K88" i="19"/>
  <c r="J88" i="19"/>
  <c r="J84" i="19"/>
  <c r="K84" i="19"/>
  <c r="D107" i="38"/>
  <c r="F107" i="38" s="1"/>
  <c r="K85" i="19"/>
  <c r="J85" i="19"/>
  <c r="K86" i="19"/>
  <c r="J86" i="19"/>
  <c r="K87" i="19"/>
  <c r="J87" i="19"/>
  <c r="K83" i="19"/>
  <c r="J83" i="19"/>
  <c r="K82" i="19"/>
  <c r="J82" i="19"/>
  <c r="J81" i="19"/>
  <c r="K81" i="19"/>
  <c r="K80" i="19"/>
  <c r="J80" i="19"/>
  <c r="K79" i="19"/>
  <c r="J79" i="19"/>
  <c r="J78" i="19"/>
  <c r="K78" i="19"/>
  <c r="K76" i="19"/>
  <c r="J76" i="19"/>
  <c r="K77" i="19"/>
  <c r="J77" i="19"/>
  <c r="K75" i="19"/>
  <c r="J75" i="19"/>
  <c r="K74" i="19"/>
  <c r="J74" i="19"/>
  <c r="J73" i="19"/>
  <c r="K73" i="19"/>
  <c r="K72" i="19"/>
  <c r="J72" i="19"/>
  <c r="K71" i="19"/>
  <c r="J71" i="19"/>
  <c r="K70" i="19"/>
  <c r="J70" i="19"/>
  <c r="K69" i="19"/>
  <c r="J69" i="19"/>
  <c r="K68" i="19"/>
  <c r="J68" i="19"/>
  <c r="K67" i="19"/>
  <c r="J67" i="19"/>
  <c r="K65" i="19"/>
  <c r="J65" i="19"/>
  <c r="K66" i="19"/>
  <c r="J66" i="19"/>
  <c r="K62" i="19"/>
  <c r="J62" i="19"/>
  <c r="K63" i="19"/>
  <c r="J63" i="19"/>
  <c r="K64" i="19"/>
  <c r="J64" i="19"/>
  <c r="K61" i="19"/>
  <c r="J61" i="19"/>
  <c r="K60" i="19"/>
  <c r="J60" i="19"/>
  <c r="K59" i="19"/>
  <c r="J59" i="19"/>
  <c r="K58" i="19"/>
  <c r="J58" i="19"/>
  <c r="J57" i="19"/>
  <c r="K57" i="19"/>
  <c r="K56" i="19"/>
  <c r="J56" i="19"/>
  <c r="K53" i="19"/>
  <c r="J53" i="19"/>
  <c r="K54" i="19"/>
  <c r="J54" i="19"/>
  <c r="K55" i="19"/>
  <c r="J55" i="19"/>
  <c r="K39" i="19"/>
  <c r="J39" i="19"/>
  <c r="K40" i="19"/>
  <c r="J40" i="19"/>
  <c r="J41" i="19"/>
  <c r="K41" i="19"/>
  <c r="K42" i="19"/>
  <c r="J42" i="19"/>
  <c r="K43" i="19"/>
  <c r="J43" i="19"/>
  <c r="K44" i="19"/>
  <c r="J44" i="19"/>
  <c r="K45" i="19"/>
  <c r="J45" i="19"/>
  <c r="K46" i="19"/>
  <c r="J46" i="19"/>
  <c r="K47" i="19"/>
  <c r="J47" i="19"/>
  <c r="K48" i="19"/>
  <c r="J48" i="19"/>
  <c r="J49" i="19"/>
  <c r="K49" i="19"/>
  <c r="K50" i="19"/>
  <c r="J50" i="19"/>
  <c r="K51" i="19"/>
  <c r="J51" i="19"/>
  <c r="K52" i="19"/>
  <c r="J52" i="19"/>
  <c r="K38" i="19"/>
  <c r="J38" i="19"/>
  <c r="K36" i="19"/>
  <c r="J36" i="19"/>
  <c r="K37" i="19"/>
  <c r="J37" i="19"/>
  <c r="J34" i="19"/>
  <c r="K34" i="19"/>
  <c r="K35" i="19"/>
  <c r="J35" i="19"/>
  <c r="J33" i="19"/>
  <c r="K33" i="19"/>
  <c r="K32" i="19"/>
  <c r="J32" i="19"/>
  <c r="K31" i="19"/>
  <c r="J31" i="19"/>
  <c r="K30" i="19"/>
  <c r="J30" i="19"/>
  <c r="J28" i="19"/>
  <c r="K28" i="19"/>
  <c r="K29" i="19"/>
  <c r="J29" i="19"/>
  <c r="J27" i="19"/>
  <c r="K27" i="19"/>
  <c r="K297" i="9"/>
  <c r="J297" i="9"/>
  <c r="K281" i="9"/>
  <c r="J281" i="9"/>
  <c r="K267" i="9"/>
  <c r="J267" i="9"/>
  <c r="K5" i="9"/>
  <c r="J5" i="9"/>
  <c r="K275" i="9"/>
  <c r="J275" i="9"/>
  <c r="K261" i="9"/>
  <c r="J261" i="9"/>
  <c r="K270" i="9"/>
  <c r="J270" i="9"/>
  <c r="K254" i="9"/>
  <c r="J254" i="9"/>
  <c r="K291" i="9"/>
  <c r="J291" i="9"/>
  <c r="K298" i="9"/>
  <c r="J298" i="9"/>
  <c r="K282" i="9"/>
  <c r="J282" i="9"/>
  <c r="K255" i="9"/>
  <c r="J255" i="9"/>
  <c r="K86" i="9"/>
  <c r="J86" i="9"/>
  <c r="K70" i="9"/>
  <c r="J70" i="9"/>
  <c r="K54" i="9"/>
  <c r="J54" i="9"/>
  <c r="K38" i="9"/>
  <c r="J38" i="9"/>
  <c r="K253" i="9"/>
  <c r="J253" i="9"/>
  <c r="K301" i="9"/>
  <c r="J301" i="9"/>
  <c r="K285" i="9"/>
  <c r="J285" i="9"/>
  <c r="K263" i="9"/>
  <c r="J263" i="9"/>
  <c r="K258" i="9"/>
  <c r="J258" i="9"/>
  <c r="K242" i="9"/>
  <c r="J242" i="9"/>
  <c r="K251" i="9"/>
  <c r="J251" i="9"/>
  <c r="K295" i="9"/>
  <c r="J295" i="9"/>
  <c r="K269" i="9"/>
  <c r="J269" i="9"/>
  <c r="K286" i="9"/>
  <c r="J286" i="9"/>
  <c r="K249" i="9"/>
  <c r="J249" i="9"/>
  <c r="K289" i="9"/>
  <c r="J289" i="9"/>
  <c r="K273" i="9"/>
  <c r="J273" i="9"/>
  <c r="K271" i="9"/>
  <c r="J271" i="9"/>
  <c r="K243" i="9"/>
  <c r="J243" i="9"/>
  <c r="K262" i="9"/>
  <c r="J262" i="9"/>
  <c r="K246" i="9"/>
  <c r="J246" i="9"/>
  <c r="K279" i="9"/>
  <c r="J279" i="9"/>
  <c r="K290" i="9"/>
  <c r="J290" i="9"/>
  <c r="K274" i="9"/>
  <c r="J274" i="9"/>
  <c r="K283" i="9"/>
  <c r="J283" i="9"/>
  <c r="K293" i="9"/>
  <c r="J293" i="9"/>
  <c r="K277" i="9"/>
  <c r="J277" i="9"/>
  <c r="K265" i="9"/>
  <c r="J265" i="9"/>
  <c r="K266" i="9"/>
  <c r="J266" i="9"/>
  <c r="K250" i="9"/>
  <c r="J250" i="9"/>
  <c r="K299" i="9"/>
  <c r="J299" i="9"/>
  <c r="K287" i="9"/>
  <c r="J287" i="9"/>
  <c r="K294" i="9"/>
  <c r="J294" i="9"/>
  <c r="K278" i="9"/>
  <c r="J278" i="9"/>
  <c r="K259" i="9"/>
  <c r="J259" i="9"/>
  <c r="K247" i="9"/>
  <c r="J247" i="9"/>
  <c r="K257" i="9"/>
  <c r="J257" i="9"/>
  <c r="K245" i="9"/>
  <c r="J245" i="9"/>
  <c r="K7" i="9"/>
  <c r="J7" i="9"/>
  <c r="P7" i="19"/>
  <c r="L292" i="16"/>
  <c r="D132" i="38"/>
  <c r="F132" i="38" s="1"/>
  <c r="L247" i="16"/>
  <c r="D131" i="38"/>
  <c r="F131" i="38" s="1"/>
  <c r="L244" i="16"/>
  <c r="D130" i="38"/>
  <c r="F130" i="38" s="1"/>
  <c r="L299" i="16"/>
  <c r="D133" i="38"/>
  <c r="F133" i="38" s="1"/>
  <c r="K26" i="19"/>
  <c r="J26" i="19"/>
  <c r="L153" i="20"/>
  <c r="K24" i="19"/>
  <c r="J24" i="19"/>
  <c r="J7" i="19"/>
  <c r="K7" i="19"/>
  <c r="P3" i="18"/>
  <c r="K20" i="19"/>
  <c r="J20" i="19"/>
  <c r="K17" i="19"/>
  <c r="J17" i="19"/>
  <c r="K9" i="19"/>
  <c r="J9" i="19"/>
  <c r="J23" i="19"/>
  <c r="K23" i="19"/>
  <c r="K14" i="19"/>
  <c r="J14" i="19"/>
  <c r="K5" i="19"/>
  <c r="J5" i="19"/>
  <c r="K16" i="19"/>
  <c r="J16" i="19"/>
  <c r="K19" i="19"/>
  <c r="J19" i="19"/>
  <c r="K18" i="19"/>
  <c r="J18" i="19"/>
  <c r="K21" i="19"/>
  <c r="J21" i="19"/>
  <c r="K12" i="19"/>
  <c r="J12" i="19"/>
  <c r="K10" i="19"/>
  <c r="J10" i="19"/>
  <c r="K22" i="19"/>
  <c r="J22" i="19"/>
  <c r="P157" i="18"/>
  <c r="J15" i="19"/>
  <c r="K15" i="19"/>
  <c r="K6" i="19"/>
  <c r="J6" i="19"/>
  <c r="K11" i="19"/>
  <c r="J11" i="19"/>
  <c r="K13" i="19"/>
  <c r="J13" i="19"/>
  <c r="K8" i="19"/>
  <c r="J8" i="19"/>
  <c r="F154" i="19"/>
  <c r="I25" i="19"/>
  <c r="H25" i="19"/>
  <c r="E154" i="19"/>
  <c r="M17" i="10"/>
  <c r="L17" i="10"/>
  <c r="N17" i="10"/>
  <c r="L278" i="16"/>
  <c r="D105" i="38"/>
  <c r="F105" i="38" s="1"/>
  <c r="L276" i="16"/>
  <c r="D18" i="38"/>
  <c r="F18" i="38" s="1"/>
  <c r="L238" i="16"/>
  <c r="D129" i="38"/>
  <c r="F129" i="38" s="1"/>
  <c r="L166" i="16"/>
  <c r="D126" i="38"/>
  <c r="F126" i="38" s="1"/>
  <c r="L153" i="16"/>
  <c r="D125" i="38"/>
  <c r="F125" i="38" s="1"/>
  <c r="L59" i="16"/>
  <c r="D123" i="38"/>
  <c r="F123" i="38" s="1"/>
  <c r="L225" i="16"/>
  <c r="D128" i="38"/>
  <c r="F128" i="38" s="1"/>
  <c r="L205" i="16"/>
  <c r="D127" i="38"/>
  <c r="F127" i="38" s="1"/>
  <c r="L152" i="16"/>
  <c r="D124" i="38"/>
  <c r="F124" i="38" s="1"/>
  <c r="L11" i="16"/>
  <c r="D122" i="38"/>
  <c r="F122" i="38" s="1"/>
  <c r="D94" i="38"/>
  <c r="F94" i="38" s="1"/>
  <c r="D54" i="38"/>
  <c r="F54" i="38" s="1"/>
  <c r="D25" i="38"/>
  <c r="F25" i="38" s="1"/>
  <c r="L8" i="10"/>
  <c r="M8" i="10"/>
  <c r="D91" i="38"/>
  <c r="F91" i="38" s="1"/>
  <c r="O7" i="9"/>
  <c r="P395" i="3"/>
  <c r="D103" i="38"/>
  <c r="F103" i="38" s="1"/>
  <c r="Q7" i="9"/>
  <c r="L77" i="16"/>
  <c r="D10" i="38"/>
  <c r="F10" i="38" s="1"/>
  <c r="L61" i="16"/>
  <c r="D8" i="38"/>
  <c r="L138" i="16"/>
  <c r="D76" i="38"/>
  <c r="F76" i="38" s="1"/>
  <c r="L80" i="16"/>
  <c r="D21" i="38"/>
  <c r="F21" i="38" s="1"/>
  <c r="L81" i="16"/>
  <c r="D9" i="38"/>
  <c r="F9" i="38" s="1"/>
  <c r="L86" i="16"/>
  <c r="D102" i="38"/>
  <c r="F102" i="38" s="1"/>
  <c r="L6" i="16"/>
  <c r="D37" i="38"/>
  <c r="F37" i="38" s="1"/>
  <c r="L70" i="16"/>
  <c r="D80" i="38"/>
  <c r="F80" i="38" s="1"/>
  <c r="L164" i="16"/>
  <c r="D12" i="38"/>
  <c r="F12" i="38" s="1"/>
  <c r="L48" i="16"/>
  <c r="D44" i="38"/>
  <c r="F44" i="38" s="1"/>
  <c r="L187" i="16"/>
  <c r="D15" i="38"/>
  <c r="F15" i="38" s="1"/>
  <c r="L196" i="16"/>
  <c r="D111" i="38"/>
  <c r="F111" i="38" s="1"/>
  <c r="F349" i="9"/>
  <c r="L222" i="16"/>
  <c r="D41" i="38"/>
  <c r="F41" i="38" s="1"/>
  <c r="E349" i="9"/>
  <c r="L69" i="16"/>
  <c r="D28" i="38"/>
  <c r="F28" i="38" s="1"/>
  <c r="L88" i="16"/>
  <c r="D88" i="38"/>
  <c r="F88" i="38" s="1"/>
  <c r="L66" i="16"/>
  <c r="D92" i="38"/>
  <c r="F92" i="38" s="1"/>
  <c r="N8" i="10"/>
  <c r="P5" i="21" l="1"/>
  <c r="AC5" i="13" s="1"/>
  <c r="L395" i="16"/>
  <c r="I154" i="19"/>
  <c r="Q7" i="19"/>
  <c r="K25" i="19"/>
  <c r="K154" i="19" s="1"/>
  <c r="J25" i="19"/>
  <c r="J154" i="19" s="1"/>
  <c r="H154" i="19"/>
  <c r="M5" i="21"/>
  <c r="Q5" i="21" s="1"/>
  <c r="F8" i="38"/>
  <c r="F141" i="38" s="1"/>
  <c r="D141" i="38"/>
  <c r="H349" i="9"/>
  <c r="K349" i="9"/>
  <c r="J349" i="9"/>
  <c r="I349" i="9"/>
  <c r="P7" i="9"/>
  <c r="AB5" i="13" l="1"/>
  <c r="P6" i="19"/>
  <c r="O6" i="19"/>
  <c r="Q5" i="19"/>
  <c r="P5" i="19"/>
  <c r="O5" i="19"/>
  <c r="O5" i="9"/>
  <c r="Q5" i="9"/>
  <c r="P5" i="9"/>
  <c r="P6" i="9"/>
  <c r="O6" i="9"/>
  <c r="P8" i="19" l="1"/>
  <c r="O8" i="19"/>
  <c r="P8" i="9"/>
  <c r="O8" i="9"/>
  <c r="O9" i="19" l="1"/>
  <c r="P9" i="19"/>
  <c r="Y5" i="13"/>
  <c r="O9" i="9"/>
  <c r="Z5" i="13"/>
  <c r="AF5" i="13" s="1"/>
  <c r="AF7" i="13" s="1"/>
  <c r="P9" i="9"/>
  <c r="AE5" i="13" l="1"/>
  <c r="AE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 la mitad del campo</t>
        </r>
      </text>
    </comment>
    <comment ref="H1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Falta completar el campo</t>
        </r>
      </text>
    </comment>
    <comment ref="H18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48 girasol + 20 soja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Valor Puntual/Valor General</t>
        </r>
      </text>
    </comment>
    <comment ref="E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Ranger</t>
        </r>
      </text>
    </comment>
    <comment ref="E5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Strada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Combustible YPF</t>
        </r>
      </text>
    </comment>
    <comment ref="D4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Combustible PUMA</t>
        </r>
      </text>
    </comment>
    <comment ref="D4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  <comment ref="D6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Combustible La Barrosa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Gasoil de $1646 a 0,3 lt/km</t>
        </r>
      </text>
    </comment>
    <comment ref="F9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Estan incluidos en los 276 km del 30-09</t>
        </r>
      </text>
    </comment>
  </commentList>
</comments>
</file>

<file path=xl/sharedStrings.xml><?xml version="1.0" encoding="utf-8"?>
<sst xmlns="http://schemas.openxmlformats.org/spreadsheetml/2006/main" count="2563" uniqueCount="523">
  <si>
    <t>Fecha</t>
  </si>
  <si>
    <t>Distancia</t>
  </si>
  <si>
    <t>$/Km</t>
  </si>
  <si>
    <t>Importe</t>
  </si>
  <si>
    <t xml:space="preserve"> </t>
  </si>
  <si>
    <t>Subtotal</t>
  </si>
  <si>
    <t>Cliente</t>
  </si>
  <si>
    <t>$/Ha</t>
  </si>
  <si>
    <t>Establecimiento</t>
  </si>
  <si>
    <t>Total</t>
  </si>
  <si>
    <t>Paco</t>
  </si>
  <si>
    <t>Tomas</t>
  </si>
  <si>
    <t xml:space="preserve">Zoom </t>
  </si>
  <si>
    <t>Trabajo</t>
  </si>
  <si>
    <t>Zoom</t>
  </si>
  <si>
    <t>Movilidad</t>
  </si>
  <si>
    <t>Fecha trabajo</t>
  </si>
  <si>
    <t xml:space="preserve">Asignacion </t>
  </si>
  <si>
    <t xml:space="preserve">Paco </t>
  </si>
  <si>
    <t>Hectareas</t>
  </si>
  <si>
    <t>Proporcion</t>
  </si>
  <si>
    <t>Asignacion Trabajo</t>
  </si>
  <si>
    <t>Viaticos</t>
  </si>
  <si>
    <t>Asignacion Ingreso</t>
  </si>
  <si>
    <t>Impuesto</t>
  </si>
  <si>
    <t>Despues de impuestos</t>
  </si>
  <si>
    <t>Asignacion Empresa</t>
  </si>
  <si>
    <t>Tipo de trabajo</t>
  </si>
  <si>
    <t>Trabajos</t>
  </si>
  <si>
    <t>Cod. Cliente</t>
  </si>
  <si>
    <t>Cod. Trabajo</t>
  </si>
  <si>
    <t>Muestreo de suelos</t>
  </si>
  <si>
    <t>Monitoreo de bb y bab</t>
  </si>
  <si>
    <t>Aplicación de cebos</t>
  </si>
  <si>
    <t>Vehiculo</t>
  </si>
  <si>
    <t>Codigo Clientes</t>
  </si>
  <si>
    <t>Codigo Trabajos</t>
  </si>
  <si>
    <t>Codigo Vehiculos</t>
  </si>
  <si>
    <t>Cod. Vehiculo</t>
  </si>
  <si>
    <t>Código</t>
  </si>
  <si>
    <t>Asignación</t>
  </si>
  <si>
    <t>Superficie</t>
  </si>
  <si>
    <t>Diferencia</t>
  </si>
  <si>
    <t>Km cobrados</t>
  </si>
  <si>
    <t>Km recorridos</t>
  </si>
  <si>
    <t>Auto</t>
  </si>
  <si>
    <t>Suma de km recorridos</t>
  </si>
  <si>
    <t>Viajes</t>
  </si>
  <si>
    <t>Concepto</t>
  </si>
  <si>
    <t>Saldo en km</t>
  </si>
  <si>
    <t>Saldo en $</t>
  </si>
  <si>
    <t>Referencias</t>
  </si>
  <si>
    <t>Aporte</t>
  </si>
  <si>
    <t>Periodo</t>
  </si>
  <si>
    <t>Gastos</t>
  </si>
  <si>
    <t>Para</t>
  </si>
  <si>
    <t>De</t>
  </si>
  <si>
    <t>Facturado</t>
  </si>
  <si>
    <t xml:space="preserve">Ingresos  </t>
  </si>
  <si>
    <t>Movimientos</t>
  </si>
  <si>
    <t>Ingreso por facturacion</t>
  </si>
  <si>
    <t>Saldo movimientos</t>
  </si>
  <si>
    <t>Campo</t>
  </si>
  <si>
    <t>Precio</t>
  </si>
  <si>
    <t>Daniel Lanz</t>
  </si>
  <si>
    <t>Land Management</t>
  </si>
  <si>
    <t>Martin Santamaria</t>
  </si>
  <si>
    <t>Agrar del Sur</t>
  </si>
  <si>
    <t xml:space="preserve">Ingreso </t>
  </si>
  <si>
    <t>Empleado</t>
  </si>
  <si>
    <t>Valor</t>
  </si>
  <si>
    <t>Jornada</t>
  </si>
  <si>
    <t>Nombre</t>
  </si>
  <si>
    <t>Empleados</t>
  </si>
  <si>
    <t>Alberto Oscar Moran</t>
  </si>
  <si>
    <t>Carlos Fernando Fuertes</t>
  </si>
  <si>
    <t>Los Tuelches</t>
  </si>
  <si>
    <t>Lucrecia Casa</t>
  </si>
  <si>
    <t>Mariano Alfonso</t>
  </si>
  <si>
    <t>Raul Maitia</t>
  </si>
  <si>
    <t>Juan Carlos Rey</t>
  </si>
  <si>
    <t>Piray Mini</t>
  </si>
  <si>
    <t>Domingo Massigoge</t>
  </si>
  <si>
    <t>Esteban Dominguez</t>
  </si>
  <si>
    <t>Detalle Trabajos</t>
  </si>
  <si>
    <t>Nugas S.A.</t>
  </si>
  <si>
    <t>Hugo Pascual</t>
  </si>
  <si>
    <t>Tibus S.A.</t>
  </si>
  <si>
    <t>Cosechas del Sur S.R.L.</t>
  </si>
  <si>
    <t>Oxagro S.A.</t>
  </si>
  <si>
    <t>Nueva Huella S.R.L.</t>
  </si>
  <si>
    <t>Biocrop S.A.</t>
  </si>
  <si>
    <t>Agroproductos</t>
  </si>
  <si>
    <t>Seguimiento de cultivos</t>
  </si>
  <si>
    <t>Control de cosecha</t>
  </si>
  <si>
    <t>Dia</t>
  </si>
  <si>
    <t>$/dia</t>
  </si>
  <si>
    <t>Dias</t>
  </si>
  <si>
    <t>Cliente-Establecimiento</t>
  </si>
  <si>
    <t>La Gloriosa S.A.</t>
  </si>
  <si>
    <t>Cofina Agro</t>
  </si>
  <si>
    <t>Parceiros Sul America S.A.</t>
  </si>
  <si>
    <t>Estancia San Pedro S.A.</t>
  </si>
  <si>
    <t>Sebastian Pascualini</t>
  </si>
  <si>
    <t>Asignacion Gastos</t>
  </si>
  <si>
    <t>Espartina S.A.</t>
  </si>
  <si>
    <t>Cuantificacion pasturas</t>
  </si>
  <si>
    <t>Garfin Agro S.A.</t>
  </si>
  <si>
    <t>SALDO</t>
  </si>
  <si>
    <t>Federico Sturla</t>
  </si>
  <si>
    <t>Saldo ingreso</t>
  </si>
  <si>
    <t>Empresa</t>
  </si>
  <si>
    <t>Comun</t>
  </si>
  <si>
    <t>Don Balbino</t>
  </si>
  <si>
    <t>Personas</t>
  </si>
  <si>
    <t>Julio Bertoloto</t>
  </si>
  <si>
    <t>Fabian Trama</t>
  </si>
  <si>
    <t>Km</t>
  </si>
  <si>
    <t>Cresud S.A.C.I.F y A</t>
  </si>
  <si>
    <t>Juan Carlos Naveira</t>
  </si>
  <si>
    <t>Anuitt S.R.L</t>
  </si>
  <si>
    <t>Cía. de Tierras Sud Argentino S.A.</t>
  </si>
  <si>
    <t>Francisco Hernandez</t>
  </si>
  <si>
    <t>Seguimiento NDVI</t>
  </si>
  <si>
    <t>Guillermo Pugliese</t>
  </si>
  <si>
    <t>Ambientacion NDVI</t>
  </si>
  <si>
    <t>Diesil S.A.</t>
  </si>
  <si>
    <t>Saldos</t>
  </si>
  <si>
    <t>Saldo</t>
  </si>
  <si>
    <t>Cobrado</t>
  </si>
  <si>
    <t>Km cobr. correg.</t>
  </si>
  <si>
    <t>Agrogenerales S.A.</t>
  </si>
  <si>
    <t>Enrique Dieguez</t>
  </si>
  <si>
    <t>Leonardo Torres</t>
  </si>
  <si>
    <t>Federico Montes</t>
  </si>
  <si>
    <t>Eduardo Diaz</t>
  </si>
  <si>
    <t>Sebastian Martos</t>
  </si>
  <si>
    <t>Purtierra</t>
  </si>
  <si>
    <t>Campo Maipu S.A.</t>
  </si>
  <si>
    <t>Advanta</t>
  </si>
  <si>
    <t>Moro Hue S.A.</t>
  </si>
  <si>
    <t>Guillermo Pailhe</t>
  </si>
  <si>
    <t>Francisco Lopez e Ignacio Riccillo</t>
  </si>
  <si>
    <t>Eduardo Fernandino</t>
  </si>
  <si>
    <t>Integral Saneamiento S.R.L.</t>
  </si>
  <si>
    <t>Genova Maire S.A.</t>
  </si>
  <si>
    <t>Forner Hnos y Cia S.A.</t>
  </si>
  <si>
    <t>Ingreso percibido</t>
  </si>
  <si>
    <t>1-09 al 31-08</t>
  </si>
  <si>
    <t>Ingreso total a percibir</t>
  </si>
  <si>
    <t>Cuatro Lagunas S.A.</t>
  </si>
  <si>
    <t>Luis Maria Urabayen</t>
  </si>
  <si>
    <t>Leonardo Diaz</t>
  </si>
  <si>
    <t>Mackrey Agropecuaria</t>
  </si>
  <si>
    <t>Isaura S.A.</t>
  </si>
  <si>
    <t>Juan Echevarria</t>
  </si>
  <si>
    <t>Campazu</t>
  </si>
  <si>
    <t>La Angelita S.A.</t>
  </si>
  <si>
    <t>Facundo Rojo</t>
  </si>
  <si>
    <t>Martin De Luca</t>
  </si>
  <si>
    <t>IVA</t>
  </si>
  <si>
    <t>Gastos - Credito Fiscal</t>
  </si>
  <si>
    <t>Ingresos - Debito Fiscal</t>
  </si>
  <si>
    <t>Fechas</t>
  </si>
  <si>
    <t>Saldo IVA</t>
  </si>
  <si>
    <t>Pagado</t>
  </si>
  <si>
    <t>Persona</t>
  </si>
  <si>
    <t>Alejandro Massigoge</t>
  </si>
  <si>
    <t>Nestor Agüero</t>
  </si>
  <si>
    <t>Facundo Kaplun</t>
  </si>
  <si>
    <t>La Mylucha</t>
  </si>
  <si>
    <t>Alejandro Petrantonio</t>
  </si>
  <si>
    <t>El Regalo</t>
  </si>
  <si>
    <t>Jose Massigoge</t>
  </si>
  <si>
    <t>Bruno Fioriti</t>
  </si>
  <si>
    <t xml:space="preserve">Nestor Scheggia </t>
  </si>
  <si>
    <t>Federico Bilbao</t>
  </si>
  <si>
    <t>Economart SRL</t>
  </si>
  <si>
    <t>Yui S.A.</t>
  </si>
  <si>
    <t>Wendelin S.A.</t>
  </si>
  <si>
    <t>Santiago Chevalier</t>
  </si>
  <si>
    <t>Cristian Rybner</t>
  </si>
  <si>
    <t>Movilidad no cobrada</t>
  </si>
  <si>
    <t>Juan Manuel Mateos</t>
  </si>
  <si>
    <t>Eduardo Nasurdi</t>
  </si>
  <si>
    <t>Control de carga</t>
  </si>
  <si>
    <t>Horacio Farengo</t>
  </si>
  <si>
    <t>Domingo y Nestor Scioli</t>
  </si>
  <si>
    <t>Austral Store</t>
  </si>
  <si>
    <t>La Nany S.A.</t>
  </si>
  <si>
    <t>Baltan Agropecuaria</t>
  </si>
  <si>
    <t>Ignacio Ridao</t>
  </si>
  <si>
    <t>Impuestos</t>
  </si>
  <si>
    <t>Jose Echeverria e Hijos</t>
  </si>
  <si>
    <t>Walter Ingenieri</t>
  </si>
  <si>
    <t>Miron y Alfonso/Iocco Palladino</t>
  </si>
  <si>
    <t>Alfredo Hitce</t>
  </si>
  <si>
    <t>Miguel Rybar</t>
  </si>
  <si>
    <t>Abelardo Hansen</t>
  </si>
  <si>
    <t>La Mezquita-La Mostaza</t>
  </si>
  <si>
    <t>Carlos Riccillo</t>
  </si>
  <si>
    <t>Javier Vidaguren</t>
  </si>
  <si>
    <t>Pomme de Terre SRL</t>
  </si>
  <si>
    <t>Florimond Desprez</t>
  </si>
  <si>
    <t>Daniel Arriegue</t>
  </si>
  <si>
    <t>Mapeo Dron</t>
  </si>
  <si>
    <t>Vistaguay</t>
  </si>
  <si>
    <t>Inalco</t>
  </si>
  <si>
    <t>San Vicente</t>
  </si>
  <si>
    <t>Agustin Galeano</t>
  </si>
  <si>
    <t>Agustin Acosta</t>
  </si>
  <si>
    <t>AgroFranVis SRL</t>
  </si>
  <si>
    <t>Roza Hnos</t>
  </si>
  <si>
    <t>Cinalli</t>
  </si>
  <si>
    <t>Eduardo Dam Sonderup</t>
  </si>
  <si>
    <t>Esteban Moser</t>
  </si>
  <si>
    <t>Soproga S.A.</t>
  </si>
  <si>
    <t>Detalle enviado</t>
  </si>
  <si>
    <t>Julio Cordoba</t>
  </si>
  <si>
    <t>Lemble</t>
  </si>
  <si>
    <t>Omar Piaggio</t>
  </si>
  <si>
    <t>Kevin Etcheto</t>
  </si>
  <si>
    <t>Martin Hollender</t>
  </si>
  <si>
    <t>Diego Gelos</t>
  </si>
  <si>
    <t>Charlas</t>
  </si>
  <si>
    <t>CIAP</t>
  </si>
  <si>
    <t>Salentein</t>
  </si>
  <si>
    <t>Nicolas Escuri</t>
  </si>
  <si>
    <t>Juan Paulo Graf</t>
  </si>
  <si>
    <t>Panama</t>
  </si>
  <si>
    <t>La Tolderia</t>
  </si>
  <si>
    <t>Cobo Espartina</t>
  </si>
  <si>
    <t>El Casalito</t>
  </si>
  <si>
    <t>Las Bagualas</t>
  </si>
  <si>
    <t>San Marcos</t>
  </si>
  <si>
    <t>Los Tulipanes</t>
  </si>
  <si>
    <t>Escuri</t>
  </si>
  <si>
    <t>Impresión folletos</t>
  </si>
  <si>
    <t>Clavos y platos</t>
  </si>
  <si>
    <t>La Paz</t>
  </si>
  <si>
    <t>Bella Vista</t>
  </si>
  <si>
    <t>La Paz-Bella Vista</t>
  </si>
  <si>
    <t>Costa del Moro</t>
  </si>
  <si>
    <t>Juan Ignacio Franco</t>
  </si>
  <si>
    <t>La Juana</t>
  </si>
  <si>
    <t>Don Gustavo</t>
  </si>
  <si>
    <t>San Luciano</t>
  </si>
  <si>
    <t>Santa Ana Cobo</t>
  </si>
  <si>
    <t>Macedo</t>
  </si>
  <si>
    <t>La Florida</t>
  </si>
  <si>
    <t>El Basural</t>
  </si>
  <si>
    <t>La Cachila</t>
  </si>
  <si>
    <t>San Narciso</t>
  </si>
  <si>
    <t>La Juana-Costa del Moro</t>
  </si>
  <si>
    <t>San Luciano-Don Gustavo</t>
  </si>
  <si>
    <t>La Graciela</t>
  </si>
  <si>
    <t>El Moro Viejo</t>
  </si>
  <si>
    <t>Ezequiel Villar</t>
  </si>
  <si>
    <t>Denis Moler</t>
  </si>
  <si>
    <t>Damian Diez</t>
  </si>
  <si>
    <t>Cecilia Aristemuño</t>
  </si>
  <si>
    <t>Pilar Amendola</t>
  </si>
  <si>
    <t>Impresión planillas</t>
  </si>
  <si>
    <t>Aros monitoreo</t>
  </si>
  <si>
    <t>Doña Hilda</t>
  </si>
  <si>
    <t>Buena Vista</t>
  </si>
  <si>
    <t>Santa Maria del Moro</t>
  </si>
  <si>
    <t>San Lorenzo</t>
  </si>
  <si>
    <t>Follaneras</t>
  </si>
  <si>
    <t>Santa Barbara</t>
  </si>
  <si>
    <t>San Francisco</t>
  </si>
  <si>
    <t>La Cachila-Doña Hilda</t>
  </si>
  <si>
    <t>San Francisco-Santa Barbara</t>
  </si>
  <si>
    <t>Follaneras-San Lorenzo</t>
  </si>
  <si>
    <t>Alexis Marsico</t>
  </si>
  <si>
    <t>Alojamiento Tandil</t>
  </si>
  <si>
    <t>Super Tandil</t>
  </si>
  <si>
    <t>Pago Avansys</t>
  </si>
  <si>
    <t>Pago Francisco Llanos</t>
  </si>
  <si>
    <t>Pago Alexis Marsico</t>
  </si>
  <si>
    <t>Pago Facundo Kaplun</t>
  </si>
  <si>
    <t>Pago Agustin Acosta</t>
  </si>
  <si>
    <t>Pago Pilar Amendola</t>
  </si>
  <si>
    <t>Pago Cecilia Aristemuño</t>
  </si>
  <si>
    <t>Pago Mateo Mesa</t>
  </si>
  <si>
    <t>Pago Abelardo Hansen</t>
  </si>
  <si>
    <t>Dos Hermanas</t>
  </si>
  <si>
    <t>Mateo Mesa</t>
  </si>
  <si>
    <t>Francisco Llanos</t>
  </si>
  <si>
    <t>La Paulina</t>
  </si>
  <si>
    <t>Las Overas</t>
  </si>
  <si>
    <t>Los Charitos</t>
  </si>
  <si>
    <t>La Juanita</t>
  </si>
  <si>
    <t>Tandil Ranger</t>
  </si>
  <si>
    <t>Tandil Strada</t>
  </si>
  <si>
    <t>La Baguala</t>
  </si>
  <si>
    <t>Santa Marta</t>
  </si>
  <si>
    <t>Roberto Cabrera</t>
  </si>
  <si>
    <t>Federico Martinez</t>
  </si>
  <si>
    <t>El Rosario</t>
  </si>
  <si>
    <t>Santa Maria del Moro-San Narciso</t>
  </si>
  <si>
    <t>San Narciso-Las Overas</t>
  </si>
  <si>
    <t>La Alborada</t>
  </si>
  <si>
    <t>La Baguala-La Juanita</t>
  </si>
  <si>
    <t>Cuchillos</t>
  </si>
  <si>
    <t>Pago Nicolas Gabriel</t>
  </si>
  <si>
    <t>Pago Juan Manuel Mateos</t>
  </si>
  <si>
    <t>Tres Marias</t>
  </si>
  <si>
    <t>Santa Isabel Cozumel</t>
  </si>
  <si>
    <t>Tres Marias-Santa Isabel Cozumel</t>
  </si>
  <si>
    <t>Nicolas Gabriel</t>
  </si>
  <si>
    <t>Cerro Guacho</t>
  </si>
  <si>
    <t>Ojo de Agua</t>
  </si>
  <si>
    <t>La Azucena</t>
  </si>
  <si>
    <t>La Guadalupe</t>
  </si>
  <si>
    <t>El Moro Viejo-La Guadalupe</t>
  </si>
  <si>
    <t>El Volcan</t>
  </si>
  <si>
    <t>San Jose</t>
  </si>
  <si>
    <t>El Ceibo II</t>
  </si>
  <si>
    <t>El Ceibo 2</t>
  </si>
  <si>
    <t>Laureano Camino</t>
  </si>
  <si>
    <t>La Nany</t>
  </si>
  <si>
    <t>La Adelia</t>
  </si>
  <si>
    <t>El Retoño</t>
  </si>
  <si>
    <t>San Esteban</t>
  </si>
  <si>
    <t>La Trinidad</t>
  </si>
  <si>
    <t>Aitona</t>
  </si>
  <si>
    <t>El Pampero</t>
  </si>
  <si>
    <t>La Providencia</t>
  </si>
  <si>
    <t>El Moro Viejo-San Francisco</t>
  </si>
  <si>
    <t>Mariano Rodriguez</t>
  </si>
  <si>
    <t>Pago Mariano Rodriguez</t>
  </si>
  <si>
    <t>Santa Isabel I</t>
  </si>
  <si>
    <t>La Susana</t>
  </si>
  <si>
    <t xml:space="preserve">San Francisco  </t>
  </si>
  <si>
    <t>Terciarizado</t>
  </si>
  <si>
    <t>Terciarizados</t>
  </si>
  <si>
    <t>Has</t>
  </si>
  <si>
    <t>Tipo de Trabajo</t>
  </si>
  <si>
    <t>Colo Moser</t>
  </si>
  <si>
    <t>Pablo Flesborg</t>
  </si>
  <si>
    <t>Aplicación de cebo</t>
  </si>
  <si>
    <t>El Montiel</t>
  </si>
  <si>
    <t>El Tanque</t>
  </si>
  <si>
    <t>San Lorenzo-La Cachila</t>
  </si>
  <si>
    <t>Martin Saffarano</t>
  </si>
  <si>
    <t xml:space="preserve">La Cachila  </t>
  </si>
  <si>
    <t>Cerro Destino</t>
  </si>
  <si>
    <t>San Jose-El Moro Viejo</t>
  </si>
  <si>
    <t>La Reconquista</t>
  </si>
  <si>
    <t>Cupalen II</t>
  </si>
  <si>
    <t>Cupalen I</t>
  </si>
  <si>
    <t>El Montiel - La Azucena</t>
  </si>
  <si>
    <t>Los Cardos</t>
  </si>
  <si>
    <t>Pago Roberto Cabrera</t>
  </si>
  <si>
    <t>Gastos Necochea</t>
  </si>
  <si>
    <t>Gastos Tandil</t>
  </si>
  <si>
    <t>Pago Denis Moller</t>
  </si>
  <si>
    <t>Pago Laureano Camino</t>
  </si>
  <si>
    <t>Pago Martin de Luca</t>
  </si>
  <si>
    <t>La Cantera</t>
  </si>
  <si>
    <t>San Agustin</t>
  </si>
  <si>
    <t>Matias Lamorte</t>
  </si>
  <si>
    <t>Nicolas Avellaneda</t>
  </si>
  <si>
    <t>Alejandro Tur</t>
  </si>
  <si>
    <t xml:space="preserve">Santa Maria del Moro </t>
  </si>
  <si>
    <t>El Alivio</t>
  </si>
  <si>
    <t>El Alivio-Santa Isabel Cozumel</t>
  </si>
  <si>
    <t xml:space="preserve">EDM </t>
  </si>
  <si>
    <t>Ignacio Loscalzo</t>
  </si>
  <si>
    <t>Villa Laura</t>
  </si>
  <si>
    <t>Villa Laura-Los Cardos</t>
  </si>
  <si>
    <t>Sejor</t>
  </si>
  <si>
    <t>Tres Esquinas</t>
  </si>
  <si>
    <t>Martin Juarez</t>
  </si>
  <si>
    <t>Tres Lagunas</t>
  </si>
  <si>
    <t>La Mezquita</t>
  </si>
  <si>
    <t>Los Pinos</t>
  </si>
  <si>
    <t>Los Pinos - Santa Maria del Moro</t>
  </si>
  <si>
    <t>Loma Blanca</t>
  </si>
  <si>
    <t>Montiel</t>
  </si>
  <si>
    <t>Tres Esquinas-Santa Marta</t>
  </si>
  <si>
    <t>La Barrancosa</t>
  </si>
  <si>
    <t>La Magdalena</t>
  </si>
  <si>
    <t>Pago Federico Martinez</t>
  </si>
  <si>
    <t>Juan Ignacio Thomas</t>
  </si>
  <si>
    <t>La Delfina</t>
  </si>
  <si>
    <t>Mallinco</t>
  </si>
  <si>
    <t>La Colonia-El Volcan</t>
  </si>
  <si>
    <t>Agustin Odriozola</t>
  </si>
  <si>
    <t>La Colonia</t>
  </si>
  <si>
    <t>Teha</t>
  </si>
  <si>
    <t xml:space="preserve">El Rosario </t>
  </si>
  <si>
    <t>Cupalen</t>
  </si>
  <si>
    <t>Gugliota</t>
  </si>
  <si>
    <t>Fasciglione</t>
  </si>
  <si>
    <t>Las Nazarenas</t>
  </si>
  <si>
    <t>San Guillermo</t>
  </si>
  <si>
    <t>Cristian Perez Maraviglia</t>
  </si>
  <si>
    <t>La Cachila-Las Overas</t>
  </si>
  <si>
    <t>Las Mercedes</t>
  </si>
  <si>
    <t>Soledad Gutierrez</t>
  </si>
  <si>
    <t>El Pensamiento</t>
  </si>
  <si>
    <t>El Verano</t>
  </si>
  <si>
    <t>Patricia Ricci</t>
  </si>
  <si>
    <t>San Manuel</t>
  </si>
  <si>
    <t>Fasciglione-Las Mercedes</t>
  </si>
  <si>
    <t>Yraizos</t>
  </si>
  <si>
    <t>El Pamperito</t>
  </si>
  <si>
    <t>Cupalen I y II</t>
  </si>
  <si>
    <t xml:space="preserve">Los Charitos  </t>
  </si>
  <si>
    <t xml:space="preserve">La Cantera </t>
  </si>
  <si>
    <t>Santa Teresa</t>
  </si>
  <si>
    <t>Costa del Moro-La Tolderia</t>
  </si>
  <si>
    <t>El Pehuen</t>
  </si>
  <si>
    <t>Millantuel</t>
  </si>
  <si>
    <t>Los Hermanos</t>
  </si>
  <si>
    <t>Vitalpor S.A.</t>
  </si>
  <si>
    <t>Si</t>
  </si>
  <si>
    <t>Pago Martin Saffarano</t>
  </si>
  <si>
    <t>Pago Martin Paci Palmas</t>
  </si>
  <si>
    <t>Martin Paci Palmas</t>
  </si>
  <si>
    <t>Juan Rodriguez Rivas</t>
  </si>
  <si>
    <t xml:space="preserve">Gastos </t>
  </si>
  <si>
    <t>Pago Nicolas Avellaneda</t>
  </si>
  <si>
    <t>Florimond Dezprez</t>
  </si>
  <si>
    <t>La Tigra</t>
  </si>
  <si>
    <t xml:space="preserve">El Ceibo  </t>
  </si>
  <si>
    <t>Santa Marta-Fasciglione</t>
  </si>
  <si>
    <t>La Nany-La Adelia</t>
  </si>
  <si>
    <t>Loma Blanca-La Trinidad</t>
  </si>
  <si>
    <t>La Lourdes</t>
  </si>
  <si>
    <t>La Lourdes-El Volcan</t>
  </si>
  <si>
    <t>La Esperanza</t>
  </si>
  <si>
    <t>Gustavo Erice</t>
  </si>
  <si>
    <t>El Mirador</t>
  </si>
  <si>
    <t xml:space="preserve">Loma Blanca   </t>
  </si>
  <si>
    <t>Teha Toyota</t>
  </si>
  <si>
    <t>Teha S10</t>
  </si>
  <si>
    <t>Ridao</t>
  </si>
  <si>
    <t>El Ceibo</t>
  </si>
  <si>
    <t>El Ceibo S10</t>
  </si>
  <si>
    <t>El Ceibo Toyota</t>
  </si>
  <si>
    <t>El Troquel</t>
  </si>
  <si>
    <t>Pago Damian Diez</t>
  </si>
  <si>
    <t>GASTO ACTUAL</t>
  </si>
  <si>
    <t>GASTO REAL</t>
  </si>
  <si>
    <t>Pago Matias Lamorte</t>
  </si>
  <si>
    <t>Pago Alejandro Tur</t>
  </si>
  <si>
    <t>Pamperito</t>
  </si>
  <si>
    <t>Mallinco-El Mirador</t>
  </si>
  <si>
    <t>Pago Ezequiel Villar</t>
  </si>
  <si>
    <t>Pago Miguel Rybar</t>
  </si>
  <si>
    <t>Pago Juan Ignacio Thomas</t>
  </si>
  <si>
    <t>La Barrosa</t>
  </si>
  <si>
    <t>Muestreo de suelo</t>
  </si>
  <si>
    <t>Ajuste</t>
  </si>
  <si>
    <t>San Francisco Bellocq</t>
  </si>
  <si>
    <t xml:space="preserve">Santa Maria  </t>
  </si>
  <si>
    <t>La Margarita</t>
  </si>
  <si>
    <t>Santa Maria</t>
  </si>
  <si>
    <t>La Fe</t>
  </si>
  <si>
    <t>La Fe/El Tatu</t>
  </si>
  <si>
    <t>El Tatu</t>
  </si>
  <si>
    <t>Pago Charly Palladino</t>
  </si>
  <si>
    <t>Pago Nicole Cabellier</t>
  </si>
  <si>
    <t>Pago Melanie Verkuyl</t>
  </si>
  <si>
    <t>Monotributo 09</t>
  </si>
  <si>
    <t>Monotributo 10</t>
  </si>
  <si>
    <t>Monotributo 11</t>
  </si>
  <si>
    <t>Monotributo 12</t>
  </si>
  <si>
    <t>Monotributo 01</t>
  </si>
  <si>
    <t>IIBB</t>
  </si>
  <si>
    <t>Honorarios Kaspar (sep)</t>
  </si>
  <si>
    <t>Honorarios Kaspar (oct)</t>
  </si>
  <si>
    <t>Honorarios Kaspar (nov)</t>
  </si>
  <si>
    <t>Honorarios Kaspar (dic)</t>
  </si>
  <si>
    <t>Monotributo 02</t>
  </si>
  <si>
    <t>Monotributo 03</t>
  </si>
  <si>
    <t>Monotributo 04</t>
  </si>
  <si>
    <t>Monotributo 05</t>
  </si>
  <si>
    <t>Monotributo 06</t>
  </si>
  <si>
    <t>Monotributo 07</t>
  </si>
  <si>
    <t>Monotributo 08</t>
  </si>
  <si>
    <t>Santa Isabel I - La Susana</t>
  </si>
  <si>
    <t>Pago Pablo Flesborg</t>
  </si>
  <si>
    <t>Pago Colo Moser</t>
  </si>
  <si>
    <t>Nahuel Ruca</t>
  </si>
  <si>
    <t>Polixen S.A.</t>
  </si>
  <si>
    <t>Cerro Paulino</t>
  </si>
  <si>
    <t>El Cerro</t>
  </si>
  <si>
    <t>Llevar Dron</t>
  </si>
  <si>
    <t>Jose Velazco</t>
  </si>
  <si>
    <t>El Junco</t>
  </si>
  <si>
    <t>Costa del Moro-El Junco</t>
  </si>
  <si>
    <t>Costa del Moro-Las Overas</t>
  </si>
  <si>
    <t>Varios</t>
  </si>
  <si>
    <t>Santa Isabel</t>
  </si>
  <si>
    <t>La Chacra</t>
  </si>
  <si>
    <t>Doña Hilda-San Lorenzo</t>
  </si>
  <si>
    <t>Mallinco-Santa Isabel</t>
  </si>
  <si>
    <t xml:space="preserve">Tres Esquinas </t>
  </si>
  <si>
    <t>Manuel Cinalli</t>
  </si>
  <si>
    <t>Pago Manuel Cinalli</t>
  </si>
  <si>
    <t>Tres Lomas</t>
  </si>
  <si>
    <t>La Alborada-Tres Lomas</t>
  </si>
  <si>
    <t>Millantuel-Santa Teresa</t>
  </si>
  <si>
    <t>Santa Maria del Moro-Manucam del Moro</t>
  </si>
  <si>
    <t>El Colorado</t>
  </si>
  <si>
    <t>Fernando Pili</t>
  </si>
  <si>
    <t>Manucam del Moro</t>
  </si>
  <si>
    <t>La Alborada-Tres Lomas-Buena Vista</t>
  </si>
  <si>
    <t>Aprea</t>
  </si>
  <si>
    <t>La Tolderia-Santa Maria</t>
  </si>
  <si>
    <t>El Moro Viejo-La Baguala-Aprea-La Graciela</t>
  </si>
  <si>
    <t>San Marcos-Santa Ana-Las Bagualas-Aitona</t>
  </si>
  <si>
    <t xml:space="preserve">San Francisco </t>
  </si>
  <si>
    <t>Tres Mil Tres</t>
  </si>
  <si>
    <t>Tres Mil Tres S.A.</t>
  </si>
  <si>
    <t>La Juanita-San Francisco-Santa Barbara</t>
  </si>
  <si>
    <t>Trauco</t>
  </si>
  <si>
    <t>Trauco-Las Overas-Doña Hilda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</si>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</sst>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&quot;$&quot;* #,##0.00_);_(&quot;$&quot;* \(#,##0.00\);_(&quot;$&quot;* &quot;-&quot;??_);_(@_)"/>
    <numFmt numFmtId="166" formatCode="0.0"/>
    <numFmt numFmtId="167" formatCode="mm/dd/yy;@"/>
    <numFmt numFmtId="168" formatCode="0\ &quot;ha&quot;"/>
    <numFmt numFmtId="169" formatCode="0\ &quot;Km&quot;"/>
    <numFmt numFmtId="170" formatCode="0\ &quot;.000&quot;"/>
    <numFmt numFmtId="171" formatCode="[$-409]d\-mmm\-yy;@"/>
    <numFmt numFmtId="172" formatCode="0.0%"/>
    <numFmt numFmtId="173" formatCode="[$-409]d\-mmm;@"/>
    <numFmt numFmtId="174" formatCode="0.0\ &quot;ha&quot;"/>
    <numFmt numFmtId="175" formatCode="0\ &quot;dia&quot;"/>
    <numFmt numFmtId="176" formatCode="0.0\ &quot;dia&quot;"/>
    <numFmt numFmtId="177" formatCode="[$-409]dd\-mmm\-yy;@"/>
    <numFmt numFmtId="178" formatCode="0.0\ &quot;dias&quot;"/>
    <numFmt numFmtId="179" formatCode="0.00000000000000000%"/>
    <numFmt numFmtId="180" formatCode="0.00\ &quot;dia&quot;"/>
    <numFmt numFmtId="181" formatCode="0.00\ &quot;dias&quot;"/>
    <numFmt numFmtId="182" formatCode="_(&quot;$&quot;* #,##0.00000_);_(&quot;$&quot;* \(#,##0.00000\);_(&quot;$&quot;* &quot;-&quot;??_);_(@_)"/>
    <numFmt numFmtId="183" formatCode="0.00\ &quot;ha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20"/>
      <color theme="6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6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theme="8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254">
    <xf numFmtId="0" fontId="0" fillId="0" borderId="0" xfId="0"/>
    <xf numFmtId="0" fontId="0" fillId="0" borderId="1" xfId="0" applyBorder="1"/>
    <xf numFmtId="166" fontId="0" fillId="0" borderId="0" xfId="0" applyNumberFormat="1"/>
    <xf numFmtId="2" fontId="0" fillId="0" borderId="1" xfId="0" applyNumberFormat="1" applyBorder="1"/>
    <xf numFmtId="0" fontId="0" fillId="2" borderId="1" xfId="0" applyFill="1" applyBorder="1"/>
    <xf numFmtId="165" fontId="0" fillId="0" borderId="0" xfId="1" applyFont="1"/>
    <xf numFmtId="10" fontId="0" fillId="0" borderId="0" xfId="2" applyNumberFormat="1" applyFont="1"/>
    <xf numFmtId="10" fontId="0" fillId="0" borderId="1" xfId="2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1" applyFont="1" applyBorder="1" applyAlignment="1">
      <alignment horizontal="center"/>
    </xf>
    <xf numFmtId="165" fontId="0" fillId="2" borderId="0" xfId="1" applyFont="1" applyFill="1" applyBorder="1" applyAlignment="1">
      <alignment horizontal="center"/>
    </xf>
    <xf numFmtId="0" fontId="0" fillId="2" borderId="0" xfId="0" applyFill="1"/>
    <xf numFmtId="165" fontId="0" fillId="2" borderId="0" xfId="1" applyFont="1" applyFill="1"/>
    <xf numFmtId="0" fontId="6" fillId="9" borderId="0" xfId="0" applyFont="1" applyFill="1"/>
    <xf numFmtId="0" fontId="0" fillId="9" borderId="0" xfId="0" applyFill="1"/>
    <xf numFmtId="0" fontId="6" fillId="0" borderId="0" xfId="0" applyFont="1"/>
    <xf numFmtId="165" fontId="0" fillId="10" borderId="1" xfId="1" applyFont="1" applyFill="1" applyBorder="1" applyAlignment="1">
      <alignment horizontal="center"/>
    </xf>
    <xf numFmtId="165" fontId="0" fillId="6" borderId="1" xfId="1" applyFont="1" applyFill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hidden="1"/>
    </xf>
    <xf numFmtId="164" fontId="0" fillId="4" borderId="3" xfId="1" applyNumberFormat="1" applyFont="1" applyFill="1" applyBorder="1" applyAlignment="1" applyProtection="1">
      <alignment horizontal="center"/>
      <protection hidden="1"/>
    </xf>
    <xf numFmtId="165" fontId="0" fillId="4" borderId="3" xfId="1" applyFont="1" applyFill="1" applyBorder="1" applyAlignment="1" applyProtection="1">
      <alignment horizontal="center"/>
      <protection hidden="1"/>
    </xf>
    <xf numFmtId="165" fontId="0" fillId="4" borderId="2" xfId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71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8" fontId="0" fillId="0" borderId="3" xfId="0" applyNumberFormat="1" applyBorder="1" applyAlignment="1" applyProtection="1">
      <alignment horizontal="center"/>
      <protection locked="0"/>
    </xf>
    <xf numFmtId="0" fontId="0" fillId="2" borderId="3" xfId="1" applyNumberFormat="1" applyFont="1" applyFill="1" applyBorder="1" applyAlignment="1" applyProtection="1">
      <alignment horizontal="center"/>
      <protection locked="0"/>
    </xf>
    <xf numFmtId="169" fontId="0" fillId="0" borderId="3" xfId="0" applyNumberFormat="1" applyBorder="1" applyAlignment="1" applyProtection="1">
      <alignment horizontal="center"/>
      <protection locked="0"/>
    </xf>
    <xf numFmtId="165" fontId="0" fillId="0" borderId="3" xfId="1" applyFont="1" applyFill="1" applyBorder="1" applyAlignment="1" applyProtection="1">
      <alignment horizontal="center"/>
      <protection locked="0"/>
    </xf>
    <xf numFmtId="165" fontId="0" fillId="0" borderId="1" xfId="1" applyFont="1" applyFill="1" applyBorder="1" applyProtection="1">
      <protection locked="0"/>
    </xf>
    <xf numFmtId="167" fontId="0" fillId="5" borderId="0" xfId="0" applyNumberFormat="1" applyFill="1" applyProtection="1">
      <protection hidden="1"/>
    </xf>
    <xf numFmtId="0" fontId="0" fillId="5" borderId="0" xfId="0" applyFill="1" applyProtection="1">
      <protection hidden="1"/>
    </xf>
    <xf numFmtId="168" fontId="0" fillId="5" borderId="0" xfId="0" applyNumberFormat="1" applyFill="1" applyProtection="1">
      <protection hidden="1"/>
    </xf>
    <xf numFmtId="165" fontId="0" fillId="5" borderId="0" xfId="1" applyFont="1" applyFill="1" applyProtection="1">
      <protection hidden="1"/>
    </xf>
    <xf numFmtId="169" fontId="0" fillId="5" borderId="0" xfId="0" applyNumberFormat="1" applyFill="1" applyProtection="1">
      <protection hidden="1"/>
    </xf>
    <xf numFmtId="167" fontId="4" fillId="0" borderId="0" xfId="0" applyNumberFormat="1" applyFont="1" applyProtection="1">
      <protection hidden="1"/>
    </xf>
    <xf numFmtId="165" fontId="5" fillId="0" borderId="0" xfId="1" applyFont="1" applyFill="1" applyAlignment="1" applyProtection="1">
      <alignment horizontal="right" vertical="center"/>
      <protection hidden="1"/>
    </xf>
    <xf numFmtId="165" fontId="0" fillId="0" borderId="0" xfId="1" applyFont="1" applyFill="1" applyProtection="1">
      <protection hidden="1"/>
    </xf>
    <xf numFmtId="169" fontId="0" fillId="0" borderId="0" xfId="0" applyNumberFormat="1" applyProtection="1">
      <protection hidden="1"/>
    </xf>
    <xf numFmtId="0" fontId="3" fillId="0" borderId="0" xfId="0" applyFont="1" applyProtection="1">
      <protection hidden="1"/>
    </xf>
    <xf numFmtId="168" fontId="0" fillId="0" borderId="0" xfId="0" applyNumberFormat="1" applyProtection="1">
      <protection hidden="1"/>
    </xf>
    <xf numFmtId="167" fontId="2" fillId="3" borderId="3" xfId="0" applyNumberFormat="1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168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3" xfId="1" applyFont="1" applyFill="1" applyBorder="1" applyAlignment="1" applyProtection="1">
      <alignment horizontal="center"/>
      <protection hidden="1"/>
    </xf>
    <xf numFmtId="169" fontId="2" fillId="3" borderId="3" xfId="0" applyNumberFormat="1" applyFont="1" applyFill="1" applyBorder="1" applyAlignment="1" applyProtection="1">
      <alignment horizontal="center"/>
      <protection hidden="1"/>
    </xf>
    <xf numFmtId="165" fontId="2" fillId="3" borderId="2" xfId="1" applyFont="1" applyFill="1" applyBorder="1" applyAlignment="1" applyProtection="1">
      <alignment horizontal="center"/>
      <protection hidden="1"/>
    </xf>
    <xf numFmtId="168" fontId="2" fillId="3" borderId="1" xfId="0" applyNumberFormat="1" applyFont="1" applyFill="1" applyBorder="1" applyAlignment="1" applyProtection="1">
      <alignment horizontal="center"/>
      <protection hidden="1"/>
    </xf>
    <xf numFmtId="167" fontId="0" fillId="0" borderId="0" xfId="0" applyNumberFormat="1" applyProtection="1">
      <protection hidden="1"/>
    </xf>
    <xf numFmtId="0" fontId="0" fillId="12" borderId="0" xfId="0" applyFill="1"/>
    <xf numFmtId="165" fontId="0" fillId="12" borderId="0" xfId="1" applyFont="1" applyFill="1"/>
    <xf numFmtId="10" fontId="0" fillId="12" borderId="0" xfId="2" applyNumberFormat="1" applyFont="1" applyFill="1"/>
    <xf numFmtId="171" fontId="0" fillId="6" borderId="3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8" borderId="1" xfId="1" applyFont="1" applyFill="1" applyBorder="1" applyAlignment="1">
      <alignment horizontal="center"/>
    </xf>
    <xf numFmtId="165" fontId="7" fillId="8" borderId="1" xfId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5" fontId="7" fillId="6" borderId="1" xfId="1" applyFont="1" applyFill="1" applyBorder="1"/>
    <xf numFmtId="10" fontId="7" fillId="0" borderId="1" xfId="2" applyNumberFormat="1" applyFont="1" applyBorder="1"/>
    <xf numFmtId="165" fontId="7" fillId="10" borderId="1" xfId="1" applyFont="1" applyFill="1" applyBorder="1" applyAlignment="1">
      <alignment horizontal="center"/>
    </xf>
    <xf numFmtId="168" fontId="8" fillId="0" borderId="0" xfId="0" applyNumberFormat="1" applyFont="1" applyAlignment="1" applyProtection="1">
      <alignment horizontal="center"/>
      <protection hidden="1"/>
    </xf>
    <xf numFmtId="165" fontId="8" fillId="0" borderId="0" xfId="1" applyFont="1" applyFill="1" applyProtection="1">
      <protection hidden="1"/>
    </xf>
    <xf numFmtId="167" fontId="7" fillId="0" borderId="1" xfId="0" applyNumberFormat="1" applyFont="1" applyBorder="1" applyAlignment="1" applyProtection="1">
      <alignment horizontal="center"/>
      <protection hidden="1"/>
    </xf>
    <xf numFmtId="167" fontId="7" fillId="0" borderId="1" xfId="0" applyNumberFormat="1" applyFont="1" applyBorder="1" applyProtection="1">
      <protection hidden="1"/>
    </xf>
    <xf numFmtId="0" fontId="7" fillId="0" borderId="1" xfId="0" applyFont="1" applyBorder="1" applyProtection="1">
      <protection hidden="1"/>
    </xf>
    <xf numFmtId="168" fontId="7" fillId="0" borderId="1" xfId="0" applyNumberFormat="1" applyFont="1" applyBorder="1" applyProtection="1">
      <protection hidden="1"/>
    </xf>
    <xf numFmtId="165" fontId="7" fillId="0" borderId="1" xfId="1" applyFont="1" applyFill="1" applyBorder="1" applyProtection="1">
      <protection hidden="1"/>
    </xf>
    <xf numFmtId="169" fontId="7" fillId="0" borderId="1" xfId="0" applyNumberFormat="1" applyFont="1" applyBorder="1" applyProtection="1">
      <protection hidden="1"/>
    </xf>
    <xf numFmtId="0" fontId="0" fillId="0" borderId="1" xfId="0" applyBorder="1" applyAlignment="1">
      <alignment horizontal="center"/>
    </xf>
    <xf numFmtId="16" fontId="0" fillId="0" borderId="1" xfId="0" applyNumberFormat="1" applyBorder="1"/>
    <xf numFmtId="167" fontId="2" fillId="3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169" fontId="0" fillId="0" borderId="1" xfId="0" applyNumberFormat="1" applyBorder="1"/>
    <xf numFmtId="169" fontId="0" fillId="10" borderId="1" xfId="0" applyNumberFormat="1" applyFill="1" applyBorder="1"/>
    <xf numFmtId="165" fontId="0" fillId="10" borderId="1" xfId="1" applyFont="1" applyFill="1" applyBorder="1"/>
    <xf numFmtId="0" fontId="7" fillId="10" borderId="1" xfId="0" applyFont="1" applyFill="1" applyBorder="1" applyAlignment="1">
      <alignment horizontal="center"/>
    </xf>
    <xf numFmtId="169" fontId="7" fillId="10" borderId="1" xfId="0" applyNumberFormat="1" applyFont="1" applyFill="1" applyBorder="1"/>
    <xf numFmtId="16" fontId="0" fillId="0" borderId="1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Border="1"/>
    <xf numFmtId="0" fontId="7" fillId="0" borderId="1" xfId="0" applyFont="1" applyBorder="1"/>
    <xf numFmtId="165" fontId="7" fillId="0" borderId="1" xfId="1" applyFont="1" applyBorder="1"/>
    <xf numFmtId="0" fontId="0" fillId="12" borderId="0" xfId="0" applyFill="1" applyProtection="1">
      <protection locked="0"/>
    </xf>
    <xf numFmtId="0" fontId="0" fillId="0" borderId="0" xfId="0" applyProtection="1">
      <protection locked="0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5" fontId="0" fillId="0" borderId="1" xfId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10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0" fillId="10" borderId="1" xfId="0" applyFill="1" applyBorder="1" applyAlignment="1">
      <alignment horizontal="center"/>
    </xf>
    <xf numFmtId="165" fontId="7" fillId="0" borderId="1" xfId="1" applyFont="1" applyBorder="1" applyProtection="1"/>
    <xf numFmtId="165" fontId="0" fillId="10" borderId="1" xfId="1" applyFont="1" applyFill="1" applyBorder="1" applyAlignment="1" applyProtection="1">
      <alignment horizontal="center"/>
    </xf>
    <xf numFmtId="165" fontId="7" fillId="10" borderId="1" xfId="1" applyFont="1" applyFill="1" applyBorder="1" applyProtection="1"/>
    <xf numFmtId="165" fontId="7" fillId="0" borderId="1" xfId="1" applyFont="1" applyBorder="1" applyAlignment="1">
      <alignment horizontal="center"/>
    </xf>
    <xf numFmtId="165" fontId="0" fillId="10" borderId="1" xfId="1" applyFont="1" applyFill="1" applyBorder="1" applyProtection="1"/>
    <xf numFmtId="165" fontId="9" fillId="10" borderId="1" xfId="1" applyFont="1" applyFill="1" applyBorder="1" applyProtection="1"/>
    <xf numFmtId="0" fontId="2" fillId="3" borderId="1" xfId="0" applyFont="1" applyFill="1" applyBorder="1" applyAlignment="1" applyProtection="1">
      <alignment horizontal="center"/>
      <protection hidden="1"/>
    </xf>
    <xf numFmtId="165" fontId="2" fillId="3" borderId="1" xfId="1" applyFont="1" applyFill="1" applyBorder="1" applyAlignment="1" applyProtection="1">
      <alignment horizontal="center"/>
      <protection hidden="1"/>
    </xf>
    <xf numFmtId="173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9" fontId="7" fillId="0" borderId="1" xfId="0" applyNumberFormat="1" applyFont="1" applyBorder="1"/>
    <xf numFmtId="172" fontId="0" fillId="8" borderId="1" xfId="2" applyNumberFormat="1" applyFont="1" applyFill="1" applyBorder="1" applyAlignment="1">
      <alignment horizontal="right"/>
    </xf>
    <xf numFmtId="165" fontId="0" fillId="0" borderId="0" xfId="0" applyNumberFormat="1"/>
    <xf numFmtId="174" fontId="0" fillId="0" borderId="3" xfId="0" applyNumberFormat="1" applyBorder="1" applyAlignment="1" applyProtection="1">
      <alignment horizontal="center"/>
      <protection locked="0"/>
    </xf>
    <xf numFmtId="174" fontId="0" fillId="0" borderId="2" xfId="0" applyNumberFormat="1" applyBorder="1" applyAlignment="1" applyProtection="1">
      <alignment horizontal="center"/>
      <protection locked="0"/>
    </xf>
    <xf numFmtId="174" fontId="7" fillId="0" borderId="1" xfId="0" applyNumberFormat="1" applyFont="1" applyBorder="1" applyProtection="1">
      <protection hidden="1"/>
    </xf>
    <xf numFmtId="175" fontId="0" fillId="0" borderId="1" xfId="0" applyNumberFormat="1" applyBorder="1"/>
    <xf numFmtId="175" fontId="0" fillId="0" borderId="1" xfId="0" applyNumberFormat="1" applyBorder="1" applyAlignment="1">
      <alignment horizontal="center"/>
    </xf>
    <xf numFmtId="167" fontId="2" fillId="3" borderId="2" xfId="0" applyNumberFormat="1" applyFont="1" applyFill="1" applyBorder="1" applyAlignment="1" applyProtection="1">
      <alignment horizontal="center"/>
      <protection hidden="1"/>
    </xf>
    <xf numFmtId="0" fontId="0" fillId="5" borderId="0" xfId="0" applyFill="1"/>
    <xf numFmtId="168" fontId="0" fillId="0" borderId="1" xfId="0" applyNumberFormat="1" applyBorder="1" applyAlignment="1" applyProtection="1">
      <alignment horizontal="center"/>
      <protection locked="0"/>
    </xf>
    <xf numFmtId="169" fontId="0" fillId="0" borderId="1" xfId="0" applyNumberFormat="1" applyBorder="1" applyAlignment="1" applyProtection="1">
      <alignment horizontal="center"/>
      <protection locked="0"/>
    </xf>
    <xf numFmtId="176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 applyProtection="1">
      <alignment horizontal="center"/>
      <protection locked="0"/>
    </xf>
    <xf numFmtId="171" fontId="7" fillId="0" borderId="1" xfId="0" applyNumberFormat="1" applyFont="1" applyBorder="1" applyAlignment="1" applyProtection="1">
      <alignment horizontal="center"/>
      <protection locked="0"/>
    </xf>
    <xf numFmtId="177" fontId="0" fillId="0" borderId="3" xfId="0" applyNumberFormat="1" applyBorder="1" applyAlignment="1" applyProtection="1">
      <alignment horizontal="center"/>
      <protection locked="0"/>
    </xf>
    <xf numFmtId="176" fontId="0" fillId="0" borderId="3" xfId="0" applyNumberFormat="1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78" fontId="0" fillId="0" borderId="1" xfId="0" applyNumberFormat="1" applyBorder="1" applyAlignment="1">
      <alignment horizontal="right"/>
    </xf>
    <xf numFmtId="169" fontId="0" fillId="0" borderId="1" xfId="0" applyNumberFormat="1" applyBorder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0" fontId="0" fillId="0" borderId="1" xfId="1" applyNumberFormat="1" applyFont="1" applyBorder="1"/>
    <xf numFmtId="0" fontId="0" fillId="0" borderId="8" xfId="0" applyBorder="1" applyAlignment="1">
      <alignment horizontal="center"/>
    </xf>
    <xf numFmtId="169" fontId="0" fillId="0" borderId="1" xfId="1" applyNumberFormat="1" applyFont="1" applyBorder="1"/>
    <xf numFmtId="174" fontId="7" fillId="0" borderId="0" xfId="0" applyNumberFormat="1" applyFont="1" applyProtection="1">
      <protection hidden="1"/>
    </xf>
    <xf numFmtId="174" fontId="0" fillId="2" borderId="3" xfId="0" applyNumberFormat="1" applyFill="1" applyBorder="1" applyAlignment="1" applyProtection="1">
      <alignment horizontal="center"/>
      <protection locked="0"/>
    </xf>
    <xf numFmtId="174" fontId="0" fillId="2" borderId="2" xfId="0" applyNumberFormat="1" applyFill="1" applyBorder="1" applyAlignment="1" applyProtection="1">
      <alignment horizontal="center"/>
      <protection locked="0"/>
    </xf>
    <xf numFmtId="165" fontId="0" fillId="2" borderId="3" xfId="1" applyFont="1" applyFill="1" applyBorder="1" applyAlignment="1" applyProtection="1">
      <alignment horizontal="center"/>
      <protection locked="0"/>
    </xf>
    <xf numFmtId="1" fontId="0" fillId="0" borderId="7" xfId="0" applyNumberFormat="1" applyBorder="1" applyAlignment="1">
      <alignment horizontal="center"/>
    </xf>
    <xf numFmtId="165" fontId="0" fillId="0" borderId="1" xfId="0" applyNumberFormat="1" applyBorder="1"/>
    <xf numFmtId="44" fontId="0" fillId="0" borderId="1" xfId="0" applyNumberFormat="1" applyBorder="1"/>
    <xf numFmtId="168" fontId="0" fillId="2" borderId="1" xfId="0" applyNumberForma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center"/>
      <protection locked="0"/>
    </xf>
    <xf numFmtId="16" fontId="0" fillId="0" borderId="0" xfId="0" applyNumberFormat="1"/>
    <xf numFmtId="169" fontId="0" fillId="2" borderId="1" xfId="0" applyNumberFormat="1" applyFill="1" applyBorder="1"/>
    <xf numFmtId="44" fontId="0" fillId="5" borderId="0" xfId="1" applyNumberFormat="1" applyFont="1" applyFill="1"/>
    <xf numFmtId="44" fontId="0" fillId="0" borderId="0" xfId="1" applyNumberFormat="1" applyFont="1"/>
    <xf numFmtId="44" fontId="2" fillId="3" borderId="1" xfId="1" applyNumberFormat="1" applyFont="1" applyFill="1" applyBorder="1" applyAlignment="1" applyProtection="1">
      <alignment horizontal="center"/>
      <protection hidden="1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1" applyFont="1" applyFill="1" applyBorder="1" applyAlignment="1">
      <alignment horizontal="center"/>
    </xf>
    <xf numFmtId="165" fontId="0" fillId="2" borderId="1" xfId="1" applyFont="1" applyFill="1" applyBorder="1" applyProtection="1">
      <protection locked="0"/>
    </xf>
    <xf numFmtId="10" fontId="0" fillId="2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wrapText="1"/>
      <protection locked="0"/>
    </xf>
    <xf numFmtId="165" fontId="0" fillId="0" borderId="9" xfId="1" applyFont="1" applyBorder="1"/>
    <xf numFmtId="168" fontId="0" fillId="2" borderId="3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>
      <alignment horizontal="right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2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2" fillId="2" borderId="0" xfId="0" applyNumberFormat="1" applyFont="1" applyFill="1" applyAlignment="1" applyProtection="1">
      <alignment horizontal="center" vertical="center"/>
      <protection hidden="1"/>
    </xf>
    <xf numFmtId="167" fontId="2" fillId="2" borderId="10" xfId="0" applyNumberFormat="1" applyFont="1" applyFill="1" applyBorder="1" applyAlignment="1" applyProtection="1">
      <alignment horizontal="center" vertical="center"/>
      <protection hidden="1"/>
    </xf>
    <xf numFmtId="44" fontId="0" fillId="0" borderId="0" xfId="0" applyNumberFormat="1" applyProtection="1">
      <protection locked="0"/>
    </xf>
    <xf numFmtId="44" fontId="0" fillId="0" borderId="0" xfId="0" applyNumberFormat="1"/>
    <xf numFmtId="176" fontId="0" fillId="0" borderId="2" xfId="0" applyNumberFormat="1" applyBorder="1" applyAlignment="1" applyProtection="1">
      <alignment horizontal="center"/>
      <protection locked="0"/>
    </xf>
    <xf numFmtId="165" fontId="0" fillId="2" borderId="1" xfId="1" applyFont="1" applyFill="1" applyBorder="1"/>
    <xf numFmtId="176" fontId="7" fillId="0" borderId="1" xfId="0" applyNumberFormat="1" applyFont="1" applyBorder="1" applyProtection="1">
      <protection hidden="1"/>
    </xf>
    <xf numFmtId="165" fontId="10" fillId="2" borderId="1" xfId="1" applyFont="1" applyFill="1" applyBorder="1" applyAlignment="1">
      <alignment horizontal="center"/>
    </xf>
    <xf numFmtId="169" fontId="0" fillId="2" borderId="3" xfId="0" applyNumberFormat="1" applyFill="1" applyBorder="1" applyAlignment="1" applyProtection="1">
      <alignment horizontal="right"/>
      <protection locked="0"/>
    </xf>
    <xf numFmtId="16" fontId="0" fillId="2" borderId="1" xfId="0" applyNumberFormat="1" applyFill="1" applyBorder="1" applyAlignment="1" applyProtection="1">
      <alignment horizontal="center"/>
      <protection locked="0"/>
    </xf>
    <xf numFmtId="165" fontId="0" fillId="2" borderId="1" xfId="1" applyFont="1" applyFill="1" applyBorder="1" applyAlignment="1" applyProtection="1">
      <alignment horizontal="center"/>
      <protection locked="0"/>
    </xf>
    <xf numFmtId="169" fontId="0" fillId="2" borderId="1" xfId="0" applyNumberForma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1" xfId="1" applyFont="1" applyBorder="1" applyAlignment="1" applyProtection="1">
      <alignment horizontal="center"/>
    </xf>
    <xf numFmtId="167" fontId="12" fillId="0" borderId="0" xfId="0" applyNumberFormat="1" applyFont="1" applyAlignment="1" applyProtection="1">
      <alignment horizontal="left"/>
      <protection locked="0" hidden="1"/>
    </xf>
    <xf numFmtId="167" fontId="2" fillId="3" borderId="0" xfId="0" applyNumberFormat="1" applyFont="1" applyFill="1" applyAlignment="1" applyProtection="1">
      <alignment horizontal="center"/>
      <protection locked="0" hidden="1"/>
    </xf>
    <xf numFmtId="167" fontId="12" fillId="0" borderId="0" xfId="0" applyNumberFormat="1" applyFont="1" applyProtection="1">
      <protection locked="0" hidden="1"/>
    </xf>
    <xf numFmtId="165" fontId="10" fillId="2" borderId="1" xfId="1" applyFont="1" applyFill="1" applyBorder="1" applyAlignment="1" applyProtection="1">
      <alignment horizontal="center"/>
      <protection locked="0"/>
    </xf>
    <xf numFmtId="10" fontId="0" fillId="2" borderId="1" xfId="2" applyNumberFormat="1" applyFont="1" applyFill="1" applyBorder="1" applyAlignment="1">
      <alignment horizontal="center"/>
    </xf>
    <xf numFmtId="179" fontId="0" fillId="0" borderId="0" xfId="2" applyNumberFormat="1" applyFont="1" applyProtection="1">
      <protection locked="0"/>
    </xf>
    <xf numFmtId="16" fontId="0" fillId="2" borderId="7" xfId="0" applyNumberFormat="1" applyFill="1" applyBorder="1" applyAlignment="1">
      <alignment horizontal="center"/>
    </xf>
    <xf numFmtId="169" fontId="0" fillId="2" borderId="0" xfId="0" applyNumberFormat="1" applyFill="1" applyProtection="1">
      <protection hidden="1"/>
    </xf>
    <xf numFmtId="165" fontId="0" fillId="0" borderId="1" xfId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175" fontId="0" fillId="2" borderId="1" xfId="0" applyNumberFormat="1" applyFill="1" applyBorder="1" applyAlignment="1">
      <alignment horizontal="center"/>
    </xf>
    <xf numFmtId="171" fontId="0" fillId="0" borderId="1" xfId="0" applyNumberFormat="1" applyBorder="1"/>
    <xf numFmtId="176" fontId="0" fillId="0" borderId="0" xfId="0" applyNumberFormat="1" applyAlignment="1" applyProtection="1">
      <alignment horizontal="center"/>
      <protection locked="0"/>
    </xf>
    <xf numFmtId="178" fontId="7" fillId="0" borderId="1" xfId="0" applyNumberFormat="1" applyFont="1" applyBorder="1" applyProtection="1">
      <protection hidden="1"/>
    </xf>
    <xf numFmtId="177" fontId="0" fillId="0" borderId="3" xfId="0" applyNumberFormat="1" applyBorder="1" applyAlignment="1" applyProtection="1">
      <alignment horizontal="right"/>
      <protection locked="0"/>
    </xf>
    <xf numFmtId="171" fontId="0" fillId="0" borderId="1" xfId="0" applyNumberFormat="1" applyBorder="1" applyAlignment="1">
      <alignment horizontal="center"/>
    </xf>
    <xf numFmtId="165" fontId="9" fillId="10" borderId="0" xfId="1" applyFont="1" applyFill="1" applyBorder="1" applyProtection="1"/>
    <xf numFmtId="44" fontId="0" fillId="2" borderId="1" xfId="0" applyNumberFormat="1" applyFill="1" applyBorder="1"/>
    <xf numFmtId="180" fontId="0" fillId="0" borderId="3" xfId="0" applyNumberFormat="1" applyBorder="1" applyAlignment="1" applyProtection="1">
      <alignment horizontal="center"/>
      <protection locked="0"/>
    </xf>
    <xf numFmtId="181" fontId="0" fillId="0" borderId="1" xfId="0" applyNumberFormat="1" applyBorder="1" applyAlignment="1">
      <alignment horizontal="right"/>
    </xf>
    <xf numFmtId="178" fontId="8" fillId="0" borderId="0" xfId="0" applyNumberFormat="1" applyFont="1" applyAlignment="1" applyProtection="1">
      <alignment horizontal="center"/>
      <protection hidden="1"/>
    </xf>
    <xf numFmtId="180" fontId="0" fillId="0" borderId="1" xfId="0" applyNumberFormat="1" applyBorder="1" applyAlignment="1" applyProtection="1">
      <alignment horizontal="center"/>
      <protection locked="0"/>
    </xf>
    <xf numFmtId="165" fontId="1" fillId="2" borderId="1" xfId="1" applyFont="1" applyFill="1" applyBorder="1" applyAlignment="1">
      <alignment horizontal="center"/>
    </xf>
    <xf numFmtId="172" fontId="0" fillId="0" borderId="1" xfId="2" applyNumberFormat="1" applyFont="1" applyBorder="1" applyAlignment="1" applyProtection="1">
      <alignment horizontal="center"/>
      <protection locked="0"/>
    </xf>
    <xf numFmtId="176" fontId="0" fillId="2" borderId="1" xfId="0" applyNumberFormat="1" applyFill="1" applyBorder="1" applyAlignment="1">
      <alignment horizontal="center"/>
    </xf>
    <xf numFmtId="182" fontId="0" fillId="0" borderId="0" xfId="1" applyNumberFormat="1" applyFont="1" applyFill="1" applyProtection="1">
      <protection hidden="1"/>
    </xf>
    <xf numFmtId="169" fontId="0" fillId="2" borderId="1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right"/>
    </xf>
    <xf numFmtId="165" fontId="0" fillId="0" borderId="1" xfId="1" applyFont="1" applyBorder="1" applyAlignment="1"/>
    <xf numFmtId="171" fontId="0" fillId="2" borderId="3" xfId="0" applyNumberFormat="1" applyFill="1" applyBorder="1" applyAlignment="1" applyProtection="1">
      <alignment horizontal="center"/>
      <protection locked="0"/>
    </xf>
    <xf numFmtId="178" fontId="7" fillId="0" borderId="1" xfId="0" applyNumberFormat="1" applyFont="1" applyBorder="1"/>
    <xf numFmtId="169" fontId="0" fillId="2" borderId="3" xfId="0" applyNumberFormat="1" applyFill="1" applyBorder="1" applyAlignment="1" applyProtection="1">
      <alignment horizontal="center"/>
      <protection locked="0"/>
    </xf>
    <xf numFmtId="169" fontId="0" fillId="0" borderId="1" xfId="0" applyNumberFormat="1" applyBorder="1" applyAlignment="1">
      <alignment horizontal="center"/>
    </xf>
    <xf numFmtId="169" fontId="7" fillId="0" borderId="1" xfId="0" applyNumberFormat="1" applyFont="1" applyBorder="1" applyAlignment="1" applyProtection="1">
      <alignment horizontal="center"/>
      <protection hidden="1"/>
    </xf>
    <xf numFmtId="174" fontId="0" fillId="0" borderId="1" xfId="0" applyNumberFormat="1" applyBorder="1" applyAlignment="1" applyProtection="1">
      <alignment horizontal="center"/>
      <protection locked="0"/>
    </xf>
    <xf numFmtId="174" fontId="0" fillId="2" borderId="1" xfId="0" applyNumberFormat="1" applyFill="1" applyBorder="1" applyAlignment="1" applyProtection="1">
      <alignment horizontal="center"/>
      <protection locked="0"/>
    </xf>
    <xf numFmtId="168" fontId="0" fillId="0" borderId="1" xfId="0" quotePrefix="1" applyNumberFormat="1" applyBorder="1" applyAlignment="1" applyProtection="1">
      <alignment horizontal="center"/>
      <protection locked="0"/>
    </xf>
    <xf numFmtId="183" fontId="7" fillId="0" borderId="1" xfId="0" applyNumberFormat="1" applyFont="1" applyBorder="1"/>
    <xf numFmtId="169" fontId="0" fillId="2" borderId="1" xfId="1" applyNumberFormat="1" applyFont="1" applyFill="1" applyBorder="1" applyAlignment="1">
      <alignment horizontal="center"/>
    </xf>
    <xf numFmtId="169" fontId="0" fillId="14" borderId="1" xfId="1" applyNumberFormat="1" applyFont="1" applyFill="1" applyBorder="1" applyAlignment="1">
      <alignment horizontal="center"/>
    </xf>
    <xf numFmtId="170" fontId="0" fillId="2" borderId="3" xfId="0" applyNumberFormat="1" applyFill="1" applyBorder="1" applyAlignment="1" applyProtection="1">
      <alignment horizontal="center"/>
      <protection locked="0"/>
    </xf>
    <xf numFmtId="165" fontId="0" fillId="14" borderId="1" xfId="1" applyFont="1" applyFill="1" applyBorder="1"/>
    <xf numFmtId="44" fontId="0" fillId="0" borderId="1" xfId="0" applyNumberFormat="1" applyBorder="1" applyAlignment="1">
      <alignment horizontal="center"/>
    </xf>
    <xf numFmtId="16" fontId="0" fillId="2" borderId="0" xfId="0" applyNumberFormat="1" applyFill="1"/>
    <xf numFmtId="165" fontId="0" fillId="2" borderId="0" xfId="1" applyFont="1" applyFill="1" applyBorder="1"/>
    <xf numFmtId="165" fontId="0" fillId="2" borderId="1" xfId="1" applyFont="1" applyFill="1" applyBorder="1" applyAlignment="1"/>
    <xf numFmtId="44" fontId="0" fillId="14" borderId="1" xfId="0" applyNumberFormat="1" applyFill="1" applyBorder="1" applyAlignment="1">
      <alignment horizontal="center"/>
    </xf>
    <xf numFmtId="44" fontId="0" fillId="15" borderId="1" xfId="0" applyNumberFormat="1" applyFill="1" applyBorder="1" applyAlignment="1">
      <alignment horizontal="center"/>
    </xf>
    <xf numFmtId="169" fontId="1" fillId="2" borderId="1" xfId="1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5" fontId="0" fillId="16" borderId="1" xfId="1" applyFont="1" applyFill="1" applyBorder="1"/>
    <xf numFmtId="165" fontId="0" fillId="16" borderId="1" xfId="1" applyFont="1" applyFill="1" applyBorder="1" applyAlignment="1">
      <alignment horizontal="center"/>
    </xf>
    <xf numFmtId="165" fontId="0" fillId="2" borderId="1" xfId="1" quotePrefix="1" applyFont="1" applyFill="1" applyBorder="1" applyProtection="1">
      <protection locked="0"/>
    </xf>
    <xf numFmtId="165" fontId="0" fillId="14" borderId="1" xfId="1" applyFont="1" applyFill="1" applyBorder="1" applyAlignment="1" applyProtection="1">
      <alignment horizontal="center"/>
      <protection locked="0"/>
    </xf>
    <xf numFmtId="171" fontId="0" fillId="0" borderId="11" xfId="0" applyNumberFormat="1" applyBorder="1" applyAlignment="1" applyProtection="1">
      <alignment horizontal="center"/>
      <protection locked="0"/>
    </xf>
    <xf numFmtId="171" fontId="0" fillId="0" borderId="1" xfId="0" applyNumberFormat="1" applyBorder="1" applyAlignment="1" applyProtection="1">
      <alignment horizontal="center"/>
      <protection locked="0"/>
    </xf>
    <xf numFmtId="171" fontId="0" fillId="2" borderId="1" xfId="0" applyNumberFormat="1" applyFill="1" applyBorder="1"/>
    <xf numFmtId="10" fontId="0" fillId="0" borderId="0" xfId="2" applyNumberFormat="1" applyFont="1" applyProtection="1">
      <protection locked="0"/>
    </xf>
    <xf numFmtId="165" fontId="0" fillId="14" borderId="1" xfId="1" applyFont="1" applyFill="1" applyBorder="1" applyProtection="1">
      <protection locked="0"/>
    </xf>
    <xf numFmtId="169" fontId="0" fillId="14" borderId="1" xfId="0" applyNumberFormat="1" applyFill="1" applyBorder="1"/>
    <xf numFmtId="44" fontId="0" fillId="2" borderId="1" xfId="0" applyNumberFormat="1" applyFill="1" applyBorder="1" applyAlignment="1">
      <alignment horizontal="center"/>
    </xf>
    <xf numFmtId="167" fontId="2" fillId="3" borderId="4" xfId="0" applyNumberFormat="1" applyFont="1" applyFill="1" applyBorder="1" applyAlignment="1" applyProtection="1">
      <alignment horizontal="center" vertical="center"/>
      <protection hidden="1"/>
    </xf>
    <xf numFmtId="167" fontId="2" fillId="3" borderId="5" xfId="0" applyNumberFormat="1" applyFont="1" applyFill="1" applyBorder="1" applyAlignment="1" applyProtection="1">
      <alignment horizontal="center" vertical="center"/>
      <protection hidden="1"/>
    </xf>
    <xf numFmtId="167" fontId="4" fillId="0" borderId="0" xfId="0" applyNumberFormat="1" applyFont="1" applyAlignment="1" applyProtection="1">
      <alignment horizontal="left"/>
      <protection locked="0" hidden="1"/>
    </xf>
    <xf numFmtId="167" fontId="4" fillId="0" borderId="0" xfId="0" applyNumberFormat="1" applyFont="1" applyAlignment="1" applyProtection="1">
      <alignment horizontal="center"/>
      <protection locked="0" hidden="1"/>
    </xf>
    <xf numFmtId="167" fontId="2" fillId="3" borderId="1" xfId="0" applyNumberFormat="1" applyFont="1" applyFill="1" applyBorder="1" applyAlignment="1" applyProtection="1">
      <alignment horizontal="center"/>
      <protection locked="0" hidden="1"/>
    </xf>
    <xf numFmtId="167" fontId="2" fillId="3" borderId="4" xfId="0" applyNumberFormat="1" applyFont="1" applyFill="1" applyBorder="1" applyAlignment="1" applyProtection="1">
      <alignment horizontal="center"/>
      <protection hidden="1"/>
    </xf>
    <xf numFmtId="167" fontId="2" fillId="3" borderId="6" xfId="0" applyNumberFormat="1" applyFont="1" applyFill="1" applyBorder="1" applyAlignment="1" applyProtection="1">
      <alignment horizontal="center"/>
      <protection hidden="1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67" fontId="2" fillId="3" borderId="5" xfId="0" applyNumberFormat="1" applyFont="1" applyFill="1" applyBorder="1" applyAlignment="1" applyProtection="1">
      <alignment horizontal="center"/>
      <protection hidden="1"/>
    </xf>
    <xf numFmtId="167" fontId="4" fillId="0" borderId="0" xfId="0" applyNumberFormat="1" applyFont="1" applyAlignment="1" applyProtection="1">
      <alignment horizontal="left"/>
      <protection hidden="1"/>
    </xf>
    <xf numFmtId="167" fontId="12" fillId="0" borderId="0" xfId="0" applyNumberFormat="1" applyFont="1" applyAlignment="1" applyProtection="1">
      <alignment horizontal="center"/>
      <protection locked="0" hidden="1"/>
    </xf>
    <xf numFmtId="0" fontId="6" fillId="14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</cellXfs>
  <cellStyles count="4">
    <cellStyle name="Moneda" xfId="1" builtinId="4"/>
    <cellStyle name="Normal" xfId="0" builtinId="0"/>
    <cellStyle name="Normal 2" xfId="3" xr:uid="{00000000-0005-0000-0000-000002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mas/Desktop/Registro%20Zoom%2017-18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OneDrive/Seguimiento%20Administrativo/Registros/Registro%20Zoom%2017-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OneDrive/Seguimiento%20Administrativo/Registros/Registro%20Zoom%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Viajes"/>
      <sheetName val="Asignación"/>
      <sheetName val="Ingresos"/>
      <sheetName val="Gastos"/>
      <sheetName val="Facturacion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Pablo Marcó del Pont</v>
          </cell>
        </row>
        <row r="12">
          <cell r="B12">
            <v>6</v>
          </cell>
          <cell r="C12" t="str">
            <v>La Nany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Trabajos 2"/>
      <sheetName val="Viajes"/>
      <sheetName val="Asignación"/>
      <sheetName val="Asignación 2"/>
      <sheetName val="Ingresos"/>
      <sheetName val="Gastos"/>
      <sheetName val="Empleados"/>
      <sheetName val="Facturacion"/>
      <sheetName val="Facturacion 2"/>
      <sheetName val="Refer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Calaer S.A.A.C.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Petra Cotes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Agro Vulcan S.A.</v>
          </cell>
        </row>
        <row r="42">
          <cell r="B42">
            <v>0</v>
          </cell>
          <cell r="C42">
            <v>0</v>
          </cell>
        </row>
        <row r="43">
          <cell r="B43">
            <v>0</v>
          </cell>
          <cell r="C43">
            <v>0</v>
          </cell>
        </row>
        <row r="44">
          <cell r="B44">
            <v>0</v>
          </cell>
          <cell r="C44">
            <v>0</v>
          </cell>
        </row>
        <row r="45">
          <cell r="B45">
            <v>0</v>
          </cell>
          <cell r="C45">
            <v>0</v>
          </cell>
        </row>
        <row r="46">
          <cell r="B46">
            <v>0</v>
          </cell>
          <cell r="C46">
            <v>0</v>
          </cell>
        </row>
        <row r="47">
          <cell r="B47">
            <v>0</v>
          </cell>
          <cell r="C47">
            <v>0</v>
          </cell>
        </row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s"/>
      <sheetName val="Trabajos 2"/>
      <sheetName val="Viajes"/>
      <sheetName val="Gastos"/>
      <sheetName val="Saldos"/>
      <sheetName val="Ingresos"/>
      <sheetName val="Empleados"/>
      <sheetName val="Empleados1"/>
      <sheetName val="Asignación"/>
      <sheetName val="Asignación 2"/>
      <sheetName val="Facturacion"/>
      <sheetName val="Facturacion 2"/>
      <sheetName val="Referenc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B7">
            <v>1</v>
          </cell>
          <cell r="C7" t="str">
            <v>Daniel Lanz</v>
          </cell>
        </row>
        <row r="8">
          <cell r="B8">
            <v>2</v>
          </cell>
          <cell r="C8" t="str">
            <v>Land Management</v>
          </cell>
        </row>
        <row r="9">
          <cell r="B9">
            <v>3</v>
          </cell>
          <cell r="C9" t="str">
            <v>Martin Santamaria</v>
          </cell>
        </row>
        <row r="10">
          <cell r="B10">
            <v>4</v>
          </cell>
          <cell r="C10" t="str">
            <v>Purtierra</v>
          </cell>
        </row>
        <row r="11">
          <cell r="B11">
            <v>5</v>
          </cell>
          <cell r="C11" t="str">
            <v>Cofina Agro</v>
          </cell>
        </row>
        <row r="12">
          <cell r="B12">
            <v>6</v>
          </cell>
          <cell r="C12" t="str">
            <v>La Nany</v>
          </cell>
        </row>
        <row r="13">
          <cell r="B13">
            <v>7</v>
          </cell>
          <cell r="C13" t="str">
            <v>Agrar del Sur</v>
          </cell>
        </row>
        <row r="14">
          <cell r="B14">
            <v>8</v>
          </cell>
          <cell r="C14" t="str">
            <v>Hector Lagarde</v>
          </cell>
        </row>
        <row r="15">
          <cell r="B15">
            <v>9</v>
          </cell>
          <cell r="C15" t="str">
            <v>Alberto Oscar Moran</v>
          </cell>
        </row>
        <row r="16">
          <cell r="B16">
            <v>10</v>
          </cell>
          <cell r="C16" t="str">
            <v>Tibus S.A.</v>
          </cell>
        </row>
        <row r="17">
          <cell r="B17">
            <v>11</v>
          </cell>
          <cell r="C17" t="str">
            <v>Carlos Fernando Fuertes</v>
          </cell>
        </row>
        <row r="18">
          <cell r="B18">
            <v>12</v>
          </cell>
          <cell r="C18" t="str">
            <v>Raul Miron</v>
          </cell>
        </row>
        <row r="19">
          <cell r="B19">
            <v>13</v>
          </cell>
          <cell r="C19" t="str">
            <v>Los Tuelches</v>
          </cell>
        </row>
        <row r="20">
          <cell r="B20">
            <v>14</v>
          </cell>
          <cell r="C20" t="str">
            <v>Nueva Huella S.R.L.</v>
          </cell>
        </row>
        <row r="21">
          <cell r="B21">
            <v>15</v>
          </cell>
          <cell r="C21" t="str">
            <v>Lucrecia Casa</v>
          </cell>
        </row>
        <row r="22">
          <cell r="B22">
            <v>16</v>
          </cell>
          <cell r="C22" t="str">
            <v>Mariano Alfonso</v>
          </cell>
        </row>
        <row r="23">
          <cell r="B23">
            <v>17</v>
          </cell>
          <cell r="C23" t="str">
            <v>Campo Maipu S.A.</v>
          </cell>
        </row>
        <row r="24">
          <cell r="B24">
            <v>18</v>
          </cell>
          <cell r="C24" t="str">
            <v>Cosechas del Sur S.R.L.</v>
          </cell>
        </row>
        <row r="25">
          <cell r="B25">
            <v>19</v>
          </cell>
          <cell r="C25" t="str">
            <v>Raul Maitia</v>
          </cell>
        </row>
        <row r="26">
          <cell r="B26">
            <v>20</v>
          </cell>
          <cell r="C26" t="str">
            <v>Juan Carlos Rey</v>
          </cell>
        </row>
        <row r="27">
          <cell r="B27">
            <v>21</v>
          </cell>
          <cell r="C27" t="str">
            <v>Piray Mini</v>
          </cell>
        </row>
        <row r="28">
          <cell r="B28">
            <v>22</v>
          </cell>
          <cell r="C28" t="str">
            <v>Domingo Massigoge</v>
          </cell>
        </row>
        <row r="29">
          <cell r="B29">
            <v>23</v>
          </cell>
          <cell r="C29" t="str">
            <v>Esteban Dominguez</v>
          </cell>
        </row>
        <row r="30">
          <cell r="B30">
            <v>24</v>
          </cell>
          <cell r="C30" t="str">
            <v>Nugas S.A.</v>
          </cell>
        </row>
        <row r="31">
          <cell r="B31">
            <v>25</v>
          </cell>
          <cell r="C31" t="str">
            <v>Hugo Pascual</v>
          </cell>
        </row>
        <row r="32">
          <cell r="B32">
            <v>26</v>
          </cell>
          <cell r="C32" t="str">
            <v>Oxagro S.A.</v>
          </cell>
        </row>
        <row r="33">
          <cell r="B33">
            <v>27</v>
          </cell>
          <cell r="C33" t="str">
            <v>Biocrop S.A.</v>
          </cell>
        </row>
        <row r="34">
          <cell r="B34">
            <v>28</v>
          </cell>
          <cell r="C34" t="str">
            <v>Agroproductos</v>
          </cell>
        </row>
        <row r="35">
          <cell r="B35">
            <v>29</v>
          </cell>
          <cell r="C35" t="str">
            <v>Parceiros Sul America S.A.</v>
          </cell>
        </row>
        <row r="36">
          <cell r="B36">
            <v>30</v>
          </cell>
          <cell r="C36" t="str">
            <v>Estancia San Pedro S.A.</v>
          </cell>
        </row>
        <row r="37">
          <cell r="B37">
            <v>31</v>
          </cell>
          <cell r="C37" t="str">
            <v>La Gloriosa S.A.</v>
          </cell>
        </row>
        <row r="38">
          <cell r="B38">
            <v>32</v>
          </cell>
          <cell r="C38" t="str">
            <v>Sebastian Pascualini</v>
          </cell>
        </row>
        <row r="39">
          <cell r="B39">
            <v>33</v>
          </cell>
          <cell r="C39" t="str">
            <v>Espartina S.A.</v>
          </cell>
        </row>
        <row r="40">
          <cell r="B40">
            <v>34</v>
          </cell>
          <cell r="C40" t="str">
            <v>Garfin Agro S.A.</v>
          </cell>
        </row>
        <row r="41">
          <cell r="B41">
            <v>35</v>
          </cell>
          <cell r="C41" t="str">
            <v>Federico Sturla</v>
          </cell>
        </row>
        <row r="42">
          <cell r="B42">
            <v>36</v>
          </cell>
          <cell r="C42" t="str">
            <v>Don Balbino</v>
          </cell>
        </row>
        <row r="43">
          <cell r="B43">
            <v>37</v>
          </cell>
          <cell r="C43" t="str">
            <v>Sebastian Martos</v>
          </cell>
        </row>
        <row r="44">
          <cell r="B44">
            <v>38</v>
          </cell>
          <cell r="C44" t="str">
            <v>Julio Bertoloto</v>
          </cell>
        </row>
        <row r="45">
          <cell r="B45">
            <v>39</v>
          </cell>
          <cell r="C45" t="str">
            <v>Fabian Trama</v>
          </cell>
        </row>
        <row r="46">
          <cell r="B46">
            <v>40</v>
          </cell>
          <cell r="C46" t="str">
            <v>Cía. de Tierras Sud Argentino S.A.</v>
          </cell>
        </row>
        <row r="47">
          <cell r="B47">
            <v>41</v>
          </cell>
          <cell r="C47" t="str">
            <v>Cresud S.A.C.I.F y A</v>
          </cell>
        </row>
        <row r="48">
          <cell r="B48">
            <v>42</v>
          </cell>
          <cell r="C48" t="str">
            <v>Juan Carlos Naveira</v>
          </cell>
        </row>
        <row r="49">
          <cell r="B49">
            <v>43</v>
          </cell>
          <cell r="C49" t="str">
            <v>Anuitt S.R.L</v>
          </cell>
        </row>
        <row r="50">
          <cell r="B50">
            <v>44</v>
          </cell>
          <cell r="C50" t="str">
            <v>Francisco Hernandez</v>
          </cell>
        </row>
        <row r="51">
          <cell r="B51">
            <v>45</v>
          </cell>
          <cell r="C51" t="str">
            <v>Guillermo Pugliese</v>
          </cell>
        </row>
        <row r="52">
          <cell r="B52">
            <v>46</v>
          </cell>
          <cell r="C52" t="str">
            <v>Diesil S.A.</v>
          </cell>
        </row>
        <row r="53">
          <cell r="B53">
            <v>47</v>
          </cell>
          <cell r="C53" t="str">
            <v>Agrogenerales S.A.</v>
          </cell>
        </row>
        <row r="54">
          <cell r="B54">
            <v>48</v>
          </cell>
          <cell r="C54" t="str">
            <v>Enrique Dieguez</v>
          </cell>
        </row>
        <row r="55">
          <cell r="B55">
            <v>49</v>
          </cell>
          <cell r="C55" t="str">
            <v>Leonardo Torres</v>
          </cell>
        </row>
        <row r="56">
          <cell r="B56">
            <v>50</v>
          </cell>
          <cell r="C56" t="str">
            <v>Javier Mackrey</v>
          </cell>
        </row>
        <row r="57">
          <cell r="B57">
            <v>51</v>
          </cell>
          <cell r="C57" t="str">
            <v>Eduardo Diaz</v>
          </cell>
        </row>
        <row r="58">
          <cell r="B58">
            <v>52</v>
          </cell>
          <cell r="C58" t="str">
            <v>Federico Montes</v>
          </cell>
        </row>
        <row r="59">
          <cell r="B59">
            <v>53</v>
          </cell>
          <cell r="C59" t="str">
            <v>Francisco Lopez e Ignacio Riccillo</v>
          </cell>
        </row>
        <row r="60">
          <cell r="B60">
            <v>54</v>
          </cell>
          <cell r="C60" t="str">
            <v>Advanta</v>
          </cell>
        </row>
        <row r="61">
          <cell r="B61">
            <v>55</v>
          </cell>
          <cell r="C61" t="str">
            <v>Moro Hue S.A.</v>
          </cell>
        </row>
        <row r="62">
          <cell r="B62">
            <v>56</v>
          </cell>
          <cell r="C62" t="str">
            <v>Guillermo Pailhe</v>
          </cell>
        </row>
        <row r="63">
          <cell r="B63">
            <v>57</v>
          </cell>
          <cell r="C63" t="str">
            <v>Eduardo Fernandino</v>
          </cell>
        </row>
        <row r="64">
          <cell r="B64">
            <v>58</v>
          </cell>
          <cell r="C64" t="str">
            <v>Integral Saneamiento S.R.L.</v>
          </cell>
        </row>
        <row r="65">
          <cell r="B65">
            <v>59</v>
          </cell>
          <cell r="C65" t="str">
            <v>Genova Maire S.A.</v>
          </cell>
        </row>
        <row r="66">
          <cell r="B66">
            <v>60</v>
          </cell>
          <cell r="C66" t="str">
            <v>Forner Hnos y Cia S.A.</v>
          </cell>
        </row>
        <row r="67">
          <cell r="B67">
            <v>61</v>
          </cell>
          <cell r="C67" t="str">
            <v>Cuatro Lagunas S.A.</v>
          </cell>
        </row>
        <row r="68">
          <cell r="B68">
            <v>62</v>
          </cell>
          <cell r="C68" t="str">
            <v>Luis Maria Urabayen</v>
          </cell>
        </row>
        <row r="69">
          <cell r="B69">
            <v>63</v>
          </cell>
          <cell r="C69" t="str">
            <v>Leonardo Diaz</v>
          </cell>
        </row>
        <row r="70">
          <cell r="B70">
            <v>64</v>
          </cell>
        </row>
        <row r="71">
          <cell r="B71">
            <v>65</v>
          </cell>
        </row>
        <row r="72">
          <cell r="B72">
            <v>66</v>
          </cell>
        </row>
        <row r="73">
          <cell r="B73">
            <v>67</v>
          </cell>
        </row>
        <row r="74">
          <cell r="B74">
            <v>68</v>
          </cell>
        </row>
        <row r="75">
          <cell r="B75">
            <v>69</v>
          </cell>
        </row>
        <row r="76">
          <cell r="B76">
            <v>70</v>
          </cell>
        </row>
        <row r="77">
          <cell r="B77">
            <v>71</v>
          </cell>
        </row>
        <row r="78">
          <cell r="B78">
            <v>72</v>
          </cell>
        </row>
        <row r="79">
          <cell r="B79">
            <v>73</v>
          </cell>
        </row>
        <row r="80">
          <cell r="B80">
            <v>74</v>
          </cell>
        </row>
        <row r="81">
          <cell r="B81">
            <v>75</v>
          </cell>
        </row>
        <row r="82">
          <cell r="B82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3"/>
  <sheetViews>
    <sheetView showGridLines="0" tabSelected="1" zoomScaleNormal="100" workbookViewId="0">
      <pane ySplit="4" topLeftCell="A357" activePane="bottomLeft" state="frozen"/>
      <selection activeCell="A2" sqref="A2"/>
      <selection pane="bottomLeft" activeCell="C365" sqref="C365"/>
    </sheetView>
  </sheetViews>
  <sheetFormatPr baseColWidth="10" defaultRowHeight="15" x14ac:dyDescent="0.25"/>
  <cols>
    <col min="1" max="1" width="7.140625" style="22" customWidth="1"/>
    <col min="2" max="2" width="10.85546875" style="48" customWidth="1"/>
    <col min="3" max="3" width="12" style="48" bestFit="1" customWidth="1"/>
    <col min="4" max="4" width="22.5703125" style="48" bestFit="1" customWidth="1"/>
    <col min="5" max="5" width="11.85546875" style="22" bestFit="1" customWidth="1"/>
    <col min="6" max="6" width="30.5703125" style="22" bestFit="1" customWidth="1"/>
    <col min="7" max="7" width="27" style="22" bestFit="1" customWidth="1"/>
    <col min="8" max="8" width="14.5703125" style="40" bestFit="1" customWidth="1"/>
    <col min="9" max="9" width="11.42578125" style="37"/>
    <col min="10" max="10" width="16.28515625" style="37" bestFit="1" customWidth="1"/>
    <col min="11" max="11" width="13.140625" style="37" customWidth="1"/>
    <col min="12" max="12" width="14.140625" style="37" bestFit="1" customWidth="1"/>
    <col min="13" max="14" width="9.85546875" style="38" customWidth="1"/>
    <col min="15" max="15" width="16" style="37" bestFit="1" customWidth="1"/>
    <col min="16" max="16" width="20" style="37" bestFit="1" customWidth="1"/>
    <col min="17" max="17" width="8" style="22" customWidth="1"/>
    <col min="18" max="21" width="11.140625" style="40" customWidth="1"/>
    <col min="22" max="16384" width="11.42578125" style="22"/>
  </cols>
  <sheetData>
    <row r="1" spans="1:21" ht="5.25" customHeight="1" x14ac:dyDescent="0.25">
      <c r="B1" s="30"/>
      <c r="C1" s="30"/>
      <c r="D1" s="30"/>
      <c r="E1" s="31"/>
      <c r="F1" s="31"/>
      <c r="G1" s="31"/>
      <c r="H1" s="32"/>
      <c r="I1" s="33"/>
      <c r="J1" s="33"/>
      <c r="K1" s="33"/>
      <c r="L1" s="33"/>
      <c r="M1" s="34"/>
      <c r="N1" s="34"/>
      <c r="O1" s="33"/>
      <c r="P1" s="33"/>
      <c r="Q1" s="31"/>
      <c r="R1" s="32"/>
      <c r="S1" s="32"/>
      <c r="T1" s="32"/>
      <c r="U1" s="32"/>
    </row>
    <row r="2" spans="1:21" ht="26.25" customHeight="1" x14ac:dyDescent="0.4">
      <c r="B2" s="35" t="s">
        <v>28</v>
      </c>
      <c r="C2" s="35"/>
      <c r="D2" s="35"/>
      <c r="F2" s="22" t="s">
        <v>4</v>
      </c>
      <c r="G2" s="22" t="s">
        <v>4</v>
      </c>
      <c r="H2" s="22"/>
      <c r="O2" s="22"/>
      <c r="P2" s="22"/>
      <c r="Q2" s="39"/>
    </row>
    <row r="3" spans="1:21" ht="21" customHeight="1" x14ac:dyDescent="0.4">
      <c r="B3" s="35"/>
      <c r="C3" s="35"/>
      <c r="D3" s="35" t="s">
        <v>4</v>
      </c>
      <c r="G3" s="36" t="s">
        <v>9</v>
      </c>
      <c r="H3" s="62">
        <f>SUBTOTAL(9,H5:H394)</f>
        <v>57801</v>
      </c>
      <c r="O3" s="36" t="s">
        <v>9</v>
      </c>
      <c r="P3" s="63">
        <f>SUBTOTAL(9,P5:P394)</f>
        <v>224272343.92999965</v>
      </c>
      <c r="Q3" s="39"/>
    </row>
    <row r="4" spans="1:21" ht="15" customHeight="1" x14ac:dyDescent="0.25">
      <c r="B4" s="41" t="s">
        <v>0</v>
      </c>
      <c r="C4" s="41" t="s">
        <v>30</v>
      </c>
      <c r="D4" s="41" t="s">
        <v>27</v>
      </c>
      <c r="E4" s="42" t="s">
        <v>29</v>
      </c>
      <c r="F4" s="42" t="s">
        <v>6</v>
      </c>
      <c r="G4" s="42" t="s">
        <v>8</v>
      </c>
      <c r="H4" s="43" t="s">
        <v>41</v>
      </c>
      <c r="I4" s="44" t="s">
        <v>7</v>
      </c>
      <c r="J4" s="44" t="s">
        <v>5</v>
      </c>
      <c r="K4" s="44" t="s">
        <v>38</v>
      </c>
      <c r="L4" s="44" t="s">
        <v>34</v>
      </c>
      <c r="M4" s="45" t="s">
        <v>1</v>
      </c>
      <c r="N4" s="45" t="s">
        <v>2</v>
      </c>
      <c r="O4" s="44" t="s">
        <v>15</v>
      </c>
      <c r="P4" s="46" t="s">
        <v>3</v>
      </c>
      <c r="R4" s="43" t="s">
        <v>10</v>
      </c>
      <c r="S4" s="43" t="s">
        <v>11</v>
      </c>
      <c r="T4" s="47" t="s">
        <v>12</v>
      </c>
      <c r="U4" s="47" t="s">
        <v>114</v>
      </c>
    </row>
    <row r="5" spans="1:21" x14ac:dyDescent="0.25">
      <c r="B5" s="23">
        <v>45909</v>
      </c>
      <c r="C5" s="24">
        <v>1</v>
      </c>
      <c r="D5" s="18" t="str">
        <f>IFERROR(VLOOKUP(Trabajos!C5,Referencias!$E$7:$F$30,2,FALSE),"")</f>
        <v>Muestreo de suelos</v>
      </c>
      <c r="E5" s="24">
        <v>33</v>
      </c>
      <c r="F5" s="18" t="str">
        <f>IFERROR(VLOOKUP(Trabajos!$E5,Clientes,2,FALSE),"")</f>
        <v>Espartina S.A.</v>
      </c>
      <c r="G5" s="24" t="s">
        <v>232</v>
      </c>
      <c r="H5" s="156">
        <v>80</v>
      </c>
      <c r="I5" s="138">
        <v>947.70673076900005</v>
      </c>
      <c r="J5" s="19">
        <f>IF(H5&lt;&gt;"",H5*I5,"")</f>
        <v>75816.538461520002</v>
      </c>
      <c r="K5" s="26">
        <v>1</v>
      </c>
      <c r="L5" s="19" t="str">
        <f>IFERROR(VLOOKUP(K5,Referencias!$H$7:$I$9,2,FALSE),"")</f>
        <v>Tomas</v>
      </c>
      <c r="M5" s="27">
        <v>0</v>
      </c>
      <c r="N5" s="138">
        <v>576.1</v>
      </c>
      <c r="O5" s="20">
        <f>IF(M5&lt;&gt;"",M5*N5,"")</f>
        <v>0</v>
      </c>
      <c r="P5" s="21">
        <f>IF(J5&lt;&gt;"",J5+O5,"")</f>
        <v>75816.538461520002</v>
      </c>
      <c r="R5" s="112">
        <v>0</v>
      </c>
      <c r="S5" s="112">
        <v>80</v>
      </c>
      <c r="T5" s="113">
        <f>H5-R5-S5</f>
        <v>0</v>
      </c>
      <c r="U5" s="132"/>
    </row>
    <row r="6" spans="1:21" x14ac:dyDescent="0.25">
      <c r="B6" s="23">
        <v>45909</v>
      </c>
      <c r="C6" s="24">
        <v>1</v>
      </c>
      <c r="D6" s="18" t="str">
        <f>IFERROR(VLOOKUP(Trabajos!C6,Referencias!$E$7:$F$30,2,FALSE),"")</f>
        <v>Muestreo de suelos</v>
      </c>
      <c r="E6" s="24">
        <v>33</v>
      </c>
      <c r="F6" s="18" t="str">
        <f>IFERROR(VLOOKUP(Trabajos!$E6,Clientes,2,FALSE),"")</f>
        <v>Espartina S.A.</v>
      </c>
      <c r="G6" s="24" t="s">
        <v>233</v>
      </c>
      <c r="H6" s="156">
        <v>80</v>
      </c>
      <c r="I6" s="138">
        <v>947.70673076900005</v>
      </c>
      <c r="J6" s="19">
        <f>IF(H6&lt;&gt;"",H6*I6,"")</f>
        <v>75816.538461520002</v>
      </c>
      <c r="K6" s="26">
        <v>1</v>
      </c>
      <c r="L6" s="19" t="str">
        <f>IFERROR(VLOOKUP(K6,Referencias!$H$7:$I$9,2,FALSE),"")</f>
        <v>Tomas</v>
      </c>
      <c r="M6" s="27">
        <v>0</v>
      </c>
      <c r="N6" s="138">
        <v>576.1</v>
      </c>
      <c r="O6" s="20">
        <f>IF(M6&lt;&gt;"",M6*N6,"")</f>
        <v>0</v>
      </c>
      <c r="P6" s="21">
        <f>IF(J6&lt;&gt;"",J6+O6,"")</f>
        <v>75816.538461520002</v>
      </c>
      <c r="R6" s="112">
        <v>0</v>
      </c>
      <c r="S6" s="112">
        <v>0</v>
      </c>
      <c r="T6" s="113">
        <f t="shared" ref="T6:T123" si="0">H6-R6-S6</f>
        <v>80</v>
      </c>
      <c r="U6" s="132"/>
    </row>
    <row r="7" spans="1:21" x14ac:dyDescent="0.25">
      <c r="B7" s="23">
        <v>45909</v>
      </c>
      <c r="C7" s="24">
        <v>1</v>
      </c>
      <c r="D7" s="18" t="str">
        <f>IFERROR(VLOOKUP(Trabajos!C7,Referencias!$E$7:$F$30,2,FALSE),"")</f>
        <v>Muestreo de suelos</v>
      </c>
      <c r="E7" s="24">
        <v>33</v>
      </c>
      <c r="F7" s="18" t="str">
        <f>IFERROR(VLOOKUP(Trabajos!$E7,Clientes,2,FALSE),"")</f>
        <v>Espartina S.A.</v>
      </c>
      <c r="G7" s="24" t="s">
        <v>234</v>
      </c>
      <c r="H7" s="156">
        <v>80</v>
      </c>
      <c r="I7" s="138">
        <v>947.70673076900005</v>
      </c>
      <c r="J7" s="19">
        <f t="shared" ref="J7:J72" si="1">IF(H7&lt;&gt;"",H7*I7,"")</f>
        <v>75816.538461520002</v>
      </c>
      <c r="K7" s="26">
        <v>1</v>
      </c>
      <c r="L7" s="19" t="str">
        <f>IFERROR(VLOOKUP(K7,Referencias!$H$7:$I$9,2,FALSE),"")</f>
        <v>Tomas</v>
      </c>
      <c r="M7" s="27">
        <v>0</v>
      </c>
      <c r="N7" s="138">
        <v>576.1</v>
      </c>
      <c r="O7" s="20">
        <f t="shared" ref="O7:O72" si="2">IF(M7&lt;&gt;"",M7*N7,"")</f>
        <v>0</v>
      </c>
      <c r="P7" s="21">
        <f t="shared" ref="P7:P72" si="3">IF(J7&lt;&gt;"",J7+O7,"")</f>
        <v>75816.538461520002</v>
      </c>
      <c r="Q7" s="22" t="s">
        <v>4</v>
      </c>
      <c r="R7" s="112">
        <v>0</v>
      </c>
      <c r="S7" s="112">
        <v>0</v>
      </c>
      <c r="T7" s="113">
        <f t="shared" si="0"/>
        <v>80</v>
      </c>
      <c r="U7" s="132"/>
    </row>
    <row r="8" spans="1:21" x14ac:dyDescent="0.25">
      <c r="B8" s="23">
        <v>45909</v>
      </c>
      <c r="C8" s="24">
        <v>1</v>
      </c>
      <c r="D8" s="18" t="str">
        <f>IFERROR(VLOOKUP(Trabajos!C8,Referencias!$E$7:$F$30,2,FALSE),"")</f>
        <v>Muestreo de suelos</v>
      </c>
      <c r="E8" s="24">
        <v>33</v>
      </c>
      <c r="F8" s="18" t="str">
        <f>IFERROR(VLOOKUP(Trabajos!$E8,Clientes,2,FALSE),"")</f>
        <v>Espartina S.A.</v>
      </c>
      <c r="G8" s="24" t="s">
        <v>235</v>
      </c>
      <c r="H8" s="156">
        <v>80</v>
      </c>
      <c r="I8" s="138">
        <v>947.70673076900005</v>
      </c>
      <c r="J8" s="19">
        <f t="shared" si="1"/>
        <v>75816.538461520002</v>
      </c>
      <c r="K8" s="26">
        <v>1</v>
      </c>
      <c r="L8" s="19" t="str">
        <f>IFERROR(VLOOKUP(K8,Referencias!$H$7:$I$9,2,FALSE),"")</f>
        <v>Tomas</v>
      </c>
      <c r="M8" s="27">
        <v>184</v>
      </c>
      <c r="N8" s="138">
        <v>576.1</v>
      </c>
      <c r="O8" s="20">
        <f t="shared" si="2"/>
        <v>106002.40000000001</v>
      </c>
      <c r="P8" s="21">
        <f t="shared" si="3"/>
        <v>181818.93846152001</v>
      </c>
      <c r="Q8" s="22" t="s">
        <v>4</v>
      </c>
      <c r="R8" s="112">
        <v>0</v>
      </c>
      <c r="S8" s="112">
        <v>0</v>
      </c>
      <c r="T8" s="113">
        <f t="shared" si="0"/>
        <v>80</v>
      </c>
      <c r="U8" s="132"/>
    </row>
    <row r="9" spans="1:21" x14ac:dyDescent="0.25">
      <c r="B9" s="23">
        <v>45911</v>
      </c>
      <c r="C9" s="24">
        <v>1</v>
      </c>
      <c r="D9" s="18" t="str">
        <f>IFERROR(VLOOKUP(Trabajos!C9,Referencias!$E$7:$F$30,2,FALSE),"")</f>
        <v>Muestreo de suelos</v>
      </c>
      <c r="E9" s="24">
        <v>33</v>
      </c>
      <c r="F9" s="18" t="str">
        <f>IFERROR(VLOOKUP(Trabajos!$E9,Clientes,2,FALSE),"")</f>
        <v>Espartina S.A.</v>
      </c>
      <c r="G9" s="24" t="s">
        <v>239</v>
      </c>
      <c r="H9" s="156">
        <v>80</v>
      </c>
      <c r="I9" s="138">
        <v>947.70673076900005</v>
      </c>
      <c r="J9" s="19">
        <f t="shared" si="1"/>
        <v>75816.538461520002</v>
      </c>
      <c r="K9" s="26">
        <v>1</v>
      </c>
      <c r="L9" s="19" t="str">
        <f>IFERROR(VLOOKUP(K9,Referencias!$H$7:$I$9,2,FALSE),"")</f>
        <v>Tomas</v>
      </c>
      <c r="M9" s="27">
        <v>270</v>
      </c>
      <c r="N9" s="28">
        <v>576.1</v>
      </c>
      <c r="O9" s="20">
        <f t="shared" si="2"/>
        <v>155547</v>
      </c>
      <c r="P9" s="21">
        <f t="shared" si="3"/>
        <v>231363.53846151999</v>
      </c>
      <c r="Q9" s="22" t="s">
        <v>4</v>
      </c>
      <c r="R9" s="112">
        <v>0</v>
      </c>
      <c r="S9" s="112">
        <v>80</v>
      </c>
      <c r="T9" s="113">
        <f t="shared" si="0"/>
        <v>0</v>
      </c>
      <c r="U9" s="132"/>
    </row>
    <row r="10" spans="1:21" x14ac:dyDescent="0.25">
      <c r="B10" s="23">
        <v>45911</v>
      </c>
      <c r="C10" s="24">
        <v>1</v>
      </c>
      <c r="D10" s="18" t="str">
        <f>IFERROR(VLOOKUP(Trabajos!C10,Referencias!$E$7:$F$30,2,FALSE),"")</f>
        <v>Muestreo de suelos</v>
      </c>
      <c r="E10" s="24">
        <v>33</v>
      </c>
      <c r="F10" s="18" t="str">
        <f>IFERROR(VLOOKUP(Trabajos!$E10,Clientes,2,FALSE),"")</f>
        <v>Espartina S.A.</v>
      </c>
      <c r="G10" s="24" t="s">
        <v>240</v>
      </c>
      <c r="H10" s="156">
        <v>80</v>
      </c>
      <c r="I10" s="138">
        <v>947.70673076900005</v>
      </c>
      <c r="J10" s="19">
        <f t="shared" si="1"/>
        <v>75816.538461520002</v>
      </c>
      <c r="K10" s="26">
        <v>1</v>
      </c>
      <c r="L10" s="19" t="str">
        <f>IFERROR(VLOOKUP(K10,Referencias!$H$7:$I$9,2,FALSE),"")</f>
        <v>Tomas</v>
      </c>
      <c r="M10" s="27">
        <v>0</v>
      </c>
      <c r="N10" s="28">
        <v>576.1</v>
      </c>
      <c r="O10" s="20">
        <f t="shared" si="2"/>
        <v>0</v>
      </c>
      <c r="P10" s="21">
        <f t="shared" si="3"/>
        <v>75816.538461520002</v>
      </c>
      <c r="Q10" s="22" t="s">
        <v>4</v>
      </c>
      <c r="R10" s="112">
        <v>0</v>
      </c>
      <c r="S10" s="112">
        <v>0</v>
      </c>
      <c r="T10" s="113">
        <f t="shared" si="0"/>
        <v>80</v>
      </c>
      <c r="U10" s="132"/>
    </row>
    <row r="11" spans="1:21" x14ac:dyDescent="0.25">
      <c r="B11" s="23">
        <v>45912</v>
      </c>
      <c r="C11" s="24">
        <v>10</v>
      </c>
      <c r="D11" s="18" t="str">
        <f>IFERROR(VLOOKUP(Trabajos!C11,Referencias!$E$7:$F$30,2,FALSE),"")</f>
        <v>Mapeo Dron</v>
      </c>
      <c r="E11" s="24">
        <v>122</v>
      </c>
      <c r="F11" s="18" t="str">
        <f>IFERROR(VLOOKUP(Trabajos!$E11,Clientes,2,FALSE),"")</f>
        <v>Martin Juarez</v>
      </c>
      <c r="G11" s="24" t="s">
        <v>244</v>
      </c>
      <c r="H11" s="25">
        <v>50</v>
      </c>
      <c r="I11" s="138">
        <v>7625.8</v>
      </c>
      <c r="J11" s="19">
        <f t="shared" si="1"/>
        <v>381290</v>
      </c>
      <c r="K11" s="26">
        <v>1</v>
      </c>
      <c r="L11" s="19" t="str">
        <f>IFERROR(VLOOKUP(K11,Referencias!$H$7:$I$9,2,FALSE),"")</f>
        <v>Tomas</v>
      </c>
      <c r="M11" s="27">
        <v>0</v>
      </c>
      <c r="N11" s="28">
        <v>650</v>
      </c>
      <c r="O11" s="20">
        <f t="shared" si="2"/>
        <v>0</v>
      </c>
      <c r="P11" s="21">
        <f t="shared" si="3"/>
        <v>381290</v>
      </c>
      <c r="Q11" s="22" t="s">
        <v>4</v>
      </c>
      <c r="R11" s="112">
        <v>0</v>
      </c>
      <c r="S11" s="112">
        <v>50</v>
      </c>
      <c r="T11" s="113">
        <f t="shared" si="0"/>
        <v>0</v>
      </c>
      <c r="U11" s="132"/>
    </row>
    <row r="12" spans="1:21" x14ac:dyDescent="0.25">
      <c r="A12" s="22" t="s">
        <v>4</v>
      </c>
      <c r="B12" s="23">
        <v>45913</v>
      </c>
      <c r="C12" s="24">
        <v>2</v>
      </c>
      <c r="D12" s="18" t="str">
        <f>IFERROR(VLOOKUP(Trabajos!C12,Referencias!$E$7:$F$30,2,FALSE),"")</f>
        <v>Monitoreo de bb y bab</v>
      </c>
      <c r="E12" s="24">
        <v>33</v>
      </c>
      <c r="F12" s="18" t="str">
        <f>IFERROR(VLOOKUP(Trabajos!$E12,Clientes,2,FALSE),"")</f>
        <v>Espartina S.A.</v>
      </c>
      <c r="G12" s="24" t="s">
        <v>245</v>
      </c>
      <c r="H12" s="25">
        <v>107</v>
      </c>
      <c r="I12" s="138">
        <v>3318.75</v>
      </c>
      <c r="J12" s="19">
        <f t="shared" si="1"/>
        <v>355106.25</v>
      </c>
      <c r="K12" s="26">
        <v>1</v>
      </c>
      <c r="L12" s="19" t="str">
        <f>IFERROR(VLOOKUP(K12,Referencias!$H$7:$I$9,2,FALSE),"")</f>
        <v>Tomas</v>
      </c>
      <c r="M12" s="208">
        <v>364</v>
      </c>
      <c r="N12" s="28">
        <v>576.1</v>
      </c>
      <c r="O12" s="20">
        <f t="shared" si="2"/>
        <v>209700.4</v>
      </c>
      <c r="P12" s="21">
        <f t="shared" si="3"/>
        <v>564806.65</v>
      </c>
      <c r="Q12" s="22" t="s">
        <v>4</v>
      </c>
      <c r="R12" s="112">
        <v>0</v>
      </c>
      <c r="S12" s="112">
        <v>70</v>
      </c>
      <c r="T12" s="113">
        <f t="shared" si="0"/>
        <v>37</v>
      </c>
      <c r="U12" s="132"/>
    </row>
    <row r="13" spans="1:21" x14ac:dyDescent="0.25">
      <c r="B13" s="23">
        <v>45913</v>
      </c>
      <c r="C13" s="24">
        <v>2</v>
      </c>
      <c r="D13" s="18" t="str">
        <f>IFERROR(VLOOKUP(Trabajos!C13,Referencias!$E$7:$F$30,2,FALSE),"")</f>
        <v>Monitoreo de bb y bab</v>
      </c>
      <c r="E13" s="24">
        <v>33</v>
      </c>
      <c r="F13" s="18" t="str">
        <f>IFERROR(VLOOKUP(Trabajos!$E13,Clientes,2,FALSE),"")</f>
        <v>Espartina S.A.</v>
      </c>
      <c r="G13" s="24" t="s">
        <v>246</v>
      </c>
      <c r="H13" s="25">
        <v>173</v>
      </c>
      <c r="I13" s="138">
        <v>3318.75</v>
      </c>
      <c r="J13" s="19">
        <f t="shared" si="1"/>
        <v>574143.75</v>
      </c>
      <c r="K13" s="26">
        <v>1</v>
      </c>
      <c r="L13" s="19" t="str">
        <f>IFERROR(VLOOKUP(K13,Referencias!$H$7:$I$9,2,FALSE),"")</f>
        <v>Tomas</v>
      </c>
      <c r="M13" s="208">
        <v>340</v>
      </c>
      <c r="N13" s="28">
        <v>576.1</v>
      </c>
      <c r="O13" s="20">
        <f t="shared" si="2"/>
        <v>195874</v>
      </c>
      <c r="P13" s="21">
        <f t="shared" si="3"/>
        <v>770017.75</v>
      </c>
      <c r="Q13" s="22" t="s">
        <v>4</v>
      </c>
      <c r="R13" s="112">
        <v>0</v>
      </c>
      <c r="S13" s="112">
        <v>0</v>
      </c>
      <c r="T13" s="113">
        <f t="shared" si="0"/>
        <v>173</v>
      </c>
      <c r="U13" s="132"/>
    </row>
    <row r="14" spans="1:21" x14ac:dyDescent="0.25">
      <c r="B14" s="23">
        <v>45913</v>
      </c>
      <c r="C14" s="24">
        <v>1</v>
      </c>
      <c r="D14" s="18" t="str">
        <f>IFERROR(VLOOKUP(Trabajos!C14,Referencias!$E$7:$F$30,2,FALSE),"")</f>
        <v>Muestreo de suelos</v>
      </c>
      <c r="E14" s="24">
        <v>33</v>
      </c>
      <c r="F14" s="18" t="str">
        <f>IFERROR(VLOOKUP(Trabajos!$E14,Clientes,2,FALSE),"")</f>
        <v>Espartina S.A.</v>
      </c>
      <c r="G14" s="24" t="s">
        <v>245</v>
      </c>
      <c r="H14" s="156">
        <v>80</v>
      </c>
      <c r="I14" s="138">
        <v>947.70673076900005</v>
      </c>
      <c r="J14" s="19">
        <f t="shared" si="1"/>
        <v>75816.538461520002</v>
      </c>
      <c r="K14" s="26">
        <v>1</v>
      </c>
      <c r="L14" s="19" t="str">
        <f>IFERROR(VLOOKUP(K14,Referencias!$H$7:$I$9,2,FALSE),"")</f>
        <v>Tomas</v>
      </c>
      <c r="M14" s="27">
        <v>0</v>
      </c>
      <c r="N14" s="28">
        <v>576.1</v>
      </c>
      <c r="O14" s="20">
        <f t="shared" si="2"/>
        <v>0</v>
      </c>
      <c r="P14" s="21">
        <f t="shared" si="3"/>
        <v>75816.538461520002</v>
      </c>
      <c r="Q14" s="22" t="s">
        <v>4</v>
      </c>
      <c r="R14" s="112">
        <v>0</v>
      </c>
      <c r="S14" s="112">
        <v>0</v>
      </c>
      <c r="T14" s="113">
        <f t="shared" si="0"/>
        <v>80</v>
      </c>
      <c r="U14" s="132"/>
    </row>
    <row r="15" spans="1:21" x14ac:dyDescent="0.25">
      <c r="B15" s="23">
        <v>45913</v>
      </c>
      <c r="C15" s="24">
        <v>1</v>
      </c>
      <c r="D15" s="18" t="str">
        <f>IFERROR(VLOOKUP(Trabajos!C15,Referencias!$E$7:$F$30,2,FALSE),"")</f>
        <v>Muestreo de suelos</v>
      </c>
      <c r="E15" s="24">
        <v>33</v>
      </c>
      <c r="F15" s="18" t="str">
        <f>IFERROR(VLOOKUP(Trabajos!$E15,Clientes,2,FALSE),"")</f>
        <v>Espartina S.A.</v>
      </c>
      <c r="G15" s="24" t="s">
        <v>246</v>
      </c>
      <c r="H15" s="156">
        <v>80</v>
      </c>
      <c r="I15" s="138">
        <v>947.70673076900005</v>
      </c>
      <c r="J15" s="19">
        <f t="shared" si="1"/>
        <v>75816.538461520002</v>
      </c>
      <c r="K15" s="26">
        <v>1</v>
      </c>
      <c r="L15" s="19" t="str">
        <f>IFERROR(VLOOKUP(K15,Referencias!$H$7:$I$9,2,FALSE),"")</f>
        <v>Tomas</v>
      </c>
      <c r="M15" s="208">
        <v>0</v>
      </c>
      <c r="N15" s="28">
        <v>576.1</v>
      </c>
      <c r="O15" s="20">
        <f t="shared" si="2"/>
        <v>0</v>
      </c>
      <c r="P15" s="21">
        <f t="shared" si="3"/>
        <v>75816.538461520002</v>
      </c>
      <c r="R15" s="112">
        <v>0</v>
      </c>
      <c r="S15" s="112">
        <v>0</v>
      </c>
      <c r="T15" s="113">
        <f t="shared" si="0"/>
        <v>80</v>
      </c>
      <c r="U15" s="132"/>
    </row>
    <row r="16" spans="1:21" x14ac:dyDescent="0.25">
      <c r="B16" s="23">
        <v>45914</v>
      </c>
      <c r="C16" s="24">
        <v>2</v>
      </c>
      <c r="D16" s="18" t="str">
        <f>IFERROR(VLOOKUP(Trabajos!C16,Referencias!$E$7:$F$30,2,FALSE),"")</f>
        <v>Monitoreo de bb y bab</v>
      </c>
      <c r="E16" s="24">
        <v>33</v>
      </c>
      <c r="F16" s="18" t="str">
        <f>IFERROR(VLOOKUP(Trabajos!$E16,Clientes,2,FALSE),"")</f>
        <v>Espartina S.A.</v>
      </c>
      <c r="G16" s="24" t="s">
        <v>247</v>
      </c>
      <c r="H16" s="156">
        <v>379</v>
      </c>
      <c r="I16" s="138">
        <v>3318.75</v>
      </c>
      <c r="J16" s="19">
        <f t="shared" si="1"/>
        <v>1257806.25</v>
      </c>
      <c r="K16" s="26">
        <v>1</v>
      </c>
      <c r="L16" s="19" t="str">
        <f>IFERROR(VLOOKUP(K16,Referencias!$H$7:$I$9,2,FALSE),"")</f>
        <v>Tomas</v>
      </c>
      <c r="M16" s="27">
        <v>172</v>
      </c>
      <c r="N16" s="29">
        <v>576.1</v>
      </c>
      <c r="O16" s="20">
        <f t="shared" si="2"/>
        <v>99089.2</v>
      </c>
      <c r="P16" s="21">
        <f t="shared" si="3"/>
        <v>1356895.45</v>
      </c>
      <c r="R16" s="112">
        <v>0</v>
      </c>
      <c r="S16" s="112">
        <v>95</v>
      </c>
      <c r="T16" s="113">
        <f t="shared" si="0"/>
        <v>284</v>
      </c>
      <c r="U16" s="132"/>
    </row>
    <row r="17" spans="1:21" x14ac:dyDescent="0.25">
      <c r="B17" s="23">
        <v>45914</v>
      </c>
      <c r="C17" s="24">
        <v>1</v>
      </c>
      <c r="D17" s="18" t="str">
        <f>IFERROR(VLOOKUP(Trabajos!C17,Referencias!$E$7:$F$30,2,FALSE),"")</f>
        <v>Muestreo de suelos</v>
      </c>
      <c r="E17" s="24">
        <v>33</v>
      </c>
      <c r="F17" s="18" t="str">
        <f>IFERROR(VLOOKUP(Trabajos!$E17,Clientes,2,FALSE),"")</f>
        <v>Espartina S.A.</v>
      </c>
      <c r="G17" s="24" t="s">
        <v>247</v>
      </c>
      <c r="H17" s="156">
        <v>80</v>
      </c>
      <c r="I17" s="138">
        <v>947.70673076900005</v>
      </c>
      <c r="J17" s="19">
        <f t="shared" si="1"/>
        <v>75816.538461520002</v>
      </c>
      <c r="K17" s="26">
        <v>1</v>
      </c>
      <c r="L17" s="19" t="str">
        <f>IFERROR(VLOOKUP(K17,Referencias!$H$7:$I$9,2,FALSE),"")</f>
        <v>Tomas</v>
      </c>
      <c r="M17" s="27">
        <v>0</v>
      </c>
      <c r="N17" s="28">
        <v>576.1</v>
      </c>
      <c r="O17" s="20">
        <f t="shared" si="2"/>
        <v>0</v>
      </c>
      <c r="P17" s="21">
        <f t="shared" si="3"/>
        <v>75816.538461520002</v>
      </c>
      <c r="R17" s="112">
        <v>0</v>
      </c>
      <c r="S17" s="112">
        <v>0</v>
      </c>
      <c r="T17" s="113">
        <f t="shared" si="0"/>
        <v>80</v>
      </c>
      <c r="U17" s="132"/>
    </row>
    <row r="18" spans="1:21" x14ac:dyDescent="0.25">
      <c r="B18" s="23">
        <v>45915</v>
      </c>
      <c r="C18" s="24">
        <v>2</v>
      </c>
      <c r="D18" s="18" t="str">
        <f>IFERROR(VLOOKUP(Trabajos!C18,Referencias!$E$7:$F$30,2,FALSE),"")</f>
        <v>Monitoreo de bb y bab</v>
      </c>
      <c r="E18" s="24">
        <v>33</v>
      </c>
      <c r="F18" s="18" t="str">
        <f>IFERROR(VLOOKUP(Trabajos!$E18,Clientes,2,FALSE),"")</f>
        <v>Espartina S.A.</v>
      </c>
      <c r="G18" s="24" t="s">
        <v>248</v>
      </c>
      <c r="H18" s="156">
        <v>228</v>
      </c>
      <c r="I18" s="138">
        <v>3318.75</v>
      </c>
      <c r="J18" s="19">
        <f t="shared" si="1"/>
        <v>756675</v>
      </c>
      <c r="K18" s="26">
        <v>1</v>
      </c>
      <c r="L18" s="19" t="str">
        <f>IFERROR(VLOOKUP(K18,Referencias!$H$7:$I$9,2,FALSE),"")</f>
        <v>Tomas</v>
      </c>
      <c r="M18" s="27">
        <v>328</v>
      </c>
      <c r="N18" s="29">
        <v>576.1</v>
      </c>
      <c r="O18" s="20">
        <f t="shared" si="2"/>
        <v>188960.80000000002</v>
      </c>
      <c r="P18" s="21">
        <f t="shared" si="3"/>
        <v>945635.8</v>
      </c>
      <c r="R18" s="112">
        <v>0</v>
      </c>
      <c r="S18" s="112">
        <v>57</v>
      </c>
      <c r="T18" s="113">
        <f t="shared" si="0"/>
        <v>171</v>
      </c>
      <c r="U18" s="132"/>
    </row>
    <row r="19" spans="1:21" x14ac:dyDescent="0.25">
      <c r="A19" s="22" t="s">
        <v>4</v>
      </c>
      <c r="B19" s="23">
        <v>45915</v>
      </c>
      <c r="C19" s="24">
        <v>1</v>
      </c>
      <c r="D19" s="18" t="str">
        <f>IFERROR(VLOOKUP(Trabajos!C19,Referencias!$E$7:$F$30,2,FALSE),"")</f>
        <v>Muestreo de suelos</v>
      </c>
      <c r="E19" s="24">
        <v>33</v>
      </c>
      <c r="F19" s="18" t="str">
        <f>IFERROR(VLOOKUP(Trabajos!$E19,Clientes,2,FALSE),"")</f>
        <v>Espartina S.A.</v>
      </c>
      <c r="G19" s="24" t="s">
        <v>248</v>
      </c>
      <c r="H19" s="156">
        <v>80</v>
      </c>
      <c r="I19" s="138">
        <v>947.70673076900005</v>
      </c>
      <c r="J19" s="19">
        <f t="shared" si="1"/>
        <v>75816.538461520002</v>
      </c>
      <c r="K19" s="26">
        <v>1</v>
      </c>
      <c r="L19" s="19" t="str">
        <f>IFERROR(VLOOKUP(K19,Referencias!$H$7:$I$9,2,FALSE),"")</f>
        <v>Tomas</v>
      </c>
      <c r="M19" s="27">
        <v>0</v>
      </c>
      <c r="N19" s="29">
        <v>576.1</v>
      </c>
      <c r="O19" s="20">
        <f t="shared" si="2"/>
        <v>0</v>
      </c>
      <c r="P19" s="21">
        <f t="shared" si="3"/>
        <v>75816.538461520002</v>
      </c>
      <c r="R19" s="112">
        <v>0</v>
      </c>
      <c r="S19" s="112">
        <v>0</v>
      </c>
      <c r="T19" s="113">
        <f t="shared" si="0"/>
        <v>80</v>
      </c>
      <c r="U19" s="132"/>
    </row>
    <row r="20" spans="1:21" x14ac:dyDescent="0.25">
      <c r="B20" s="23">
        <v>45916</v>
      </c>
      <c r="C20" s="24">
        <v>2</v>
      </c>
      <c r="D20" s="18" t="str">
        <f>IFERROR(VLOOKUP(Trabajos!C20,Referencias!$E$7:$F$30,2,FALSE),"")</f>
        <v>Monitoreo de bb y bab</v>
      </c>
      <c r="E20" s="24">
        <v>33</v>
      </c>
      <c r="F20" s="18" t="str">
        <f>IFERROR(VLOOKUP(Trabajos!$E20,Clientes,2,FALSE),"")</f>
        <v>Espartina S.A.</v>
      </c>
      <c r="G20" s="24" t="s">
        <v>249</v>
      </c>
      <c r="H20" s="156">
        <v>169</v>
      </c>
      <c r="I20" s="138">
        <v>3270.37</v>
      </c>
      <c r="J20" s="19">
        <f t="shared" si="1"/>
        <v>552692.53</v>
      </c>
      <c r="K20" s="26">
        <v>1</v>
      </c>
      <c r="L20" s="19" t="str">
        <f>IFERROR(VLOOKUP(K20,Referencias!$H$7:$I$9,2,FALSE),"")</f>
        <v>Tomas</v>
      </c>
      <c r="M20" s="208">
        <v>370</v>
      </c>
      <c r="N20" s="152">
        <v>633.85</v>
      </c>
      <c r="O20" s="20">
        <f t="shared" si="2"/>
        <v>234524.5</v>
      </c>
      <c r="P20" s="21">
        <f t="shared" si="3"/>
        <v>787217.03</v>
      </c>
      <c r="R20" s="112">
        <v>0</v>
      </c>
      <c r="S20" s="112">
        <v>42</v>
      </c>
      <c r="T20" s="113">
        <f t="shared" si="0"/>
        <v>127</v>
      </c>
      <c r="U20" s="132"/>
    </row>
    <row r="21" spans="1:21" x14ac:dyDescent="0.25">
      <c r="B21" s="23">
        <v>45916</v>
      </c>
      <c r="C21" s="24">
        <v>1</v>
      </c>
      <c r="D21" s="18" t="str">
        <f>IFERROR(VLOOKUP(Trabajos!C21,Referencias!$E$7:$F$30,2,FALSE),"")</f>
        <v>Muestreo de suelos</v>
      </c>
      <c r="E21" s="24">
        <v>33</v>
      </c>
      <c r="F21" s="18" t="str">
        <f>IFERROR(VLOOKUP(Trabajos!$E21,Clientes,2,FALSE),"")</f>
        <v>Espartina S.A.</v>
      </c>
      <c r="G21" s="217" t="s">
        <v>249</v>
      </c>
      <c r="H21" s="156">
        <v>80</v>
      </c>
      <c r="I21" s="138">
        <v>947.70673076900005</v>
      </c>
      <c r="J21" s="19">
        <f t="shared" si="1"/>
        <v>75816.538461520002</v>
      </c>
      <c r="K21" s="26">
        <v>1</v>
      </c>
      <c r="L21" s="19" t="str">
        <f>IFERROR(VLOOKUP(K21,Referencias!$H$7:$I$9,2,FALSE),"")</f>
        <v>Tomas</v>
      </c>
      <c r="M21" s="208">
        <v>0</v>
      </c>
      <c r="N21" s="29">
        <v>588</v>
      </c>
      <c r="O21" s="20">
        <f t="shared" si="2"/>
        <v>0</v>
      </c>
      <c r="P21" s="21">
        <f t="shared" si="3"/>
        <v>75816.538461520002</v>
      </c>
      <c r="R21" s="112">
        <v>0</v>
      </c>
      <c r="S21" s="112">
        <v>0</v>
      </c>
      <c r="T21" s="113">
        <f t="shared" si="0"/>
        <v>80</v>
      </c>
      <c r="U21" s="132"/>
    </row>
    <row r="22" spans="1:21" x14ac:dyDescent="0.25">
      <c r="B22" s="23">
        <v>45916</v>
      </c>
      <c r="C22" s="24">
        <v>2</v>
      </c>
      <c r="D22" s="18" t="str">
        <f>IFERROR(VLOOKUP(Trabajos!C22,Referencias!$E$7:$F$30,2,FALSE),"")</f>
        <v>Monitoreo de bb y bab</v>
      </c>
      <c r="E22" s="24">
        <v>33</v>
      </c>
      <c r="F22" s="18" t="str">
        <f>IFERROR(VLOOKUP(Trabajos!$E22,Clientes,2,FALSE),"")</f>
        <v>Espartina S.A.</v>
      </c>
      <c r="G22" s="24" t="s">
        <v>250</v>
      </c>
      <c r="H22" s="25">
        <v>207</v>
      </c>
      <c r="I22" s="138">
        <v>3318.75</v>
      </c>
      <c r="J22" s="19">
        <f t="shared" si="1"/>
        <v>686981.25</v>
      </c>
      <c r="K22" s="26">
        <v>2</v>
      </c>
      <c r="L22" s="19" t="str">
        <f>IFERROR(VLOOKUP(K22,Referencias!$H$7:$I$9,2,FALSE),"")</f>
        <v>Paco</v>
      </c>
      <c r="M22" s="208">
        <v>212</v>
      </c>
      <c r="N22" s="29">
        <v>576.1</v>
      </c>
      <c r="O22" s="20">
        <f t="shared" si="2"/>
        <v>122133.20000000001</v>
      </c>
      <c r="P22" s="21">
        <f t="shared" si="3"/>
        <v>809114.45</v>
      </c>
      <c r="R22" s="112">
        <v>52</v>
      </c>
      <c r="S22" s="112">
        <v>0</v>
      </c>
      <c r="T22" s="113">
        <f t="shared" si="0"/>
        <v>155</v>
      </c>
      <c r="U22" s="132"/>
    </row>
    <row r="23" spans="1:21" ht="14.25" customHeight="1" x14ac:dyDescent="0.25">
      <c r="B23" s="23">
        <v>45917</v>
      </c>
      <c r="C23" s="24">
        <v>2</v>
      </c>
      <c r="D23" s="18" t="str">
        <f>IFERROR(VLOOKUP(Trabajos!C23,Referencias!$E$7:$F$30,2,FALSE),"")</f>
        <v>Monitoreo de bb y bab</v>
      </c>
      <c r="E23" s="24">
        <v>33</v>
      </c>
      <c r="F23" s="18" t="str">
        <f>IFERROR(VLOOKUP(Trabajos!$E23,Clientes,2,FALSE),"")</f>
        <v>Espartina S.A.</v>
      </c>
      <c r="G23" s="24" t="s">
        <v>252</v>
      </c>
      <c r="H23" s="25">
        <v>282</v>
      </c>
      <c r="I23" s="138">
        <v>3205.12</v>
      </c>
      <c r="J23" s="19">
        <f t="shared" si="1"/>
        <v>903843.83999999997</v>
      </c>
      <c r="K23" s="26">
        <v>1</v>
      </c>
      <c r="L23" s="19" t="str">
        <f>IFERROR(VLOOKUP(K23,Referencias!$H$7:$I$9,2,FALSE),"")</f>
        <v>Tomas</v>
      </c>
      <c r="M23" s="208">
        <v>208</v>
      </c>
      <c r="N23" s="29">
        <v>588</v>
      </c>
      <c r="O23" s="20">
        <f t="shared" si="2"/>
        <v>122304</v>
      </c>
      <c r="P23" s="21">
        <f t="shared" si="3"/>
        <v>1026147.84</v>
      </c>
      <c r="R23" s="112">
        <v>0</v>
      </c>
      <c r="S23" s="112">
        <v>70</v>
      </c>
      <c r="T23" s="113">
        <f t="shared" si="0"/>
        <v>212</v>
      </c>
      <c r="U23" s="132"/>
    </row>
    <row r="24" spans="1:21" x14ac:dyDescent="0.25">
      <c r="B24" s="23">
        <v>45917</v>
      </c>
      <c r="C24" s="24">
        <v>2</v>
      </c>
      <c r="D24" s="18" t="str">
        <f>IFERROR(VLOOKUP(Trabajos!C24,Referencias!$E$7:$F$30,2,FALSE),"")</f>
        <v>Monitoreo de bb y bab</v>
      </c>
      <c r="E24" s="24">
        <v>33</v>
      </c>
      <c r="F24" s="18" t="str">
        <f>IFERROR(VLOOKUP(Trabajos!$E24,Clientes,2,FALSE),"")</f>
        <v>Espartina S.A.</v>
      </c>
      <c r="G24" s="24" t="s">
        <v>251</v>
      </c>
      <c r="H24" s="25">
        <v>170</v>
      </c>
      <c r="I24" s="138">
        <v>3318.75</v>
      </c>
      <c r="J24" s="19">
        <f t="shared" si="1"/>
        <v>564187.5</v>
      </c>
      <c r="K24" s="26">
        <v>2</v>
      </c>
      <c r="L24" s="19" t="str">
        <f>IFERROR(VLOOKUP(K24,Referencias!$H$7:$I$9,2,FALSE),"")</f>
        <v>Paco</v>
      </c>
      <c r="M24" s="208">
        <v>230</v>
      </c>
      <c r="N24" s="29">
        <v>576.1</v>
      </c>
      <c r="O24" s="20">
        <f t="shared" si="2"/>
        <v>132503</v>
      </c>
      <c r="P24" s="21">
        <f t="shared" si="3"/>
        <v>696690.5</v>
      </c>
      <c r="Q24" s="22" t="s">
        <v>4</v>
      </c>
      <c r="R24" s="112">
        <v>54</v>
      </c>
      <c r="S24" s="112">
        <v>0</v>
      </c>
      <c r="T24" s="113">
        <f t="shared" si="0"/>
        <v>116</v>
      </c>
      <c r="U24" s="132"/>
    </row>
    <row r="25" spans="1:21" x14ac:dyDescent="0.25">
      <c r="B25" s="23">
        <v>45912</v>
      </c>
      <c r="C25" s="24">
        <v>1</v>
      </c>
      <c r="D25" s="18" t="str">
        <f>IFERROR(VLOOKUP(Trabajos!C25,Referencias!$E$7:$F$30,2,FALSE),"")</f>
        <v>Muestreo de suelos</v>
      </c>
      <c r="E25" s="24">
        <v>33</v>
      </c>
      <c r="F25" s="18" t="str">
        <f>IFERROR(VLOOKUP(Trabajos!$E25,Clientes,2,FALSE),"")</f>
        <v>Espartina S.A.</v>
      </c>
      <c r="G25" s="24" t="s">
        <v>255</v>
      </c>
      <c r="H25" s="156">
        <v>80</v>
      </c>
      <c r="I25" s="138">
        <v>947.70673076900005</v>
      </c>
      <c r="J25" s="19">
        <f t="shared" si="1"/>
        <v>75816.538461520002</v>
      </c>
      <c r="K25" s="26">
        <v>3</v>
      </c>
      <c r="L25" s="19" t="str">
        <f>IFERROR(VLOOKUP(K25,Referencias!$H$7:$I$9,2,FALSE),"")</f>
        <v>Zoom</v>
      </c>
      <c r="M25" s="208">
        <v>112</v>
      </c>
      <c r="N25" s="29">
        <v>576.1</v>
      </c>
      <c r="O25" s="20">
        <f t="shared" si="2"/>
        <v>64523.200000000004</v>
      </c>
      <c r="P25" s="21">
        <f t="shared" si="3"/>
        <v>140339.73846152</v>
      </c>
      <c r="Q25" s="22" t="s">
        <v>4</v>
      </c>
      <c r="R25" s="112">
        <v>0</v>
      </c>
      <c r="S25" s="112">
        <v>0</v>
      </c>
      <c r="T25" s="113">
        <f t="shared" si="0"/>
        <v>80</v>
      </c>
      <c r="U25" s="132"/>
    </row>
    <row r="26" spans="1:21" x14ac:dyDescent="0.25">
      <c r="B26" s="23">
        <v>45912</v>
      </c>
      <c r="C26" s="24">
        <v>1</v>
      </c>
      <c r="D26" s="18" t="str">
        <f>IFERROR(VLOOKUP(Trabajos!C26,Referencias!$E$7:$F$30,2,FALSE),"")</f>
        <v>Muestreo de suelos</v>
      </c>
      <c r="E26" s="24">
        <v>33</v>
      </c>
      <c r="F26" s="18" t="str">
        <f>IFERROR(VLOOKUP(Trabajos!$E26,Clientes,2,FALSE),"")</f>
        <v>Espartina S.A.</v>
      </c>
      <c r="G26" s="24" t="s">
        <v>256</v>
      </c>
      <c r="H26" s="156">
        <v>80</v>
      </c>
      <c r="I26" s="138">
        <v>947.70673076900005</v>
      </c>
      <c r="J26" s="19">
        <f t="shared" si="1"/>
        <v>75816.538461520002</v>
      </c>
      <c r="K26" s="26">
        <v>3</v>
      </c>
      <c r="L26" s="19" t="str">
        <f>IFERROR(VLOOKUP(K26,Referencias!$H$7:$I$9,2,FALSE),"")</f>
        <v>Zoom</v>
      </c>
      <c r="M26" s="208">
        <v>144</v>
      </c>
      <c r="N26" s="29">
        <v>576.1</v>
      </c>
      <c r="O26" s="20">
        <f t="shared" si="2"/>
        <v>82958.400000000009</v>
      </c>
      <c r="P26" s="21">
        <f t="shared" si="3"/>
        <v>158774.93846152001</v>
      </c>
      <c r="R26" s="112">
        <v>0</v>
      </c>
      <c r="S26" s="112">
        <v>0</v>
      </c>
      <c r="T26" s="113">
        <f t="shared" si="0"/>
        <v>80</v>
      </c>
      <c r="U26" s="132"/>
    </row>
    <row r="27" spans="1:21" x14ac:dyDescent="0.25">
      <c r="B27" s="23">
        <v>45917</v>
      </c>
      <c r="C27" s="24">
        <v>2</v>
      </c>
      <c r="D27" s="18" t="str">
        <f>IFERROR(VLOOKUP(Trabajos!C27,Referencias!$E$7:$F$30,2,FALSE),"")</f>
        <v>Monitoreo de bb y bab</v>
      </c>
      <c r="E27" s="24">
        <v>33</v>
      </c>
      <c r="F27" s="18" t="str">
        <f>IFERROR(VLOOKUP(Trabajos!$E27,Clientes,2,FALSE),"")</f>
        <v>Espartina S.A.</v>
      </c>
      <c r="G27" s="24" t="s">
        <v>264</v>
      </c>
      <c r="H27" s="25">
        <v>48</v>
      </c>
      <c r="I27" s="138">
        <v>3318.75</v>
      </c>
      <c r="J27" s="19">
        <f t="shared" si="1"/>
        <v>159300</v>
      </c>
      <c r="K27" s="26">
        <v>2</v>
      </c>
      <c r="L27" s="19" t="str">
        <f>IFERROR(VLOOKUP(K27,Referencias!$H$7:$I$9,2,FALSE),"")</f>
        <v>Paco</v>
      </c>
      <c r="M27" s="208">
        <v>0</v>
      </c>
      <c r="N27" s="29">
        <v>576.1</v>
      </c>
      <c r="O27" s="20">
        <f t="shared" si="2"/>
        <v>0</v>
      </c>
      <c r="P27" s="21">
        <f t="shared" si="3"/>
        <v>159300</v>
      </c>
      <c r="R27" s="112">
        <v>0</v>
      </c>
      <c r="S27" s="112">
        <v>0</v>
      </c>
      <c r="T27" s="113">
        <f t="shared" si="0"/>
        <v>48</v>
      </c>
      <c r="U27" s="132"/>
    </row>
    <row r="28" spans="1:21" x14ac:dyDescent="0.25">
      <c r="B28" s="23">
        <v>45918</v>
      </c>
      <c r="C28" s="24">
        <v>1</v>
      </c>
      <c r="D28" s="18" t="str">
        <f>IFERROR(VLOOKUP(Trabajos!C28,Referencias!$E$7:$F$30,2,FALSE),"")</f>
        <v>Muestreo de suelos</v>
      </c>
      <c r="E28" s="24">
        <v>50</v>
      </c>
      <c r="F28" s="18" t="str">
        <f>IFERROR(VLOOKUP(Trabajos!$E28,Clientes,2,FALSE),"")</f>
        <v>Mackrey Agropecuaria</v>
      </c>
      <c r="G28" s="24" t="s">
        <v>265</v>
      </c>
      <c r="H28" s="156">
        <v>100</v>
      </c>
      <c r="I28" s="138">
        <v>1349</v>
      </c>
      <c r="J28" s="19">
        <f t="shared" si="1"/>
        <v>134900</v>
      </c>
      <c r="K28" s="26">
        <v>3</v>
      </c>
      <c r="L28" s="19" t="str">
        <f>IFERROR(VLOOKUP(K28,Referencias!$H$7:$I$9,2,FALSE),"")</f>
        <v>Zoom</v>
      </c>
      <c r="M28" s="208">
        <v>28</v>
      </c>
      <c r="N28" s="29">
        <v>650</v>
      </c>
      <c r="O28" s="20">
        <f t="shared" si="2"/>
        <v>18200</v>
      </c>
      <c r="P28" s="21">
        <f t="shared" si="3"/>
        <v>153100</v>
      </c>
      <c r="R28" s="112">
        <v>0</v>
      </c>
      <c r="S28" s="112">
        <v>0</v>
      </c>
      <c r="T28" s="113">
        <f t="shared" si="0"/>
        <v>100</v>
      </c>
      <c r="U28" s="132"/>
    </row>
    <row r="29" spans="1:21" x14ac:dyDescent="0.25">
      <c r="B29" s="23">
        <v>45918</v>
      </c>
      <c r="C29" s="24">
        <v>1</v>
      </c>
      <c r="D29" s="18" t="str">
        <f>IFERROR(VLOOKUP(Trabajos!C29,Referencias!$E$7:$F$30,2,FALSE),"")</f>
        <v>Muestreo de suelos</v>
      </c>
      <c r="E29" s="24">
        <v>33</v>
      </c>
      <c r="F29" s="18" t="str">
        <f>IFERROR(VLOOKUP(Trabajos!$E29,Clientes,2,FALSE),"")</f>
        <v>Espartina S.A.</v>
      </c>
      <c r="G29" s="24" t="s">
        <v>266</v>
      </c>
      <c r="H29" s="156">
        <v>80</v>
      </c>
      <c r="I29" s="138">
        <v>947.70673076900005</v>
      </c>
      <c r="J29" s="19">
        <f t="shared" si="1"/>
        <v>75816.538461520002</v>
      </c>
      <c r="K29" s="26">
        <v>3</v>
      </c>
      <c r="L29" s="19" t="str">
        <f>IFERROR(VLOOKUP(K29,Referencias!$H$7:$I$9,2,FALSE),"")</f>
        <v>Zoom</v>
      </c>
      <c r="M29" s="208">
        <v>206</v>
      </c>
      <c r="N29" s="138">
        <v>576.1</v>
      </c>
      <c r="O29" s="20">
        <f t="shared" si="2"/>
        <v>118676.6</v>
      </c>
      <c r="P29" s="21">
        <f t="shared" si="3"/>
        <v>194493.13846152002</v>
      </c>
      <c r="R29" s="112">
        <v>0</v>
      </c>
      <c r="S29" s="112">
        <v>0</v>
      </c>
      <c r="T29" s="113">
        <f t="shared" si="0"/>
        <v>80</v>
      </c>
      <c r="U29" s="132"/>
    </row>
    <row r="30" spans="1:21" x14ac:dyDescent="0.25">
      <c r="B30" s="23">
        <v>45918</v>
      </c>
      <c r="C30" s="24">
        <v>2</v>
      </c>
      <c r="D30" s="18" t="str">
        <f>IFERROR(VLOOKUP(Trabajos!C30,Referencias!$E$7:$F$30,2,FALSE),"")</f>
        <v>Monitoreo de bb y bab</v>
      </c>
      <c r="E30" s="24">
        <v>33</v>
      </c>
      <c r="F30" s="18" t="str">
        <f>IFERROR(VLOOKUP(Trabajos!$E30,Clientes,2,FALSE),"")</f>
        <v>Espartina S.A.</v>
      </c>
      <c r="G30" s="24" t="s">
        <v>270</v>
      </c>
      <c r="H30" s="25">
        <v>163</v>
      </c>
      <c r="I30" s="138">
        <v>3318.75</v>
      </c>
      <c r="J30" s="19">
        <f t="shared" si="1"/>
        <v>540956.25</v>
      </c>
      <c r="K30" s="26">
        <v>1</v>
      </c>
      <c r="L30" s="19" t="str">
        <f>IFERROR(VLOOKUP(K30,Referencias!$H$7:$I$9,2,FALSE),"")</f>
        <v>Tomas</v>
      </c>
      <c r="M30" s="208">
        <v>90</v>
      </c>
      <c r="N30" s="138">
        <v>576.1</v>
      </c>
      <c r="O30" s="20">
        <f t="shared" si="2"/>
        <v>51849</v>
      </c>
      <c r="P30" s="21">
        <f t="shared" si="3"/>
        <v>592805.25</v>
      </c>
      <c r="R30" s="112">
        <v>0</v>
      </c>
      <c r="S30" s="112">
        <v>86</v>
      </c>
      <c r="T30" s="113">
        <f t="shared" si="0"/>
        <v>77</v>
      </c>
      <c r="U30" s="132"/>
    </row>
    <row r="31" spans="1:21" x14ac:dyDescent="0.25">
      <c r="B31" s="23">
        <v>45918</v>
      </c>
      <c r="C31" s="24">
        <v>2</v>
      </c>
      <c r="D31" s="18" t="str">
        <f>IFERROR(VLOOKUP(Trabajos!C31,Referencias!$E$7:$F$30,2,FALSE),"")</f>
        <v>Monitoreo de bb y bab</v>
      </c>
      <c r="E31" s="24">
        <v>33</v>
      </c>
      <c r="F31" s="18" t="str">
        <f>IFERROR(VLOOKUP(Trabajos!$E31,Clientes,2,FALSE),"")</f>
        <v>Espartina S.A.</v>
      </c>
      <c r="G31" s="24" t="s">
        <v>269</v>
      </c>
      <c r="H31" s="156">
        <v>140</v>
      </c>
      <c r="I31" s="138">
        <v>3318.75</v>
      </c>
      <c r="J31" s="19">
        <f t="shared" si="1"/>
        <v>464625</v>
      </c>
      <c r="K31" s="26">
        <v>1</v>
      </c>
      <c r="L31" s="19" t="str">
        <f>IFERROR(VLOOKUP(K31,Referencias!$H$7:$I$9,2,FALSE),"")</f>
        <v>Tomas</v>
      </c>
      <c r="M31" s="209">
        <v>0</v>
      </c>
      <c r="N31" s="138">
        <v>576.1</v>
      </c>
      <c r="O31" s="20">
        <f t="shared" si="2"/>
        <v>0</v>
      </c>
      <c r="P31" s="21">
        <f t="shared" si="3"/>
        <v>464625</v>
      </c>
      <c r="R31" s="112">
        <v>0</v>
      </c>
      <c r="S31" s="112">
        <v>0</v>
      </c>
      <c r="T31" s="113">
        <f t="shared" si="0"/>
        <v>140</v>
      </c>
      <c r="U31" s="132"/>
    </row>
    <row r="32" spans="1:21" x14ac:dyDescent="0.25">
      <c r="B32" s="23">
        <v>45918</v>
      </c>
      <c r="C32" s="24">
        <v>2</v>
      </c>
      <c r="D32" s="18" t="str">
        <f>IFERROR(VLOOKUP(Trabajos!C32,Referencias!$E$7:$F$30,2,FALSE),"")</f>
        <v>Monitoreo de bb y bab</v>
      </c>
      <c r="E32" s="24">
        <v>33</v>
      </c>
      <c r="F32" s="18" t="str">
        <f>IFERROR(VLOOKUP(Trabajos!$E32,Clientes,2,FALSE),"")</f>
        <v>Espartina S.A.</v>
      </c>
      <c r="G32" s="24" t="s">
        <v>268</v>
      </c>
      <c r="H32" s="25">
        <v>97</v>
      </c>
      <c r="I32" s="138">
        <v>3318.75</v>
      </c>
      <c r="J32" s="19">
        <f t="shared" si="1"/>
        <v>321918.75</v>
      </c>
      <c r="K32" s="26">
        <v>2</v>
      </c>
      <c r="L32" s="19" t="str">
        <f>IFERROR(VLOOKUP(K32,Referencias!$H$7:$I$9,2,FALSE),"")</f>
        <v>Paco</v>
      </c>
      <c r="M32" s="209">
        <v>0</v>
      </c>
      <c r="N32" s="138">
        <v>576.1</v>
      </c>
      <c r="O32" s="20">
        <f t="shared" si="2"/>
        <v>0</v>
      </c>
      <c r="P32" s="21">
        <f t="shared" si="3"/>
        <v>321918.75</v>
      </c>
      <c r="Q32" s="22" t="s">
        <v>4</v>
      </c>
      <c r="R32" s="112">
        <v>54</v>
      </c>
      <c r="S32" s="112">
        <v>0</v>
      </c>
      <c r="T32" s="113">
        <f t="shared" si="0"/>
        <v>43</v>
      </c>
      <c r="U32" s="132"/>
    </row>
    <row r="33" spans="2:21" x14ac:dyDescent="0.25">
      <c r="B33" s="23">
        <v>45918</v>
      </c>
      <c r="C33" s="24">
        <v>2</v>
      </c>
      <c r="D33" s="18" t="str">
        <f>IFERROR(VLOOKUP(Trabajos!C33,Referencias!$E$7:$F$30,2,FALSE),"")</f>
        <v>Monitoreo de bb y bab</v>
      </c>
      <c r="E33" s="24">
        <v>33</v>
      </c>
      <c r="F33" s="18" t="str">
        <f>IFERROR(VLOOKUP(Trabajos!$E33,Clientes,2,FALSE),"")</f>
        <v>Espartina S.A.</v>
      </c>
      <c r="G33" s="24" t="s">
        <v>267</v>
      </c>
      <c r="H33" s="25">
        <v>120</v>
      </c>
      <c r="I33" s="138">
        <v>3318.75</v>
      </c>
      <c r="J33" s="19">
        <f t="shared" si="1"/>
        <v>398250</v>
      </c>
      <c r="K33" s="26">
        <v>2</v>
      </c>
      <c r="L33" s="19" t="str">
        <f>IFERROR(VLOOKUP(K33,Referencias!$H$7:$I$9,2,FALSE),"")</f>
        <v>Paco</v>
      </c>
      <c r="M33" s="209">
        <v>180</v>
      </c>
      <c r="N33" s="138">
        <v>576.1</v>
      </c>
      <c r="O33" s="20">
        <f t="shared" si="2"/>
        <v>103698</v>
      </c>
      <c r="P33" s="21">
        <f t="shared" si="3"/>
        <v>501948</v>
      </c>
      <c r="R33" s="112">
        <v>0</v>
      </c>
      <c r="S33" s="112">
        <v>0</v>
      </c>
      <c r="T33" s="113">
        <f t="shared" si="0"/>
        <v>120</v>
      </c>
      <c r="U33" s="132"/>
    </row>
    <row r="34" spans="2:21" x14ac:dyDescent="0.25">
      <c r="B34" s="23">
        <v>45918</v>
      </c>
      <c r="C34" s="24">
        <v>1</v>
      </c>
      <c r="D34" s="18" t="str">
        <f>IFERROR(VLOOKUP(Trabajos!C34,Referencias!$E$7:$F$30,2,FALSE),"")</f>
        <v>Muestreo de suelos</v>
      </c>
      <c r="E34" s="24">
        <v>33</v>
      </c>
      <c r="F34" s="18" t="str">
        <f>IFERROR(VLOOKUP(Trabajos!$E34,Clientes,2,FALSE),"")</f>
        <v>Espartina S.A.</v>
      </c>
      <c r="G34" s="24" t="s">
        <v>270</v>
      </c>
      <c r="H34" s="156">
        <v>80</v>
      </c>
      <c r="I34" s="138">
        <v>947.70673076900005</v>
      </c>
      <c r="J34" s="19">
        <f t="shared" si="1"/>
        <v>75816.538461520002</v>
      </c>
      <c r="K34" s="26">
        <v>1</v>
      </c>
      <c r="L34" s="19" t="str">
        <f>IFERROR(VLOOKUP(K34,Referencias!$H$7:$I$9,2,FALSE),"")</f>
        <v>Tomas</v>
      </c>
      <c r="M34" s="209">
        <v>0</v>
      </c>
      <c r="N34" s="138">
        <v>576.1</v>
      </c>
      <c r="O34" s="20">
        <f t="shared" si="2"/>
        <v>0</v>
      </c>
      <c r="P34" s="21">
        <f t="shared" si="3"/>
        <v>75816.538461520002</v>
      </c>
      <c r="R34" s="112">
        <v>0</v>
      </c>
      <c r="S34" s="112">
        <v>0</v>
      </c>
      <c r="T34" s="113">
        <f t="shared" si="0"/>
        <v>80</v>
      </c>
      <c r="U34" s="132"/>
    </row>
    <row r="35" spans="2:21" x14ac:dyDescent="0.25">
      <c r="B35" s="23">
        <v>45918</v>
      </c>
      <c r="C35" s="24">
        <v>1</v>
      </c>
      <c r="D35" s="18" t="str">
        <f>IFERROR(VLOOKUP(Trabajos!C35,Referencias!$E$7:$F$30,2,FALSE),"")</f>
        <v>Muestreo de suelos</v>
      </c>
      <c r="E35" s="24">
        <v>33</v>
      </c>
      <c r="F35" s="18" t="str">
        <f>IFERROR(VLOOKUP(Trabajos!$E35,Clientes,2,FALSE),"")</f>
        <v>Espartina S.A.</v>
      </c>
      <c r="G35" s="24" t="s">
        <v>269</v>
      </c>
      <c r="H35" s="156">
        <v>80</v>
      </c>
      <c r="I35" s="138">
        <v>947.70673076900005</v>
      </c>
      <c r="J35" s="19">
        <f t="shared" si="1"/>
        <v>75816.538461520002</v>
      </c>
      <c r="K35" s="26">
        <v>1</v>
      </c>
      <c r="L35" s="19" t="str">
        <f>IFERROR(VLOOKUP(K35,Referencias!$H$7:$I$9,2,FALSE),"")</f>
        <v>Tomas</v>
      </c>
      <c r="M35" s="209">
        <v>0</v>
      </c>
      <c r="N35" s="138">
        <v>576.1</v>
      </c>
      <c r="O35" s="20">
        <f t="shared" si="2"/>
        <v>0</v>
      </c>
      <c r="P35" s="21">
        <f t="shared" si="3"/>
        <v>75816.538461520002</v>
      </c>
      <c r="R35" s="112">
        <v>0</v>
      </c>
      <c r="S35" s="112">
        <v>0</v>
      </c>
      <c r="T35" s="113">
        <f t="shared" si="0"/>
        <v>80</v>
      </c>
      <c r="U35" s="132"/>
    </row>
    <row r="36" spans="2:21" x14ac:dyDescent="0.25">
      <c r="B36" s="23">
        <v>45922</v>
      </c>
      <c r="C36" s="91">
        <v>2</v>
      </c>
      <c r="D36" s="18" t="str">
        <f>IFERROR(VLOOKUP(Trabajos!C36,Referencias!$E$7:$F$30,2,FALSE),"")</f>
        <v>Monitoreo de bb y bab</v>
      </c>
      <c r="E36" s="91">
        <v>33</v>
      </c>
      <c r="F36" s="18" t="str">
        <f>IFERROR(VLOOKUP(Trabajos!$E36,Clientes,2,FALSE),"")</f>
        <v>Espartina S.A.</v>
      </c>
      <c r="G36" s="91" t="s">
        <v>286</v>
      </c>
      <c r="H36" s="142">
        <v>150</v>
      </c>
      <c r="I36" s="138">
        <v>3105</v>
      </c>
      <c r="J36" s="19">
        <f t="shared" si="1"/>
        <v>465750</v>
      </c>
      <c r="K36" s="26">
        <v>2</v>
      </c>
      <c r="L36" s="19" t="str">
        <f>IFERROR(VLOOKUP(K36,Referencias!$H$7:$I$9,2,FALSE),"")</f>
        <v>Paco</v>
      </c>
      <c r="M36" s="203">
        <v>240</v>
      </c>
      <c r="N36" s="138">
        <v>576.1</v>
      </c>
      <c r="O36" s="20">
        <f t="shared" si="2"/>
        <v>138264</v>
      </c>
      <c r="P36" s="21">
        <f t="shared" si="3"/>
        <v>604014</v>
      </c>
      <c r="R36" s="112">
        <v>25</v>
      </c>
      <c r="S36" s="112">
        <v>0</v>
      </c>
      <c r="T36" s="113">
        <f t="shared" si="0"/>
        <v>125</v>
      </c>
      <c r="U36" s="132"/>
    </row>
    <row r="37" spans="2:21" x14ac:dyDescent="0.25">
      <c r="B37" s="23">
        <v>45923</v>
      </c>
      <c r="C37" s="91">
        <v>2</v>
      </c>
      <c r="D37" s="18" t="str">
        <f>IFERROR(VLOOKUP(Trabajos!C37,Referencias!$E$7:$F$30,2,FALSE),"")</f>
        <v>Monitoreo de bb y bab</v>
      </c>
      <c r="E37" s="91">
        <v>33</v>
      </c>
      <c r="F37" s="18" t="str">
        <f>IFERROR(VLOOKUP(Trabajos!$E37,Clientes,2,FALSE),"")</f>
        <v>Espartina S.A.</v>
      </c>
      <c r="G37" s="91" t="s">
        <v>289</v>
      </c>
      <c r="H37" s="142">
        <v>350</v>
      </c>
      <c r="I37" s="138">
        <v>3105</v>
      </c>
      <c r="J37" s="19">
        <f t="shared" si="1"/>
        <v>1086750</v>
      </c>
      <c r="K37" s="26">
        <v>2</v>
      </c>
      <c r="L37" s="19" t="str">
        <f>IFERROR(VLOOKUP(K37,Referencias!$H$7:$I$9,2,FALSE),"")</f>
        <v>Paco</v>
      </c>
      <c r="M37" s="203">
        <v>260</v>
      </c>
      <c r="N37" s="138">
        <v>576.1</v>
      </c>
      <c r="O37" s="20">
        <f t="shared" si="2"/>
        <v>149786</v>
      </c>
      <c r="P37" s="21">
        <f t="shared" si="3"/>
        <v>1236536</v>
      </c>
      <c r="R37" s="112">
        <v>58</v>
      </c>
      <c r="S37" s="112">
        <v>0</v>
      </c>
      <c r="T37" s="113">
        <f t="shared" si="0"/>
        <v>292</v>
      </c>
      <c r="U37" s="132"/>
    </row>
    <row r="38" spans="2:21" x14ac:dyDescent="0.25">
      <c r="B38" s="23">
        <v>45923</v>
      </c>
      <c r="C38" s="91">
        <v>2</v>
      </c>
      <c r="D38" s="18" t="str">
        <f>IFERROR(VLOOKUP(Trabajos!C38,Referencias!$E$7:$F$30,2,FALSE),"")</f>
        <v>Monitoreo de bb y bab</v>
      </c>
      <c r="E38" s="157">
        <v>33</v>
      </c>
      <c r="F38" s="18" t="str">
        <f>IFERROR(VLOOKUP(Trabajos!$E38,Clientes,2,FALSE),"")</f>
        <v>Espartina S.A.</v>
      </c>
      <c r="G38" s="157" t="s">
        <v>266</v>
      </c>
      <c r="H38" s="142">
        <v>215</v>
      </c>
      <c r="I38" s="138">
        <v>3205.12</v>
      </c>
      <c r="J38" s="19">
        <f t="shared" si="1"/>
        <v>689100.79999999993</v>
      </c>
      <c r="K38" s="26">
        <v>1</v>
      </c>
      <c r="L38" s="19" t="str">
        <f>IFERROR(VLOOKUP(K38,Referencias!$H$7:$I$9,2,FALSE),"")</f>
        <v>Tomas</v>
      </c>
      <c r="M38" s="203">
        <v>206</v>
      </c>
      <c r="N38" s="138">
        <v>588</v>
      </c>
      <c r="O38" s="20">
        <f t="shared" si="2"/>
        <v>121128</v>
      </c>
      <c r="P38" s="21">
        <f t="shared" si="3"/>
        <v>810228.79999999993</v>
      </c>
      <c r="R38" s="112">
        <v>0</v>
      </c>
      <c r="S38" s="112">
        <v>89</v>
      </c>
      <c r="T38" s="113">
        <f t="shared" si="0"/>
        <v>126</v>
      </c>
      <c r="U38" s="132"/>
    </row>
    <row r="39" spans="2:21" x14ac:dyDescent="0.25">
      <c r="B39" s="23">
        <v>45923</v>
      </c>
      <c r="C39" s="91">
        <v>2</v>
      </c>
      <c r="D39" s="18" t="str">
        <f>IFERROR(VLOOKUP(Trabajos!C39,Referencias!$E$7:$F$30,2,FALSE),"")</f>
        <v>Monitoreo de bb y bab</v>
      </c>
      <c r="E39" s="91">
        <v>33</v>
      </c>
      <c r="F39" s="18" t="str">
        <f>IFERROR(VLOOKUP(Trabajos!$E39,Clientes,2,FALSE),"")</f>
        <v>Espartina S.A.</v>
      </c>
      <c r="G39" s="157" t="s">
        <v>252</v>
      </c>
      <c r="H39" s="119">
        <v>141</v>
      </c>
      <c r="I39" s="138">
        <v>3205.12</v>
      </c>
      <c r="J39" s="19">
        <f t="shared" si="1"/>
        <v>451921.91999999998</v>
      </c>
      <c r="K39" s="26">
        <v>1</v>
      </c>
      <c r="L39" s="19" t="str">
        <f>IFERROR(VLOOKUP(K39,Referencias!$H$7:$I$9,2,FALSE),"")</f>
        <v>Tomas</v>
      </c>
      <c r="M39" s="203">
        <v>208</v>
      </c>
      <c r="N39" s="138">
        <v>588</v>
      </c>
      <c r="O39" s="20">
        <f t="shared" si="2"/>
        <v>122304</v>
      </c>
      <c r="P39" s="21">
        <f t="shared" si="3"/>
        <v>574225.91999999993</v>
      </c>
      <c r="R39" s="112">
        <v>0</v>
      </c>
      <c r="S39" s="112">
        <v>0</v>
      </c>
      <c r="T39" s="113">
        <f t="shared" si="0"/>
        <v>141</v>
      </c>
      <c r="U39" s="132"/>
    </row>
    <row r="40" spans="2:21" x14ac:dyDescent="0.25">
      <c r="B40" s="23">
        <v>45924</v>
      </c>
      <c r="C40" s="91">
        <v>2</v>
      </c>
      <c r="D40" s="18" t="str">
        <f>IFERROR(VLOOKUP(Trabajos!C40,Referencias!$E$7:$F$30,2,FALSE),"")</f>
        <v>Monitoreo de bb y bab</v>
      </c>
      <c r="E40" s="91">
        <v>33</v>
      </c>
      <c r="F40" s="18" t="str">
        <f>IFERROR(VLOOKUP(Trabajos!$E40,Clientes,2,FALSE),"")</f>
        <v>Espartina S.A.</v>
      </c>
      <c r="G40" s="91" t="s">
        <v>252</v>
      </c>
      <c r="H40" s="119">
        <v>141</v>
      </c>
      <c r="I40" s="138">
        <v>3205.12</v>
      </c>
      <c r="J40" s="19">
        <f t="shared" si="1"/>
        <v>451921.91999999998</v>
      </c>
      <c r="K40" s="26">
        <v>1</v>
      </c>
      <c r="L40" s="19" t="str">
        <f>IFERROR(VLOOKUP(K40,Referencias!$H$7:$I$9,2,FALSE),"")</f>
        <v>Tomas</v>
      </c>
      <c r="M40" s="203">
        <v>0</v>
      </c>
      <c r="N40" s="138">
        <v>588</v>
      </c>
      <c r="O40" s="20">
        <f>IF(M40&lt;&gt;"",M40*N40,"")</f>
        <v>0</v>
      </c>
      <c r="P40" s="21">
        <f t="shared" si="3"/>
        <v>451921.91999999998</v>
      </c>
      <c r="R40" s="112">
        <v>0</v>
      </c>
      <c r="S40" s="112">
        <v>68</v>
      </c>
      <c r="T40" s="113">
        <f t="shared" si="0"/>
        <v>73</v>
      </c>
      <c r="U40" s="132"/>
    </row>
    <row r="41" spans="2:21" x14ac:dyDescent="0.25">
      <c r="B41" s="23">
        <v>45924</v>
      </c>
      <c r="C41" s="91">
        <v>2</v>
      </c>
      <c r="D41" s="18" t="str">
        <f>IFERROR(VLOOKUP(Trabajos!C41,Referencias!$E$7:$F$30,2,FALSE),"")</f>
        <v>Monitoreo de bb y bab</v>
      </c>
      <c r="E41" s="91">
        <v>33</v>
      </c>
      <c r="F41" s="18" t="str">
        <f>IFERROR(VLOOKUP(Trabajos!$E41,Clientes,2,FALSE),"")</f>
        <v>Espartina S.A.</v>
      </c>
      <c r="G41" s="157" t="s">
        <v>290</v>
      </c>
      <c r="H41" s="119">
        <v>132</v>
      </c>
      <c r="I41" s="138">
        <v>3035.25</v>
      </c>
      <c r="J41" s="19">
        <f t="shared" si="1"/>
        <v>400653</v>
      </c>
      <c r="K41" s="26">
        <v>1</v>
      </c>
      <c r="L41" s="19" t="str">
        <f>IFERROR(VLOOKUP(K41,Referencias!$H$7:$I$9,2,FALSE),"")</f>
        <v>Tomas</v>
      </c>
      <c r="M41" s="203">
        <v>0</v>
      </c>
      <c r="N41" s="138">
        <v>588</v>
      </c>
      <c r="O41" s="20">
        <f t="shared" si="2"/>
        <v>0</v>
      </c>
      <c r="P41" s="21">
        <f t="shared" si="3"/>
        <v>400653</v>
      </c>
      <c r="R41" s="112">
        <v>0</v>
      </c>
      <c r="S41" s="112">
        <v>0</v>
      </c>
      <c r="T41" s="113">
        <f t="shared" si="0"/>
        <v>132</v>
      </c>
      <c r="U41" s="132"/>
    </row>
    <row r="42" spans="2:21" x14ac:dyDescent="0.25">
      <c r="B42" s="23">
        <v>45924</v>
      </c>
      <c r="C42" s="91">
        <v>2</v>
      </c>
      <c r="D42" s="18" t="str">
        <f>IFERROR(VLOOKUP(Trabajos!C42,Referencias!$E$7:$F$30,2,FALSE),"")</f>
        <v>Monitoreo de bb y bab</v>
      </c>
      <c r="E42" s="91">
        <v>33</v>
      </c>
      <c r="F42" s="18" t="str">
        <f>IFERROR(VLOOKUP(Trabajos!$E42,Clientes,2,FALSE),"")</f>
        <v>Espartina S.A.</v>
      </c>
      <c r="G42" s="157" t="s">
        <v>289</v>
      </c>
      <c r="H42" s="119">
        <v>128</v>
      </c>
      <c r="I42" s="138">
        <v>3105</v>
      </c>
      <c r="J42" s="19">
        <f t="shared" si="1"/>
        <v>397440</v>
      </c>
      <c r="K42" s="26">
        <v>2</v>
      </c>
      <c r="L42" s="19" t="str">
        <f>IFERROR(VLOOKUP(K42,Referencias!$H$7:$I$9,2,FALSE),"")</f>
        <v>Paco</v>
      </c>
      <c r="M42" s="203">
        <v>260</v>
      </c>
      <c r="N42" s="138">
        <v>576.1</v>
      </c>
      <c r="O42" s="20">
        <f t="shared" si="2"/>
        <v>149786</v>
      </c>
      <c r="P42" s="21">
        <f t="shared" si="3"/>
        <v>547226</v>
      </c>
      <c r="R42" s="112">
        <v>84</v>
      </c>
      <c r="S42" s="112">
        <v>0</v>
      </c>
      <c r="T42" s="113">
        <f t="shared" si="0"/>
        <v>44</v>
      </c>
      <c r="U42" s="132"/>
    </row>
    <row r="43" spans="2:21" x14ac:dyDescent="0.25">
      <c r="B43" s="23">
        <v>45924</v>
      </c>
      <c r="C43" s="91">
        <v>2</v>
      </c>
      <c r="D43" s="18" t="str">
        <f>IFERROR(VLOOKUP(Trabajos!C43,Referencias!$E$7:$F$30,2,FALSE),"")</f>
        <v>Monitoreo de bb y bab</v>
      </c>
      <c r="E43" s="91">
        <v>33</v>
      </c>
      <c r="F43" s="18" t="str">
        <f>IFERROR(VLOOKUP(Trabajos!$E43,Clientes,2,FALSE),"")</f>
        <v>Espartina S.A.</v>
      </c>
      <c r="G43" s="91" t="s">
        <v>291</v>
      </c>
      <c r="H43" s="142">
        <v>379</v>
      </c>
      <c r="I43" s="138">
        <v>3105</v>
      </c>
      <c r="J43" s="19">
        <f t="shared" si="1"/>
        <v>1176795</v>
      </c>
      <c r="K43" s="26">
        <v>2</v>
      </c>
      <c r="L43" s="19" t="str">
        <f>IFERROR(VLOOKUP(K43,Referencias!$H$7:$I$9,2,FALSE),"")</f>
        <v>Paco</v>
      </c>
      <c r="M43" s="203">
        <v>588</v>
      </c>
      <c r="N43" s="138">
        <v>576.1</v>
      </c>
      <c r="O43" s="20">
        <f t="shared" si="2"/>
        <v>338746.8</v>
      </c>
      <c r="P43" s="21">
        <f t="shared" si="3"/>
        <v>1515541.8</v>
      </c>
      <c r="R43" s="112">
        <v>0</v>
      </c>
      <c r="S43" s="112">
        <v>0</v>
      </c>
      <c r="T43" s="113">
        <f t="shared" si="0"/>
        <v>379</v>
      </c>
      <c r="U43" s="132"/>
    </row>
    <row r="44" spans="2:21" x14ac:dyDescent="0.25">
      <c r="B44" s="23">
        <v>45925</v>
      </c>
      <c r="C44" s="91">
        <v>1</v>
      </c>
      <c r="D44" s="18" t="str">
        <f>IFERROR(VLOOKUP(Trabajos!C44,Referencias!$E$7:$F$30,2,FALSE),"")</f>
        <v>Muestreo de suelos</v>
      </c>
      <c r="E44" s="91">
        <v>33</v>
      </c>
      <c r="F44" s="18" t="str">
        <f>IFERROR(VLOOKUP(Trabajos!$E44,Clientes,2,FALSE),"")</f>
        <v>Espartina S.A.</v>
      </c>
      <c r="G44" s="91" t="s">
        <v>292</v>
      </c>
      <c r="H44" s="142">
        <v>80</v>
      </c>
      <c r="I44" s="138">
        <v>947.70673076900005</v>
      </c>
      <c r="J44" s="19">
        <f t="shared" si="1"/>
        <v>75816.538461520002</v>
      </c>
      <c r="K44" s="26">
        <v>3</v>
      </c>
      <c r="L44" s="19" t="str">
        <f>IFERROR(VLOOKUP(K44,Referencias!$H$7:$I$9,2,FALSE),"")</f>
        <v>Zoom</v>
      </c>
      <c r="M44" s="203">
        <v>60</v>
      </c>
      <c r="N44" s="138">
        <v>588</v>
      </c>
      <c r="O44" s="20">
        <f t="shared" si="2"/>
        <v>35280</v>
      </c>
      <c r="P44" s="21">
        <f t="shared" si="3"/>
        <v>111096.53846152</v>
      </c>
      <c r="R44" s="112">
        <v>0</v>
      </c>
      <c r="S44" s="112">
        <v>0</v>
      </c>
      <c r="T44" s="113">
        <f t="shared" si="0"/>
        <v>80</v>
      </c>
      <c r="U44" s="132"/>
    </row>
    <row r="45" spans="2:21" x14ac:dyDescent="0.25">
      <c r="B45" s="23">
        <v>45925</v>
      </c>
      <c r="C45" s="91">
        <v>1</v>
      </c>
      <c r="D45" s="18" t="str">
        <f>IFERROR(VLOOKUP(Trabajos!C45,Referencias!$E$7:$F$30,2,FALSE),"")</f>
        <v>Muestreo de suelos</v>
      </c>
      <c r="E45" s="91">
        <v>33</v>
      </c>
      <c r="F45" s="18" t="str">
        <f>IFERROR(VLOOKUP(Trabajos!$E45,Clientes,2,FALSE),"")</f>
        <v>Espartina S.A.</v>
      </c>
      <c r="G45" s="91" t="s">
        <v>252</v>
      </c>
      <c r="H45" s="142">
        <v>80</v>
      </c>
      <c r="I45" s="138">
        <v>947.70673076900005</v>
      </c>
      <c r="J45" s="19">
        <f t="shared" si="1"/>
        <v>75816.538461520002</v>
      </c>
      <c r="K45" s="26">
        <v>3</v>
      </c>
      <c r="L45" s="19" t="str">
        <f>IFERROR(VLOOKUP(K45,Referencias!$H$7:$I$9,2,FALSE),"")</f>
        <v>Zoom</v>
      </c>
      <c r="M45" s="203">
        <v>208</v>
      </c>
      <c r="N45" s="138">
        <v>588</v>
      </c>
      <c r="O45" s="20">
        <f t="shared" si="2"/>
        <v>122304</v>
      </c>
      <c r="P45" s="21">
        <f t="shared" si="3"/>
        <v>198120.53846151999</v>
      </c>
      <c r="R45" s="112">
        <v>0</v>
      </c>
      <c r="S45" s="112">
        <v>0</v>
      </c>
      <c r="T45" s="113">
        <f t="shared" si="0"/>
        <v>80</v>
      </c>
      <c r="U45" s="132"/>
    </row>
    <row r="46" spans="2:21" x14ac:dyDescent="0.25">
      <c r="B46" s="23">
        <v>45925</v>
      </c>
      <c r="C46" s="91">
        <v>2</v>
      </c>
      <c r="D46" s="18" t="str">
        <f>IFERROR(VLOOKUP(Trabajos!C46,Referencias!$E$7:$F$30,2,FALSE),"")</f>
        <v>Monitoreo de bb y bab</v>
      </c>
      <c r="E46" s="91">
        <v>33</v>
      </c>
      <c r="F46" s="18" t="str">
        <f>IFERROR(VLOOKUP(Trabajos!$E46,Clientes,2,FALSE),"")</f>
        <v>Espartina S.A.</v>
      </c>
      <c r="G46" s="91" t="s">
        <v>292</v>
      </c>
      <c r="H46" s="119">
        <v>143</v>
      </c>
      <c r="I46" s="138">
        <v>3205.12</v>
      </c>
      <c r="J46" s="19">
        <f t="shared" si="1"/>
        <v>458332.15999999997</v>
      </c>
      <c r="K46" s="26">
        <v>1</v>
      </c>
      <c r="L46" s="19" t="str">
        <f>IFERROR(VLOOKUP(K46,Referencias!$H$7:$I$9,2,FALSE),"")</f>
        <v>Tomas</v>
      </c>
      <c r="M46" s="203">
        <v>0</v>
      </c>
      <c r="N46" s="138">
        <v>588</v>
      </c>
      <c r="O46" s="20">
        <f t="shared" si="2"/>
        <v>0</v>
      </c>
      <c r="P46" s="21">
        <f t="shared" si="3"/>
        <v>458332.15999999997</v>
      </c>
      <c r="R46" s="112">
        <v>0</v>
      </c>
      <c r="S46" s="112">
        <v>92</v>
      </c>
      <c r="T46" s="113">
        <f t="shared" si="0"/>
        <v>51</v>
      </c>
      <c r="U46" s="132"/>
    </row>
    <row r="47" spans="2:21" x14ac:dyDescent="0.25">
      <c r="B47" s="23">
        <v>45925</v>
      </c>
      <c r="C47" s="91">
        <v>2</v>
      </c>
      <c r="D47" s="18" t="str">
        <f>IFERROR(VLOOKUP(Trabajos!C47,Referencias!$E$7:$F$30,2,FALSE),"")</f>
        <v>Monitoreo de bb y bab</v>
      </c>
      <c r="E47" s="91">
        <v>33</v>
      </c>
      <c r="F47" s="18" t="str">
        <f>IFERROR(VLOOKUP(Trabajos!$E47,Clientes,2,FALSE),"")</f>
        <v>Espartina S.A.</v>
      </c>
      <c r="G47" s="91" t="s">
        <v>295</v>
      </c>
      <c r="H47" s="119">
        <v>134</v>
      </c>
      <c r="I47" s="138">
        <v>3205.12</v>
      </c>
      <c r="J47" s="19">
        <f t="shared" si="1"/>
        <v>429486.07999999996</v>
      </c>
      <c r="K47" s="26">
        <v>1</v>
      </c>
      <c r="L47" s="19" t="str">
        <f>IFERROR(VLOOKUP(K47,Referencias!$H$7:$I$9,2,FALSE),"")</f>
        <v>Tomas</v>
      </c>
      <c r="M47" s="203">
        <v>156</v>
      </c>
      <c r="N47" s="138">
        <v>588</v>
      </c>
      <c r="O47" s="20">
        <f t="shared" si="2"/>
        <v>91728</v>
      </c>
      <c r="P47" s="21">
        <f t="shared" si="3"/>
        <v>521214.07999999996</v>
      </c>
      <c r="R47" s="112">
        <v>0</v>
      </c>
      <c r="S47" s="112">
        <v>0</v>
      </c>
      <c r="T47" s="113">
        <f t="shared" si="0"/>
        <v>134</v>
      </c>
      <c r="U47" s="132"/>
    </row>
    <row r="48" spans="2:21" x14ac:dyDescent="0.25">
      <c r="B48" s="23">
        <v>45925</v>
      </c>
      <c r="C48" s="91">
        <v>2</v>
      </c>
      <c r="D48" s="18" t="str">
        <f>IFERROR(VLOOKUP(Trabajos!C48,Referencias!$E$7:$F$30,2,FALSE),"")</f>
        <v>Monitoreo de bb y bab</v>
      </c>
      <c r="E48" s="91">
        <v>40</v>
      </c>
      <c r="F48" s="18" t="str">
        <f>IFERROR(VLOOKUP(Trabajos!$E48,Clientes,2,FALSE),"")</f>
        <v>Cía. de Tierras Sud Argentino S.A.</v>
      </c>
      <c r="G48" s="91" t="s">
        <v>296</v>
      </c>
      <c r="H48" s="119">
        <v>252</v>
      </c>
      <c r="I48" s="138">
        <v>3450</v>
      </c>
      <c r="J48" s="19">
        <f t="shared" si="1"/>
        <v>869400</v>
      </c>
      <c r="K48" s="26">
        <v>3</v>
      </c>
      <c r="L48" s="19" t="str">
        <f>IFERROR(VLOOKUP(K48,Referencias!$H$7:$I$9,2,FALSE),"")</f>
        <v>Zoom</v>
      </c>
      <c r="M48" s="203">
        <v>50</v>
      </c>
      <c r="N48" s="138">
        <v>650</v>
      </c>
      <c r="O48" s="20">
        <f t="shared" si="2"/>
        <v>32500</v>
      </c>
      <c r="P48" s="21">
        <f t="shared" si="3"/>
        <v>901900</v>
      </c>
      <c r="R48" s="112">
        <v>0</v>
      </c>
      <c r="S48" s="112">
        <v>0</v>
      </c>
      <c r="T48" s="113">
        <f t="shared" si="0"/>
        <v>252</v>
      </c>
      <c r="U48" s="132"/>
    </row>
    <row r="49" spans="2:21" x14ac:dyDescent="0.25">
      <c r="B49" s="23">
        <v>45925</v>
      </c>
      <c r="C49" s="91">
        <v>2</v>
      </c>
      <c r="D49" s="18" t="str">
        <f>IFERROR(VLOOKUP(Trabajos!C49,Referencias!$E$7:$F$30,2,FALSE),"")</f>
        <v>Monitoreo de bb y bab</v>
      </c>
      <c r="E49" s="91">
        <v>33</v>
      </c>
      <c r="F49" s="18" t="str">
        <f>IFERROR(VLOOKUP(Trabajos!$E49,Clientes,2,FALSE),"")</f>
        <v>Espartina S.A.</v>
      </c>
      <c r="G49" s="91" t="s">
        <v>286</v>
      </c>
      <c r="H49" s="119">
        <v>208</v>
      </c>
      <c r="I49" s="138">
        <v>3105</v>
      </c>
      <c r="J49" s="19">
        <f t="shared" si="1"/>
        <v>645840</v>
      </c>
      <c r="K49" s="26">
        <v>2</v>
      </c>
      <c r="L49" s="19" t="str">
        <f>IFERROR(VLOOKUP(K49,Referencias!$H$7:$I$9,2,FALSE),"")</f>
        <v>Paco</v>
      </c>
      <c r="M49" s="203">
        <v>240</v>
      </c>
      <c r="N49" s="138">
        <v>576.1</v>
      </c>
      <c r="O49" s="20">
        <f t="shared" si="2"/>
        <v>138264</v>
      </c>
      <c r="P49" s="21">
        <f t="shared" si="3"/>
        <v>784104</v>
      </c>
      <c r="R49" s="112">
        <v>52</v>
      </c>
      <c r="S49" s="112">
        <v>0</v>
      </c>
      <c r="T49" s="113">
        <f t="shared" si="0"/>
        <v>156</v>
      </c>
      <c r="U49" s="132"/>
    </row>
    <row r="50" spans="2:21" x14ac:dyDescent="0.25">
      <c r="B50" s="23">
        <v>45926</v>
      </c>
      <c r="C50" s="91">
        <v>2</v>
      </c>
      <c r="D50" s="18" t="str">
        <f>IFERROR(VLOOKUP(Trabajos!C50,Referencias!$E$7:$F$30,2,FALSE),"")</f>
        <v>Monitoreo de bb y bab</v>
      </c>
      <c r="E50" s="91">
        <v>33</v>
      </c>
      <c r="F50" s="18" t="str">
        <f>IFERROR(VLOOKUP(Trabajos!$E50,Clientes,2,FALSE),"")</f>
        <v>Espartina S.A.</v>
      </c>
      <c r="G50" s="157" t="s">
        <v>350</v>
      </c>
      <c r="H50" s="142">
        <v>100</v>
      </c>
      <c r="I50" s="138">
        <v>3262.5</v>
      </c>
      <c r="J50" s="19">
        <f t="shared" si="1"/>
        <v>326250</v>
      </c>
      <c r="K50" s="26">
        <v>2</v>
      </c>
      <c r="L50" s="19" t="str">
        <f>IFERROR(VLOOKUP(K50,Referencias!$H$7:$I$9,2,FALSE),"")</f>
        <v>Paco</v>
      </c>
      <c r="M50" s="203">
        <v>164</v>
      </c>
      <c r="N50" s="138">
        <v>633.85</v>
      </c>
      <c r="O50" s="20">
        <f>IF(M50&lt;&gt;"",M50*N50,"")</f>
        <v>103951.40000000001</v>
      </c>
      <c r="P50" s="21">
        <f t="shared" si="3"/>
        <v>430201.4</v>
      </c>
      <c r="R50" s="112">
        <v>59</v>
      </c>
      <c r="S50" s="112">
        <v>0</v>
      </c>
      <c r="T50" s="113">
        <f t="shared" si="0"/>
        <v>41</v>
      </c>
      <c r="U50" s="132"/>
    </row>
    <row r="51" spans="2:21" x14ac:dyDescent="0.25">
      <c r="B51" s="23">
        <v>45926</v>
      </c>
      <c r="C51" s="91">
        <v>2</v>
      </c>
      <c r="D51" s="18" t="str">
        <f>IFERROR(VLOOKUP(Trabajos!C51,Referencias!$E$7:$F$30,2,FALSE),"")</f>
        <v>Monitoreo de bb y bab</v>
      </c>
      <c r="E51" s="91">
        <v>33</v>
      </c>
      <c r="F51" s="18" t="str">
        <f>IFERROR(VLOOKUP(Trabajos!$E51,Clientes,2,FALSE),"")</f>
        <v>Espartina S.A.</v>
      </c>
      <c r="G51" s="91" t="s">
        <v>299</v>
      </c>
      <c r="H51" s="119">
        <v>132</v>
      </c>
      <c r="I51" s="138">
        <v>3262.5</v>
      </c>
      <c r="J51" s="19">
        <f t="shared" si="1"/>
        <v>430650</v>
      </c>
      <c r="K51" s="26">
        <v>2</v>
      </c>
      <c r="L51" s="19" t="str">
        <f>IFERROR(VLOOKUP(K51,Referencias!$H$7:$I$9,2,FALSE),"")</f>
        <v>Paco</v>
      </c>
      <c r="M51" s="203">
        <v>212</v>
      </c>
      <c r="N51" s="138">
        <v>633.85</v>
      </c>
      <c r="O51" s="20">
        <f t="shared" si="2"/>
        <v>134376.20000000001</v>
      </c>
      <c r="P51" s="21">
        <f t="shared" si="3"/>
        <v>565026.19999999995</v>
      </c>
      <c r="R51" s="112">
        <v>0</v>
      </c>
      <c r="S51" s="112">
        <v>0</v>
      </c>
      <c r="T51" s="113">
        <f t="shared" si="0"/>
        <v>132</v>
      </c>
      <c r="U51" s="132"/>
    </row>
    <row r="52" spans="2:21" x14ac:dyDescent="0.25">
      <c r="B52" s="23">
        <v>45926</v>
      </c>
      <c r="C52" s="91">
        <v>2</v>
      </c>
      <c r="D52" s="18" t="str">
        <f>IFERROR(VLOOKUP(Trabajos!C52,Referencias!$E$7:$F$30,2,FALSE),"")</f>
        <v>Monitoreo de bb y bab</v>
      </c>
      <c r="E52" s="91">
        <v>40</v>
      </c>
      <c r="F52" s="18" t="str">
        <f>IFERROR(VLOOKUP(Trabajos!$E52,Clientes,2,FALSE),"")</f>
        <v>Cía. de Tierras Sud Argentino S.A.</v>
      </c>
      <c r="G52" s="91" t="s">
        <v>296</v>
      </c>
      <c r="H52" s="142">
        <v>259</v>
      </c>
      <c r="I52" s="138">
        <v>3450</v>
      </c>
      <c r="J52" s="19">
        <f t="shared" si="1"/>
        <v>893550</v>
      </c>
      <c r="K52" s="26">
        <v>3</v>
      </c>
      <c r="L52" s="19" t="str">
        <f>IFERROR(VLOOKUP(K52,Referencias!$H$7:$I$9,2,FALSE),"")</f>
        <v>Zoom</v>
      </c>
      <c r="M52" s="203">
        <v>50</v>
      </c>
      <c r="N52" s="138">
        <v>650</v>
      </c>
      <c r="O52" s="20">
        <f t="shared" si="2"/>
        <v>32500</v>
      </c>
      <c r="P52" s="21">
        <f t="shared" si="3"/>
        <v>926050</v>
      </c>
      <c r="R52" s="112">
        <v>0</v>
      </c>
      <c r="S52" s="112">
        <v>0</v>
      </c>
      <c r="T52" s="113">
        <f t="shared" si="0"/>
        <v>259</v>
      </c>
      <c r="U52" s="132"/>
    </row>
    <row r="53" spans="2:21" x14ac:dyDescent="0.25">
      <c r="B53" s="23">
        <v>45929</v>
      </c>
      <c r="C53" s="91">
        <v>2</v>
      </c>
      <c r="D53" s="18" t="str">
        <f>IFERROR(VLOOKUP(Trabajos!C53,Referencias!$E$7:$F$30,2,FALSE),"")</f>
        <v>Monitoreo de bb y bab</v>
      </c>
      <c r="E53" s="91">
        <v>33</v>
      </c>
      <c r="F53" s="18" t="str">
        <f>IFERROR(VLOOKUP(Trabajos!$E53,Clientes,2,FALSE),"")</f>
        <v>Espartina S.A.</v>
      </c>
      <c r="G53" s="91" t="s">
        <v>307</v>
      </c>
      <c r="H53" s="142">
        <v>125</v>
      </c>
      <c r="I53" s="138">
        <v>3035.25</v>
      </c>
      <c r="J53" s="19">
        <f t="shared" si="1"/>
        <v>379406.25</v>
      </c>
      <c r="K53" s="26">
        <v>2</v>
      </c>
      <c r="L53" s="19" t="str">
        <f>IFERROR(VLOOKUP(K53,Referencias!$H$7:$I$9,2,FALSE),"")</f>
        <v>Paco</v>
      </c>
      <c r="M53" s="203">
        <v>210</v>
      </c>
      <c r="N53" s="138">
        <v>588</v>
      </c>
      <c r="O53" s="20">
        <f t="shared" si="2"/>
        <v>123480</v>
      </c>
      <c r="P53" s="21">
        <f t="shared" si="3"/>
        <v>502886.25</v>
      </c>
      <c r="R53" s="136">
        <v>41</v>
      </c>
      <c r="S53" s="112">
        <v>0</v>
      </c>
      <c r="T53" s="113">
        <f t="shared" si="0"/>
        <v>84</v>
      </c>
      <c r="U53" s="132"/>
    </row>
    <row r="54" spans="2:21" x14ac:dyDescent="0.25">
      <c r="B54" s="23">
        <v>45929</v>
      </c>
      <c r="C54" s="91">
        <v>2</v>
      </c>
      <c r="D54" s="18" t="str">
        <f>IFERROR(VLOOKUP(Trabajos!C54,Referencias!$E$7:$F$30,2,FALSE),"")</f>
        <v>Monitoreo de bb y bab</v>
      </c>
      <c r="E54" s="91">
        <v>40</v>
      </c>
      <c r="F54" s="18" t="str">
        <f>IFERROR(VLOOKUP(Trabajos!$E54,Clientes,2,FALSE),"")</f>
        <v>Cía. de Tierras Sud Argentino S.A.</v>
      </c>
      <c r="G54" s="24" t="s">
        <v>296</v>
      </c>
      <c r="H54" s="25">
        <v>298</v>
      </c>
      <c r="I54" s="138">
        <v>3450</v>
      </c>
      <c r="J54" s="19">
        <f t="shared" si="1"/>
        <v>1028100</v>
      </c>
      <c r="K54" s="26">
        <v>1</v>
      </c>
      <c r="L54" s="19" t="str">
        <f>IFERROR(VLOOKUP(K54,Referencias!$H$7:$I$9,2,FALSE),"")</f>
        <v>Tomas</v>
      </c>
      <c r="M54" s="203">
        <v>50</v>
      </c>
      <c r="N54" s="28">
        <v>650</v>
      </c>
      <c r="O54" s="20">
        <f t="shared" si="2"/>
        <v>32500</v>
      </c>
      <c r="P54" s="21">
        <f t="shared" si="3"/>
        <v>1060600</v>
      </c>
      <c r="R54" s="112">
        <v>0</v>
      </c>
      <c r="S54" s="112">
        <v>60</v>
      </c>
      <c r="T54" s="113">
        <f t="shared" si="0"/>
        <v>238</v>
      </c>
      <c r="U54" s="132"/>
    </row>
    <row r="55" spans="2:21" x14ac:dyDescent="0.25">
      <c r="B55" s="23">
        <v>45930</v>
      </c>
      <c r="C55" s="91">
        <v>2</v>
      </c>
      <c r="D55" s="18" t="str">
        <f>IFERROR(VLOOKUP(Trabajos!C55,Referencias!$E$7:$F$30,2,FALSE),"")</f>
        <v>Monitoreo de bb y bab</v>
      </c>
      <c r="E55" s="91">
        <v>33</v>
      </c>
      <c r="F55" s="18" t="str">
        <f>IFERROR(VLOOKUP(Trabajos!$E55,Clientes,2,FALSE),"")</f>
        <v>Espartina S.A.</v>
      </c>
      <c r="G55" s="91" t="s">
        <v>307</v>
      </c>
      <c r="H55" s="142">
        <v>100</v>
      </c>
      <c r="I55" s="138">
        <v>3035.25</v>
      </c>
      <c r="J55" s="19">
        <f t="shared" si="1"/>
        <v>303525</v>
      </c>
      <c r="K55" s="26">
        <v>2</v>
      </c>
      <c r="L55" s="19" t="str">
        <f>IFERROR(VLOOKUP(K55,Referencias!$H$7:$I$9,2,FALSE),"")</f>
        <v>Paco</v>
      </c>
      <c r="M55" s="203">
        <v>0</v>
      </c>
      <c r="N55" s="138">
        <v>588</v>
      </c>
      <c r="O55" s="20">
        <f t="shared" si="2"/>
        <v>0</v>
      </c>
      <c r="P55" s="21">
        <f t="shared" si="3"/>
        <v>303525</v>
      </c>
      <c r="R55" s="136">
        <v>67</v>
      </c>
      <c r="S55" s="112">
        <v>0</v>
      </c>
      <c r="T55" s="113">
        <f t="shared" si="0"/>
        <v>33</v>
      </c>
      <c r="U55" s="132"/>
    </row>
    <row r="56" spans="2:21" x14ac:dyDescent="0.25">
      <c r="B56" s="23">
        <v>45930</v>
      </c>
      <c r="C56" s="91">
        <v>2</v>
      </c>
      <c r="D56" s="18" t="str">
        <f>IFERROR(VLOOKUP(Trabajos!C56,Referencias!$E$7:$F$30,2,FALSE),"")</f>
        <v>Monitoreo de bb y bab</v>
      </c>
      <c r="E56" s="91">
        <v>33</v>
      </c>
      <c r="F56" s="18" t="str">
        <f>IFERROR(VLOOKUP(Trabajos!$E56,Clientes,2,FALSE),"")</f>
        <v>Espartina S.A.</v>
      </c>
      <c r="G56" s="91" t="s">
        <v>308</v>
      </c>
      <c r="H56" s="119">
        <v>100</v>
      </c>
      <c r="I56" s="138">
        <v>3035.25</v>
      </c>
      <c r="J56" s="19">
        <f t="shared" si="1"/>
        <v>303525</v>
      </c>
      <c r="K56" s="26">
        <v>2</v>
      </c>
      <c r="L56" s="19" t="str">
        <f>IFERROR(VLOOKUP(K56,Referencias!$H$7:$I$9,2,FALSE),"")</f>
        <v>Paco</v>
      </c>
      <c r="M56" s="203">
        <v>186</v>
      </c>
      <c r="N56" s="152">
        <v>588</v>
      </c>
      <c r="O56" s="20">
        <f t="shared" si="2"/>
        <v>109368</v>
      </c>
      <c r="P56" s="21">
        <f t="shared" si="3"/>
        <v>412893</v>
      </c>
      <c r="R56" s="112">
        <v>0</v>
      </c>
      <c r="S56" s="112">
        <v>0</v>
      </c>
      <c r="T56" s="113">
        <f t="shared" si="0"/>
        <v>100</v>
      </c>
      <c r="U56" s="132"/>
    </row>
    <row r="57" spans="2:21" x14ac:dyDescent="0.25">
      <c r="B57" s="23">
        <v>45930</v>
      </c>
      <c r="C57" s="91">
        <v>2</v>
      </c>
      <c r="D57" s="18" t="str">
        <f>IFERROR(VLOOKUP(Trabajos!C57,Referencias!$E$7:$F$30,2,FALSE),"")</f>
        <v>Monitoreo de bb y bab</v>
      </c>
      <c r="E57" s="91">
        <v>40</v>
      </c>
      <c r="F57" s="18" t="str">
        <f>IFERROR(VLOOKUP(Trabajos!$E57,Clientes,2,FALSE),"")</f>
        <v>Cía. de Tierras Sud Argentino S.A.</v>
      </c>
      <c r="G57" s="91" t="s">
        <v>296</v>
      </c>
      <c r="H57" s="142">
        <v>278</v>
      </c>
      <c r="I57" s="138">
        <v>3450</v>
      </c>
      <c r="J57" s="19">
        <f>IF(H57&lt;&gt;"",H57*I57,"")</f>
        <v>959100</v>
      </c>
      <c r="K57" s="26">
        <v>1</v>
      </c>
      <c r="L57" s="19" t="str">
        <f>IFERROR(VLOOKUP(K57,Referencias!$H$7:$I$9,2,FALSE),"")</f>
        <v>Tomas</v>
      </c>
      <c r="M57" s="209">
        <v>50</v>
      </c>
      <c r="N57" s="138">
        <v>650</v>
      </c>
      <c r="O57" s="20">
        <f t="shared" si="2"/>
        <v>32500</v>
      </c>
      <c r="P57" s="21">
        <f t="shared" si="3"/>
        <v>991600</v>
      </c>
      <c r="R57" s="112">
        <v>0</v>
      </c>
      <c r="S57" s="112">
        <v>69</v>
      </c>
      <c r="T57" s="113">
        <f t="shared" si="0"/>
        <v>209</v>
      </c>
      <c r="U57" s="132"/>
    </row>
    <row r="58" spans="2:21" x14ac:dyDescent="0.25">
      <c r="B58" s="23">
        <v>45930</v>
      </c>
      <c r="C58" s="91">
        <v>2</v>
      </c>
      <c r="D58" s="18" t="str">
        <f>IFERROR(VLOOKUP(Trabajos!C58,Referencias!$E$7:$F$30,2,FALSE),"")</f>
        <v>Monitoreo de bb y bab</v>
      </c>
      <c r="E58" s="91">
        <v>40</v>
      </c>
      <c r="F58" s="18" t="str">
        <f>IFERROR(VLOOKUP(Trabajos!$E58,Clientes,2,FALSE),"")</f>
        <v>Cía. de Tierras Sud Argentino S.A.</v>
      </c>
      <c r="G58" s="91" t="s">
        <v>296</v>
      </c>
      <c r="H58" s="119">
        <v>198</v>
      </c>
      <c r="I58" s="138">
        <v>3450</v>
      </c>
      <c r="J58" s="19">
        <f t="shared" si="1"/>
        <v>683100</v>
      </c>
      <c r="K58" s="26">
        <v>3</v>
      </c>
      <c r="L58" s="19" t="str">
        <f>IFERROR(VLOOKUP(K58,Referencias!$H$7:$I$9,2,FALSE),"")</f>
        <v>Zoom</v>
      </c>
      <c r="M58" s="209">
        <v>100</v>
      </c>
      <c r="N58" s="138">
        <v>650</v>
      </c>
      <c r="O58" s="20">
        <f t="shared" si="2"/>
        <v>65000</v>
      </c>
      <c r="P58" s="21">
        <f t="shared" si="3"/>
        <v>748100</v>
      </c>
      <c r="R58" s="112">
        <v>0</v>
      </c>
      <c r="S58" s="112">
        <v>0</v>
      </c>
      <c r="T58" s="113">
        <f t="shared" si="0"/>
        <v>198</v>
      </c>
      <c r="U58" s="132"/>
    </row>
    <row r="59" spans="2:21" x14ac:dyDescent="0.25">
      <c r="B59" s="23">
        <v>45931</v>
      </c>
      <c r="C59" s="91">
        <v>2</v>
      </c>
      <c r="D59" s="18" t="str">
        <f>IFERROR(VLOOKUP(Trabajos!C59,Referencias!$E$7:$F$30,2,FALSE),"")</f>
        <v>Monitoreo de bb y bab</v>
      </c>
      <c r="E59" s="157">
        <v>119</v>
      </c>
      <c r="F59" s="18" t="str">
        <f>IFERROR(VLOOKUP(Trabajos!$E59,Clientes,2,FALSE),"")</f>
        <v>Juan Rodriguez Rivas</v>
      </c>
      <c r="G59" s="91" t="s">
        <v>311</v>
      </c>
      <c r="H59" s="142">
        <v>213</v>
      </c>
      <c r="I59" s="138">
        <v>3516.25</v>
      </c>
      <c r="J59" s="19">
        <f t="shared" si="1"/>
        <v>748961.25</v>
      </c>
      <c r="K59" s="26">
        <v>2</v>
      </c>
      <c r="L59" s="19" t="str">
        <f>IFERROR(VLOOKUP(K59,Referencias!$H$7:$I$9,2,FALSE),"")</f>
        <v>Paco</v>
      </c>
      <c r="M59" s="203">
        <v>262</v>
      </c>
      <c r="N59" s="152">
        <v>650</v>
      </c>
      <c r="O59" s="20">
        <f t="shared" si="2"/>
        <v>170300</v>
      </c>
      <c r="P59" s="21">
        <f t="shared" si="3"/>
        <v>919261.25</v>
      </c>
      <c r="R59" s="112">
        <v>71</v>
      </c>
      <c r="S59" s="112">
        <v>0</v>
      </c>
      <c r="T59" s="113">
        <f t="shared" si="0"/>
        <v>142</v>
      </c>
      <c r="U59" s="132"/>
    </row>
    <row r="60" spans="2:21" x14ac:dyDescent="0.25">
      <c r="B60" s="23">
        <v>45931</v>
      </c>
      <c r="C60" s="91">
        <v>2</v>
      </c>
      <c r="D60" s="18" t="str">
        <f>IFERROR(VLOOKUP(Trabajos!C60,Referencias!$E$7:$F$30,2,FALSE),"")</f>
        <v>Monitoreo de bb y bab</v>
      </c>
      <c r="E60" s="91">
        <v>33</v>
      </c>
      <c r="F60" s="18" t="str">
        <f>IFERROR(VLOOKUP(Trabajos!$E60,Clientes,2,FALSE),"")</f>
        <v>Espartina S.A.</v>
      </c>
      <c r="G60" s="157" t="s">
        <v>256</v>
      </c>
      <c r="H60" s="142">
        <v>181</v>
      </c>
      <c r="I60" s="138">
        <v>3035.25</v>
      </c>
      <c r="J60" s="19">
        <f t="shared" si="1"/>
        <v>549380.25</v>
      </c>
      <c r="K60" s="26">
        <v>3</v>
      </c>
      <c r="L60" s="19" t="str">
        <f>IFERROR(VLOOKUP(K60,Referencias!$H$7:$I$9,2,FALSE),"")</f>
        <v>Zoom</v>
      </c>
      <c r="M60" s="203">
        <v>156</v>
      </c>
      <c r="N60" s="138">
        <v>588</v>
      </c>
      <c r="O60" s="20">
        <f t="shared" si="2"/>
        <v>91728</v>
      </c>
      <c r="P60" s="21">
        <f t="shared" si="3"/>
        <v>641108.25</v>
      </c>
      <c r="R60" s="112">
        <v>0</v>
      </c>
      <c r="S60" s="112">
        <v>0</v>
      </c>
      <c r="T60" s="113">
        <f t="shared" si="0"/>
        <v>181</v>
      </c>
      <c r="U60" s="132"/>
    </row>
    <row r="61" spans="2:21" x14ac:dyDescent="0.25">
      <c r="B61" s="23">
        <v>45931</v>
      </c>
      <c r="C61" s="91">
        <v>2</v>
      </c>
      <c r="D61" s="18" t="str">
        <f>IFERROR(VLOOKUP(Trabajos!C61,Referencias!$E$7:$F$30,2,FALSE),"")</f>
        <v>Monitoreo de bb y bab</v>
      </c>
      <c r="E61" s="91">
        <v>4</v>
      </c>
      <c r="F61" s="18" t="str">
        <f>IFERROR(VLOOKUP(Trabajos!$E61,Clientes,2,FALSE),"")</f>
        <v>Purtierra</v>
      </c>
      <c r="G61" s="91" t="s">
        <v>312</v>
      </c>
      <c r="H61" s="142">
        <v>236</v>
      </c>
      <c r="I61" s="138">
        <v>3730</v>
      </c>
      <c r="J61" s="19">
        <f t="shared" si="1"/>
        <v>880280</v>
      </c>
      <c r="K61" s="26">
        <v>3</v>
      </c>
      <c r="L61" s="19" t="str">
        <f>IFERROR(VLOOKUP(K61,Referencias!$H$7:$I$9,2,FALSE),"")</f>
        <v>Zoom</v>
      </c>
      <c r="M61" s="143">
        <v>92</v>
      </c>
      <c r="N61" s="29">
        <v>650</v>
      </c>
      <c r="O61" s="20">
        <f t="shared" si="2"/>
        <v>59800</v>
      </c>
      <c r="P61" s="21">
        <f t="shared" si="3"/>
        <v>940080</v>
      </c>
      <c r="R61" s="112">
        <v>0</v>
      </c>
      <c r="S61" s="112">
        <v>0</v>
      </c>
      <c r="T61" s="113">
        <f t="shared" si="0"/>
        <v>236</v>
      </c>
      <c r="U61" s="132"/>
    </row>
    <row r="62" spans="2:21" x14ac:dyDescent="0.25">
      <c r="B62" s="23">
        <v>45932</v>
      </c>
      <c r="C62" s="91">
        <v>2</v>
      </c>
      <c r="D62" s="18" t="str">
        <f>IFERROR(VLOOKUP(Trabajos!C62,Referencias!$E$7:$F$30,2,FALSE),"")</f>
        <v>Monitoreo de bb y bab</v>
      </c>
      <c r="E62" s="91">
        <v>33</v>
      </c>
      <c r="F62" s="18" t="str">
        <f>IFERROR(VLOOKUP(Trabajos!$E62,Clientes,2,FALSE),"")</f>
        <v>Espartina S.A.</v>
      </c>
      <c r="G62" s="91" t="s">
        <v>313</v>
      </c>
      <c r="H62" s="142">
        <v>183</v>
      </c>
      <c r="I62" s="138">
        <v>3035.25</v>
      </c>
      <c r="J62" s="19">
        <f t="shared" si="1"/>
        <v>555450.75</v>
      </c>
      <c r="K62" s="26">
        <v>2</v>
      </c>
      <c r="L62" s="19" t="str">
        <f>IFERROR(VLOOKUP(K62,Referencias!$H$7:$I$9,2,FALSE),"")</f>
        <v>Paco</v>
      </c>
      <c r="M62" s="143">
        <v>274</v>
      </c>
      <c r="N62" s="138">
        <v>588</v>
      </c>
      <c r="O62" s="20">
        <f t="shared" si="2"/>
        <v>161112</v>
      </c>
      <c r="P62" s="21">
        <f t="shared" si="3"/>
        <v>716562.75</v>
      </c>
      <c r="R62" s="112">
        <v>61</v>
      </c>
      <c r="S62" s="112">
        <v>0</v>
      </c>
      <c r="T62" s="113">
        <f t="shared" si="0"/>
        <v>122</v>
      </c>
      <c r="U62" s="132"/>
    </row>
    <row r="63" spans="2:21" x14ac:dyDescent="0.25">
      <c r="B63" s="23">
        <v>45932</v>
      </c>
      <c r="C63" s="91">
        <v>2</v>
      </c>
      <c r="D63" s="18" t="str">
        <f>IFERROR(VLOOKUP(Trabajos!C63,Referencias!$E$7:$F$30,2,FALSE),"")</f>
        <v>Monitoreo de bb y bab</v>
      </c>
      <c r="E63" s="91">
        <v>33</v>
      </c>
      <c r="F63" s="18" t="str">
        <f>IFERROR(VLOOKUP(Trabajos!$E63,Clientes,2,FALSE),"")</f>
        <v>Espartina S.A.</v>
      </c>
      <c r="G63" s="157" t="s">
        <v>256</v>
      </c>
      <c r="H63" s="142">
        <v>335</v>
      </c>
      <c r="I63" s="138">
        <v>3035.25</v>
      </c>
      <c r="J63" s="19">
        <f t="shared" si="1"/>
        <v>1016808.75</v>
      </c>
      <c r="K63" s="26">
        <v>1</v>
      </c>
      <c r="L63" s="19" t="str">
        <f>IFERROR(VLOOKUP(K63,Referencias!$H$7:$I$9,2,FALSE),"")</f>
        <v>Tomas</v>
      </c>
      <c r="M63" s="143">
        <v>156</v>
      </c>
      <c r="N63" s="152">
        <v>588</v>
      </c>
      <c r="O63" s="20">
        <f t="shared" si="2"/>
        <v>91728</v>
      </c>
      <c r="P63" s="21">
        <f t="shared" si="3"/>
        <v>1108536.75</v>
      </c>
      <c r="R63" s="112">
        <v>0</v>
      </c>
      <c r="S63" s="112">
        <v>84</v>
      </c>
      <c r="T63" s="113">
        <f t="shared" si="0"/>
        <v>251</v>
      </c>
      <c r="U63" s="132"/>
    </row>
    <row r="64" spans="2:21" x14ac:dyDescent="0.25">
      <c r="B64" s="23">
        <v>45933</v>
      </c>
      <c r="C64" s="91">
        <v>2</v>
      </c>
      <c r="D64" s="18" t="str">
        <f>IFERROR(VLOOKUP(Trabajos!C64,Referencias!$E$7:$F$30,2,FALSE),"")</f>
        <v>Monitoreo de bb y bab</v>
      </c>
      <c r="E64" s="91">
        <v>33</v>
      </c>
      <c r="F64" s="18" t="str">
        <f>IFERROR(VLOOKUP(Trabajos!$E64,Clientes,2,FALSE),"")</f>
        <v>Espartina S.A.</v>
      </c>
      <c r="G64" s="91" t="s">
        <v>313</v>
      </c>
      <c r="H64" s="119">
        <v>184</v>
      </c>
      <c r="I64" s="138">
        <v>3035.25</v>
      </c>
      <c r="J64" s="19">
        <f t="shared" si="1"/>
        <v>558486</v>
      </c>
      <c r="K64" s="26">
        <v>2</v>
      </c>
      <c r="L64" s="19" t="str">
        <f>IFERROR(VLOOKUP(K64,Referencias!$H$7:$I$9,2,FALSE),"")</f>
        <v>Paco</v>
      </c>
      <c r="M64" s="143">
        <v>0</v>
      </c>
      <c r="N64" s="138">
        <v>588</v>
      </c>
      <c r="O64" s="20">
        <f t="shared" si="2"/>
        <v>0</v>
      </c>
      <c r="P64" s="21">
        <f t="shared" si="3"/>
        <v>558486</v>
      </c>
      <c r="R64" s="112">
        <v>61</v>
      </c>
      <c r="S64" s="112">
        <v>0</v>
      </c>
      <c r="T64" s="113">
        <f t="shared" si="0"/>
        <v>123</v>
      </c>
      <c r="U64" s="132"/>
    </row>
    <row r="65" spans="2:21" x14ac:dyDescent="0.25">
      <c r="B65" s="23">
        <v>45933</v>
      </c>
      <c r="C65" s="91">
        <v>2</v>
      </c>
      <c r="D65" s="18" t="str">
        <f>IFERROR(VLOOKUP(Trabajos!C65,Referencias!$E$7:$F$30,2,FALSE),"")</f>
        <v>Monitoreo de bb y bab</v>
      </c>
      <c r="E65" s="91">
        <v>33</v>
      </c>
      <c r="F65" s="18" t="str">
        <f>IFERROR(VLOOKUP(Trabajos!$E65,Clientes,2,FALSE),"")</f>
        <v>Espartina S.A.</v>
      </c>
      <c r="G65" s="157" t="s">
        <v>256</v>
      </c>
      <c r="H65" s="142">
        <v>184</v>
      </c>
      <c r="I65" s="138">
        <v>3035.25</v>
      </c>
      <c r="J65" s="19">
        <f t="shared" si="1"/>
        <v>558486</v>
      </c>
      <c r="K65" s="26">
        <v>1</v>
      </c>
      <c r="L65" s="19" t="str">
        <f>IFERROR(VLOOKUP(K65,Referencias!$H$7:$I$9,2,FALSE),"")</f>
        <v>Tomas</v>
      </c>
      <c r="M65" s="143">
        <v>156</v>
      </c>
      <c r="N65" s="152">
        <v>588</v>
      </c>
      <c r="O65" s="20">
        <f t="shared" si="2"/>
        <v>91728</v>
      </c>
      <c r="P65" s="21">
        <f t="shared" si="3"/>
        <v>650214</v>
      </c>
      <c r="R65" s="112">
        <v>0</v>
      </c>
      <c r="S65" s="112">
        <v>66</v>
      </c>
      <c r="T65" s="113">
        <f t="shared" si="0"/>
        <v>118</v>
      </c>
      <c r="U65" s="132"/>
    </row>
    <row r="66" spans="2:21" x14ac:dyDescent="0.25">
      <c r="B66" s="23">
        <v>45933</v>
      </c>
      <c r="C66" s="91">
        <v>2</v>
      </c>
      <c r="D66" s="18" t="str">
        <f>IFERROR(VLOOKUP(Trabajos!C66,Referencias!$E$7:$F$30,2,FALSE),"")</f>
        <v>Monitoreo de bb y bab</v>
      </c>
      <c r="E66" s="91">
        <v>88</v>
      </c>
      <c r="F66" s="18" t="str">
        <f>IFERROR(VLOOKUP(Trabajos!$E66,Clientes,2,FALSE),"")</f>
        <v>Ignacio Ridao</v>
      </c>
      <c r="G66" s="91" t="s">
        <v>314</v>
      </c>
      <c r="H66" s="142">
        <v>79</v>
      </c>
      <c r="I66" s="138">
        <v>3628.75</v>
      </c>
      <c r="J66" s="19">
        <f t="shared" si="1"/>
        <v>286671.25</v>
      </c>
      <c r="K66" s="26">
        <v>1</v>
      </c>
      <c r="L66" s="19" t="str">
        <f>IFERROR(VLOOKUP(K66,Referencias!$H$7:$I$9,2,FALSE),"")</f>
        <v>Tomas</v>
      </c>
      <c r="M66" s="143">
        <v>64</v>
      </c>
      <c r="N66" s="29">
        <v>650</v>
      </c>
      <c r="O66" s="20">
        <f t="shared" si="2"/>
        <v>41600</v>
      </c>
      <c r="P66" s="21">
        <f t="shared" si="3"/>
        <v>328271.25</v>
      </c>
      <c r="R66" s="112">
        <v>0</v>
      </c>
      <c r="S66" s="112">
        <v>0</v>
      </c>
      <c r="T66" s="113">
        <f t="shared" si="0"/>
        <v>79</v>
      </c>
      <c r="U66" s="132"/>
    </row>
    <row r="67" spans="2:21" x14ac:dyDescent="0.25">
      <c r="B67" s="23">
        <v>45934</v>
      </c>
      <c r="C67" s="91">
        <v>2</v>
      </c>
      <c r="D67" s="18" t="str">
        <f>IFERROR(VLOOKUP(Trabajos!C67,Referencias!$E$7:$F$30,2,FALSE),"")</f>
        <v>Monitoreo de bb y bab</v>
      </c>
      <c r="E67" s="91">
        <v>33</v>
      </c>
      <c r="F67" s="18" t="str">
        <f>IFERROR(VLOOKUP(Trabajos!$E67,Clientes,2,FALSE),"")</f>
        <v>Espartina S.A.</v>
      </c>
      <c r="G67" s="91" t="s">
        <v>308</v>
      </c>
      <c r="H67" s="119">
        <v>201</v>
      </c>
      <c r="I67" s="138">
        <v>3035.25</v>
      </c>
      <c r="J67" s="19">
        <f t="shared" si="1"/>
        <v>610085.25</v>
      </c>
      <c r="K67" s="26">
        <v>2</v>
      </c>
      <c r="L67" s="19" t="str">
        <f>IFERROR(VLOOKUP(K67,Referencias!$H$7:$I$9,2,FALSE),"")</f>
        <v>Paco</v>
      </c>
      <c r="M67" s="143">
        <v>0</v>
      </c>
      <c r="N67" s="152">
        <v>588</v>
      </c>
      <c r="O67" s="20">
        <f t="shared" si="2"/>
        <v>0</v>
      </c>
      <c r="P67" s="21">
        <f t="shared" si="3"/>
        <v>610085.25</v>
      </c>
      <c r="R67" s="112">
        <v>67</v>
      </c>
      <c r="S67" s="112">
        <v>0</v>
      </c>
      <c r="T67" s="113">
        <f t="shared" si="0"/>
        <v>134</v>
      </c>
      <c r="U67" s="132"/>
    </row>
    <row r="68" spans="2:21" x14ac:dyDescent="0.25">
      <c r="B68" s="23">
        <v>45934</v>
      </c>
      <c r="C68" s="91">
        <v>2</v>
      </c>
      <c r="D68" s="18" t="str">
        <f>IFERROR(VLOOKUP(Trabajos!C68,Referencias!$E$7:$F$30,2,FALSE),"")</f>
        <v>Monitoreo de bb y bab</v>
      </c>
      <c r="E68" s="91">
        <v>33</v>
      </c>
      <c r="F68" s="18" t="str">
        <f>IFERROR(VLOOKUP(Trabajos!$E68,Clientes,2,FALSE),"")</f>
        <v>Espartina S.A.</v>
      </c>
      <c r="G68" s="91" t="s">
        <v>290</v>
      </c>
      <c r="H68" s="142">
        <v>206</v>
      </c>
      <c r="I68" s="138">
        <v>3035.25</v>
      </c>
      <c r="J68" s="19">
        <f t="shared" si="1"/>
        <v>625261.5</v>
      </c>
      <c r="K68" s="26">
        <v>1</v>
      </c>
      <c r="L68" s="19" t="str">
        <f>IFERROR(VLOOKUP(K68,Referencias!$H$7:$I$9,2,FALSE),"")</f>
        <v>Tomas</v>
      </c>
      <c r="M68" s="143">
        <v>236</v>
      </c>
      <c r="N68" s="152">
        <v>588</v>
      </c>
      <c r="O68" s="20">
        <f t="shared" si="2"/>
        <v>138768</v>
      </c>
      <c r="P68" s="21">
        <f t="shared" si="3"/>
        <v>764029.5</v>
      </c>
      <c r="R68" s="112">
        <v>0</v>
      </c>
      <c r="S68" s="112">
        <v>69</v>
      </c>
      <c r="T68" s="113">
        <f t="shared" si="0"/>
        <v>137</v>
      </c>
      <c r="U68" s="132"/>
    </row>
    <row r="69" spans="2:21" x14ac:dyDescent="0.25">
      <c r="B69" s="23">
        <v>45934</v>
      </c>
      <c r="C69" s="91">
        <v>2</v>
      </c>
      <c r="D69" s="18" t="str">
        <f>IFERROR(VLOOKUP(Trabajos!C69,Referencias!$E$7:$F$30,2,FALSE),"")</f>
        <v>Monitoreo de bb y bab</v>
      </c>
      <c r="E69" s="91">
        <v>24</v>
      </c>
      <c r="F69" s="18" t="str">
        <f>IFERROR(VLOOKUP(Trabajos!$E69,Clientes,2,FALSE),"")</f>
        <v>Nugas S.A.</v>
      </c>
      <c r="G69" s="91" t="s">
        <v>302</v>
      </c>
      <c r="H69" s="119">
        <v>154</v>
      </c>
      <c r="I69" s="152">
        <v>3628.75</v>
      </c>
      <c r="J69" s="19">
        <f t="shared" si="1"/>
        <v>558827.5</v>
      </c>
      <c r="K69" s="26">
        <v>3</v>
      </c>
      <c r="L69" s="19" t="str">
        <f>IFERROR(VLOOKUP(K69,Referencias!$H$7:$I$9,2,FALSE),"")</f>
        <v>Zoom</v>
      </c>
      <c r="M69" s="143">
        <v>160</v>
      </c>
      <c r="N69" s="29">
        <v>650</v>
      </c>
      <c r="O69" s="20">
        <f>IF(M69&lt;&gt;"",M69*N69,"")</f>
        <v>104000</v>
      </c>
      <c r="P69" s="21">
        <f t="shared" si="3"/>
        <v>662827.5</v>
      </c>
      <c r="R69" s="112">
        <v>0</v>
      </c>
      <c r="S69" s="112">
        <v>0</v>
      </c>
      <c r="T69" s="113">
        <f t="shared" si="0"/>
        <v>154</v>
      </c>
      <c r="U69" s="132"/>
    </row>
    <row r="70" spans="2:21" x14ac:dyDescent="0.25">
      <c r="B70" s="23">
        <v>45934</v>
      </c>
      <c r="C70" s="91">
        <v>2</v>
      </c>
      <c r="D70" s="18" t="str">
        <f>IFERROR(VLOOKUP(Trabajos!C70,Referencias!$E$7:$F$30,2,FALSE),"")</f>
        <v>Monitoreo de bb y bab</v>
      </c>
      <c r="E70" s="91">
        <v>76</v>
      </c>
      <c r="F70" s="18" t="str">
        <f>IFERROR(VLOOKUP(Trabajos!$E70,Clientes,2,FALSE),"")</f>
        <v>Bruno Fioriti</v>
      </c>
      <c r="G70" s="91" t="s">
        <v>316</v>
      </c>
      <c r="H70" s="119">
        <v>58</v>
      </c>
      <c r="I70" s="138">
        <v>3505</v>
      </c>
      <c r="J70" s="19">
        <f t="shared" si="1"/>
        <v>203290</v>
      </c>
      <c r="K70" s="26">
        <v>3</v>
      </c>
      <c r="L70" s="19" t="str">
        <f>IFERROR(VLOOKUP(K70,Referencias!$H$7:$I$9,2,FALSE),"")</f>
        <v>Zoom</v>
      </c>
      <c r="M70" s="143">
        <v>62</v>
      </c>
      <c r="N70" s="29">
        <v>650</v>
      </c>
      <c r="O70" s="20">
        <f t="shared" si="2"/>
        <v>40300</v>
      </c>
      <c r="P70" s="21">
        <f t="shared" si="3"/>
        <v>243590</v>
      </c>
      <c r="R70" s="112">
        <v>0</v>
      </c>
      <c r="S70" s="112">
        <v>0</v>
      </c>
      <c r="T70" s="113">
        <f t="shared" si="0"/>
        <v>58</v>
      </c>
      <c r="U70" s="132"/>
    </row>
    <row r="71" spans="2:21" x14ac:dyDescent="0.25">
      <c r="B71" s="23">
        <v>45934</v>
      </c>
      <c r="C71" s="91">
        <v>1</v>
      </c>
      <c r="D71" s="18" t="str">
        <f>IFERROR(VLOOKUP(Trabajos!C71,Referencias!$E$7:$F$30,2,FALSE),"")</f>
        <v>Muestreo de suelos</v>
      </c>
      <c r="E71" s="91">
        <v>33</v>
      </c>
      <c r="F71" s="18" t="str">
        <f>IFERROR(VLOOKUP(Trabajos!$E71,Clientes,2,FALSE),"")</f>
        <v>Espartina S.A.</v>
      </c>
      <c r="G71" s="91" t="s">
        <v>256</v>
      </c>
      <c r="H71" s="142">
        <v>80</v>
      </c>
      <c r="I71" s="138">
        <v>947.70673076900005</v>
      </c>
      <c r="J71" s="19">
        <f t="shared" ref="J71:J325" si="4">IF(H71&lt;&gt;"",H71*I71,"")</f>
        <v>75816.538461520002</v>
      </c>
      <c r="K71" s="26">
        <v>3</v>
      </c>
      <c r="L71" s="19" t="str">
        <f>IFERROR(VLOOKUP(K71,Referencias!$H$7:$I$9,2,FALSE),"")</f>
        <v>Zoom</v>
      </c>
      <c r="M71" s="143">
        <v>0</v>
      </c>
      <c r="N71" s="152">
        <v>588</v>
      </c>
      <c r="O71" s="20">
        <f t="shared" ref="O71:O327" si="5">IF(M71&lt;&gt;"",M71*N71,"")</f>
        <v>0</v>
      </c>
      <c r="P71" s="21">
        <f t="shared" si="3"/>
        <v>75816.538461520002</v>
      </c>
      <c r="R71" s="112">
        <v>0</v>
      </c>
      <c r="S71" s="112">
        <v>0</v>
      </c>
      <c r="T71" s="113">
        <f t="shared" si="0"/>
        <v>80</v>
      </c>
      <c r="U71" s="132"/>
    </row>
    <row r="72" spans="2:21" x14ac:dyDescent="0.25">
      <c r="B72" s="23">
        <v>45934</v>
      </c>
      <c r="C72" s="91">
        <v>1</v>
      </c>
      <c r="D72" s="18" t="str">
        <f>IFERROR(VLOOKUP(Trabajos!C72,Referencias!$E$7:$F$30,2,FALSE),"")</f>
        <v>Muestreo de suelos</v>
      </c>
      <c r="E72" s="91">
        <v>33</v>
      </c>
      <c r="F72" s="18" t="str">
        <f>IFERROR(VLOOKUP(Trabajos!$E72,Clientes,2,FALSE),"")</f>
        <v>Espartina S.A.</v>
      </c>
      <c r="G72" s="91" t="s">
        <v>266</v>
      </c>
      <c r="H72" s="142">
        <v>80</v>
      </c>
      <c r="I72" s="138">
        <v>947.70673076900005</v>
      </c>
      <c r="J72" s="19">
        <f t="shared" si="1"/>
        <v>75816.538461520002</v>
      </c>
      <c r="K72" s="26">
        <v>3</v>
      </c>
      <c r="L72" s="19" t="str">
        <f>IFERROR(VLOOKUP(K72,Referencias!$H$7:$I$9,2,FALSE),"")</f>
        <v>Zoom</v>
      </c>
      <c r="M72" s="143">
        <v>0</v>
      </c>
      <c r="N72" s="152">
        <v>588</v>
      </c>
      <c r="O72" s="20">
        <f t="shared" si="2"/>
        <v>0</v>
      </c>
      <c r="P72" s="21">
        <f t="shared" si="3"/>
        <v>75816.538461520002</v>
      </c>
      <c r="R72" s="136">
        <v>0</v>
      </c>
      <c r="S72" s="112">
        <v>0</v>
      </c>
      <c r="T72" s="113">
        <f t="shared" si="0"/>
        <v>80</v>
      </c>
      <c r="U72" s="132"/>
    </row>
    <row r="73" spans="2:21" x14ac:dyDescent="0.25">
      <c r="B73" s="23">
        <v>45937</v>
      </c>
      <c r="C73" s="91">
        <v>2</v>
      </c>
      <c r="D73" s="18" t="str">
        <f>IFERROR(VLOOKUP(Trabajos!C73,Referencias!$E$7:$F$30,2,FALSE),"")</f>
        <v>Monitoreo de bb y bab</v>
      </c>
      <c r="E73" s="91">
        <v>33</v>
      </c>
      <c r="F73" s="18" t="str">
        <f>IFERROR(VLOOKUP(Trabajos!$E73,Clientes,2,FALSE),"")</f>
        <v>Espartina S.A.</v>
      </c>
      <c r="G73" s="157" t="s">
        <v>317</v>
      </c>
      <c r="H73" s="142">
        <v>450</v>
      </c>
      <c r="I73" s="138">
        <v>3035.25</v>
      </c>
      <c r="J73" s="19">
        <f t="shared" si="4"/>
        <v>1365862.5</v>
      </c>
      <c r="K73" s="26">
        <v>1</v>
      </c>
      <c r="L73" s="19" t="str">
        <f>IFERROR(VLOOKUP(K73,Referencias!$H$7:$I$9,2,FALSE),"")</f>
        <v>Tomas</v>
      </c>
      <c r="M73" s="143">
        <v>370</v>
      </c>
      <c r="N73" s="152">
        <v>588</v>
      </c>
      <c r="O73" s="20">
        <f t="shared" si="5"/>
        <v>217560</v>
      </c>
      <c r="P73" s="21">
        <f t="shared" ref="P73:P115" si="6">IF(J73&lt;&gt;"",J73+O73,"")</f>
        <v>1583422.5</v>
      </c>
      <c r="R73" s="136">
        <v>0</v>
      </c>
      <c r="S73" s="112">
        <v>112</v>
      </c>
      <c r="T73" s="113">
        <f t="shared" si="0"/>
        <v>338</v>
      </c>
      <c r="U73" s="132"/>
    </row>
    <row r="74" spans="2:21" x14ac:dyDescent="0.25">
      <c r="B74" s="23">
        <v>45938</v>
      </c>
      <c r="C74" s="91">
        <v>2</v>
      </c>
      <c r="D74" s="18" t="str">
        <f>IFERROR(VLOOKUP(Trabajos!C74,Referencias!$E$7:$F$30,2,FALSE),"")</f>
        <v>Monitoreo de bb y bab</v>
      </c>
      <c r="E74" s="91">
        <v>33</v>
      </c>
      <c r="F74" s="18" t="str">
        <f>IFERROR(VLOOKUP(Trabajos!$E74,Clientes,2,FALSE),"")</f>
        <v>Espartina S.A.</v>
      </c>
      <c r="G74" s="91" t="s">
        <v>318</v>
      </c>
      <c r="H74" s="119">
        <v>126</v>
      </c>
      <c r="I74" s="138">
        <v>3035.25</v>
      </c>
      <c r="J74" s="19">
        <f t="shared" si="4"/>
        <v>382441.5</v>
      </c>
      <c r="K74" s="26">
        <v>2</v>
      </c>
      <c r="L74" s="19" t="str">
        <f>IFERROR(VLOOKUP(K74,Referencias!$H$7:$I$9,2,FALSE),"")</f>
        <v>Paco</v>
      </c>
      <c r="M74" s="143">
        <v>208</v>
      </c>
      <c r="N74" s="152">
        <v>588</v>
      </c>
      <c r="O74" s="20">
        <f t="shared" si="5"/>
        <v>122304</v>
      </c>
      <c r="P74" s="21">
        <f t="shared" si="6"/>
        <v>504745.5</v>
      </c>
      <c r="R74" s="112">
        <v>42</v>
      </c>
      <c r="S74" s="112">
        <v>0</v>
      </c>
      <c r="T74" s="113">
        <f t="shared" si="0"/>
        <v>84</v>
      </c>
      <c r="U74" s="132"/>
    </row>
    <row r="75" spans="2:21" x14ac:dyDescent="0.25">
      <c r="B75" s="23">
        <v>45938</v>
      </c>
      <c r="C75" s="91">
        <v>3</v>
      </c>
      <c r="D75" s="18" t="str">
        <f>IFERROR(VLOOKUP(Trabajos!C75,Referencias!$E$7:$F$30,2,FALSE),"")</f>
        <v>Aplicación de cebos</v>
      </c>
      <c r="E75" s="91">
        <v>33</v>
      </c>
      <c r="F75" s="18" t="str">
        <f>IFERROR(VLOOKUP(Trabajos!$E75,Clientes,2,FALSE),"")</f>
        <v>Espartina S.A.</v>
      </c>
      <c r="G75" s="91" t="s">
        <v>256</v>
      </c>
      <c r="H75" s="119">
        <v>150</v>
      </c>
      <c r="I75" s="138">
        <v>7267.5</v>
      </c>
      <c r="J75" s="19">
        <f t="shared" si="4"/>
        <v>1090125</v>
      </c>
      <c r="K75" s="26">
        <v>1</v>
      </c>
      <c r="L75" s="19" t="str">
        <f>IFERROR(VLOOKUP(K75,Referencias!$H$7:$I$9,2,FALSE),"")</f>
        <v>Tomas</v>
      </c>
      <c r="M75" s="143">
        <v>156</v>
      </c>
      <c r="N75" s="152">
        <v>633.85</v>
      </c>
      <c r="O75" s="20">
        <f t="shared" si="5"/>
        <v>98880.6</v>
      </c>
      <c r="P75" s="21">
        <f t="shared" si="6"/>
        <v>1189005.6000000001</v>
      </c>
      <c r="R75" s="112">
        <v>0</v>
      </c>
      <c r="S75" s="112">
        <v>80</v>
      </c>
      <c r="T75" s="113">
        <f t="shared" si="0"/>
        <v>70</v>
      </c>
      <c r="U75" s="132"/>
    </row>
    <row r="76" spans="2:21" x14ac:dyDescent="0.25">
      <c r="B76" s="23">
        <v>45938</v>
      </c>
      <c r="C76" s="91">
        <v>2</v>
      </c>
      <c r="D76" s="18" t="str">
        <f>IFERROR(VLOOKUP(Trabajos!C76,Referencias!$E$7:$F$30,2,FALSE),"")</f>
        <v>Monitoreo de bb y bab</v>
      </c>
      <c r="E76" s="91">
        <v>24</v>
      </c>
      <c r="F76" s="18" t="str">
        <f>IFERROR(VLOOKUP(Trabajos!$E76,Clientes,2,FALSE),"")</f>
        <v>Nugas S.A.</v>
      </c>
      <c r="G76" s="91" t="s">
        <v>302</v>
      </c>
      <c r="H76" s="142">
        <v>229</v>
      </c>
      <c r="I76" s="138">
        <v>3628.75</v>
      </c>
      <c r="J76" s="19">
        <f t="shared" si="4"/>
        <v>830983.75</v>
      </c>
      <c r="K76" s="26">
        <v>3</v>
      </c>
      <c r="L76" s="19" t="str">
        <f>IFERROR(VLOOKUP(K76,Referencias!$H$7:$I$9,2,FALSE),"")</f>
        <v>Zoom</v>
      </c>
      <c r="M76" s="143">
        <v>160</v>
      </c>
      <c r="N76" s="29">
        <v>650</v>
      </c>
      <c r="O76" s="20">
        <f t="shared" si="5"/>
        <v>104000</v>
      </c>
      <c r="P76" s="21">
        <f t="shared" si="6"/>
        <v>934983.75</v>
      </c>
      <c r="R76" s="136">
        <v>0</v>
      </c>
      <c r="S76" s="112">
        <v>0</v>
      </c>
      <c r="T76" s="113">
        <f t="shared" si="0"/>
        <v>229</v>
      </c>
      <c r="U76" s="132"/>
    </row>
    <row r="77" spans="2:21" x14ac:dyDescent="0.25">
      <c r="B77" s="23">
        <v>45938</v>
      </c>
      <c r="C77" s="91">
        <v>1</v>
      </c>
      <c r="D77" s="18" t="str">
        <f>IFERROR(VLOOKUP(Trabajos!C77,Referencias!$E$7:$F$30,2,FALSE),"")</f>
        <v>Muestreo de suelos</v>
      </c>
      <c r="E77" s="91">
        <v>6</v>
      </c>
      <c r="F77" s="18" t="str">
        <f>IFERROR(VLOOKUP(Trabajos!$E77,Clientes,2,FALSE),"")</f>
        <v>La Nany S.A.</v>
      </c>
      <c r="G77" s="91" t="s">
        <v>321</v>
      </c>
      <c r="H77" s="119">
        <v>100</v>
      </c>
      <c r="I77" s="138">
        <v>1158</v>
      </c>
      <c r="J77" s="19">
        <f t="shared" si="4"/>
        <v>115800</v>
      </c>
      <c r="K77" s="26">
        <v>3</v>
      </c>
      <c r="L77" s="19" t="str">
        <f>IFERROR(VLOOKUP(K77,Referencias!$H$7:$I$9,2,FALSE),"")</f>
        <v>Zoom</v>
      </c>
      <c r="M77" s="143">
        <v>0</v>
      </c>
      <c r="N77" s="152">
        <v>650</v>
      </c>
      <c r="O77" s="20">
        <f t="shared" si="5"/>
        <v>0</v>
      </c>
      <c r="P77" s="21">
        <f t="shared" si="6"/>
        <v>115800</v>
      </c>
      <c r="R77" s="112">
        <v>0</v>
      </c>
      <c r="S77" s="112">
        <v>0</v>
      </c>
      <c r="T77" s="113">
        <f t="shared" si="0"/>
        <v>100</v>
      </c>
      <c r="U77" s="132"/>
    </row>
    <row r="78" spans="2:21" x14ac:dyDescent="0.25">
      <c r="B78" s="23">
        <v>45938</v>
      </c>
      <c r="C78" s="91">
        <v>1</v>
      </c>
      <c r="D78" s="18" t="str">
        <f>IFERROR(VLOOKUP(Trabajos!C78,Referencias!$E$7:$F$30,2,FALSE),"")</f>
        <v>Muestreo de suelos</v>
      </c>
      <c r="E78" s="91">
        <v>6</v>
      </c>
      <c r="F78" s="18" t="str">
        <f>IFERROR(VLOOKUP(Trabajos!$E78,Clientes,2,FALSE),"")</f>
        <v>La Nany S.A.</v>
      </c>
      <c r="G78" s="91" t="s">
        <v>322</v>
      </c>
      <c r="H78" s="142">
        <v>100</v>
      </c>
      <c r="I78" s="138">
        <v>1158</v>
      </c>
      <c r="J78" s="19">
        <f t="shared" si="4"/>
        <v>115800</v>
      </c>
      <c r="K78" s="26">
        <v>3</v>
      </c>
      <c r="L78" s="19" t="str">
        <f>IFERROR(VLOOKUP(K78,Referencias!$H$7:$I$9,2,FALSE),"")</f>
        <v>Zoom</v>
      </c>
      <c r="M78" s="143">
        <v>104</v>
      </c>
      <c r="N78" s="28">
        <v>650</v>
      </c>
      <c r="O78" s="20">
        <f t="shared" si="5"/>
        <v>67600</v>
      </c>
      <c r="P78" s="21">
        <f t="shared" si="6"/>
        <v>183400</v>
      </c>
      <c r="R78" s="112">
        <v>0</v>
      </c>
      <c r="S78" s="112">
        <v>0</v>
      </c>
      <c r="T78" s="113">
        <f t="shared" si="0"/>
        <v>100</v>
      </c>
      <c r="U78" s="132"/>
    </row>
    <row r="79" spans="2:21" x14ac:dyDescent="0.25">
      <c r="B79" s="23">
        <v>45939</v>
      </c>
      <c r="C79" s="91">
        <v>2</v>
      </c>
      <c r="D79" s="18" t="str">
        <f>IFERROR(VLOOKUP(Trabajos!C79,Referencias!$E$7:$F$30,2,FALSE),"")</f>
        <v>Monitoreo de bb y bab</v>
      </c>
      <c r="E79" s="91">
        <v>33</v>
      </c>
      <c r="F79" s="18" t="str">
        <f>IFERROR(VLOOKUP(Trabajos!$E79,Clientes,2,FALSE),"")</f>
        <v>Espartina S.A.</v>
      </c>
      <c r="G79" s="91" t="s">
        <v>325</v>
      </c>
      <c r="H79" s="119">
        <v>148</v>
      </c>
      <c r="I79" s="138">
        <v>3035.25</v>
      </c>
      <c r="J79" s="19">
        <f t="shared" si="4"/>
        <v>449217</v>
      </c>
      <c r="K79" s="26">
        <v>2</v>
      </c>
      <c r="L79" s="19" t="str">
        <f>IFERROR(VLOOKUP(K79,Referencias!$H$7:$I$9,2,FALSE),"")</f>
        <v>Paco</v>
      </c>
      <c r="M79" s="143">
        <v>164</v>
      </c>
      <c r="N79" s="138">
        <v>588</v>
      </c>
      <c r="O79" s="20">
        <f t="shared" si="5"/>
        <v>96432</v>
      </c>
      <c r="P79" s="21">
        <f t="shared" si="6"/>
        <v>545649</v>
      </c>
      <c r="R79" s="112">
        <v>74</v>
      </c>
      <c r="S79" s="112">
        <v>0</v>
      </c>
      <c r="T79" s="113">
        <f t="shared" si="0"/>
        <v>74</v>
      </c>
      <c r="U79" s="132"/>
    </row>
    <row r="80" spans="2:21" x14ac:dyDescent="0.25">
      <c r="B80" s="23">
        <v>45939</v>
      </c>
      <c r="C80" s="91">
        <v>2</v>
      </c>
      <c r="D80" s="18" t="str">
        <f>IFERROR(VLOOKUP(Trabajos!C80,Referencias!$E$7:$F$30,2,FALSE),"")</f>
        <v>Monitoreo de bb y bab</v>
      </c>
      <c r="E80" s="91">
        <v>17</v>
      </c>
      <c r="F80" s="18" t="str">
        <f>IFERROR(VLOOKUP(Trabajos!$E80,Clientes,2,FALSE),"")</f>
        <v>Campo Maipu S.A.</v>
      </c>
      <c r="G80" s="91" t="s">
        <v>324</v>
      </c>
      <c r="H80" s="142">
        <v>140</v>
      </c>
      <c r="I80" s="138">
        <v>3505</v>
      </c>
      <c r="J80" s="19">
        <f t="shared" si="4"/>
        <v>490700</v>
      </c>
      <c r="K80" s="26">
        <v>3</v>
      </c>
      <c r="L80" s="19" t="str">
        <f>IFERROR(VLOOKUP(K80,Referencias!$H$7:$I$9,2,FALSE),"")</f>
        <v>Zoom</v>
      </c>
      <c r="M80" s="143">
        <v>352</v>
      </c>
      <c r="N80" s="29">
        <v>650</v>
      </c>
      <c r="O80" s="20">
        <f t="shared" si="5"/>
        <v>228800</v>
      </c>
      <c r="P80" s="21">
        <f t="shared" si="6"/>
        <v>719500</v>
      </c>
      <c r="R80" s="112">
        <v>0</v>
      </c>
      <c r="S80" s="112">
        <v>0</v>
      </c>
      <c r="T80" s="113">
        <f t="shared" si="0"/>
        <v>140</v>
      </c>
      <c r="U80" s="132"/>
    </row>
    <row r="81" spans="2:21" x14ac:dyDescent="0.25">
      <c r="B81" s="23">
        <v>45939</v>
      </c>
      <c r="C81" s="91">
        <v>2</v>
      </c>
      <c r="D81" s="18" t="str">
        <f>IFERROR(VLOOKUP(Trabajos!C81,Referencias!$E$7:$F$30,2,FALSE),"")</f>
        <v>Monitoreo de bb y bab</v>
      </c>
      <c r="E81" s="91">
        <v>5</v>
      </c>
      <c r="F81" s="18" t="str">
        <f>IFERROR(VLOOKUP(Trabajos!$E81,Clientes,2,FALSE),"")</f>
        <v>Cofina Agro</v>
      </c>
      <c r="G81" s="157" t="s">
        <v>323</v>
      </c>
      <c r="H81" s="142">
        <v>45</v>
      </c>
      <c r="I81" s="138">
        <v>3631.25</v>
      </c>
      <c r="J81" s="19">
        <f t="shared" si="4"/>
        <v>163406.25</v>
      </c>
      <c r="K81" s="26">
        <v>3</v>
      </c>
      <c r="L81" s="19" t="str">
        <f>IFERROR(VLOOKUP(K81,Referencias!$H$7:$I$9,2,FALSE),"")</f>
        <v>Zoom</v>
      </c>
      <c r="M81" s="143">
        <v>62</v>
      </c>
      <c r="N81" s="138">
        <v>650</v>
      </c>
      <c r="O81" s="20">
        <f t="shared" si="5"/>
        <v>40300</v>
      </c>
      <c r="P81" s="21">
        <f t="shared" si="6"/>
        <v>203706.25</v>
      </c>
      <c r="R81" s="112">
        <v>0</v>
      </c>
      <c r="S81" s="112">
        <v>0</v>
      </c>
      <c r="T81" s="113">
        <f t="shared" si="0"/>
        <v>45</v>
      </c>
      <c r="U81" s="132"/>
    </row>
    <row r="82" spans="2:21" x14ac:dyDescent="0.25">
      <c r="B82" s="23">
        <v>45939</v>
      </c>
      <c r="C82" s="91">
        <v>1</v>
      </c>
      <c r="D82" s="18" t="str">
        <f>IFERROR(VLOOKUP(Trabajos!C82,Referencias!$E$7:$F$30,2,FALSE),"")</f>
        <v>Muestreo de suelos</v>
      </c>
      <c r="E82" s="91">
        <v>24</v>
      </c>
      <c r="F82" s="18" t="str">
        <f>IFERROR(VLOOKUP(Trabajos!$E82,Clientes,2,FALSE),"")</f>
        <v>Nugas S.A.</v>
      </c>
      <c r="G82" s="91" t="s">
        <v>302</v>
      </c>
      <c r="H82" s="119">
        <v>155</v>
      </c>
      <c r="I82" s="152">
        <v>1451.5</v>
      </c>
      <c r="J82" s="19">
        <f t="shared" si="4"/>
        <v>224982.5</v>
      </c>
      <c r="K82" s="26">
        <v>3</v>
      </c>
      <c r="L82" s="19" t="str">
        <f>IFERROR(VLOOKUP(K82,Referencias!$H$7:$I$9,2,FALSE),"")</f>
        <v>Zoom</v>
      </c>
      <c r="M82" s="143">
        <v>160</v>
      </c>
      <c r="N82" s="28">
        <v>650</v>
      </c>
      <c r="O82" s="20">
        <f t="shared" si="5"/>
        <v>104000</v>
      </c>
      <c r="P82" s="21">
        <f t="shared" si="6"/>
        <v>328982.5</v>
      </c>
      <c r="R82" s="112">
        <v>0</v>
      </c>
      <c r="S82" s="112">
        <v>0</v>
      </c>
      <c r="T82" s="113">
        <f t="shared" si="0"/>
        <v>155</v>
      </c>
      <c r="U82" s="132"/>
    </row>
    <row r="83" spans="2:21" x14ac:dyDescent="0.25">
      <c r="B83" s="23">
        <v>45940</v>
      </c>
      <c r="C83" s="91">
        <v>2</v>
      </c>
      <c r="D83" s="18" t="str">
        <f>IFERROR(VLOOKUP(Trabajos!C83,Referencias!$E$7:$F$30,2,FALSE),"")</f>
        <v>Monitoreo de bb y bab</v>
      </c>
      <c r="E83" s="91">
        <v>33</v>
      </c>
      <c r="F83" s="18" t="str">
        <f>IFERROR(VLOOKUP(Trabajos!$E83,Clientes,2,FALSE),"")</f>
        <v>Espartina S.A.</v>
      </c>
      <c r="G83" s="91" t="s">
        <v>325</v>
      </c>
      <c r="H83" s="119">
        <v>224</v>
      </c>
      <c r="I83" s="138">
        <v>3035.25</v>
      </c>
      <c r="J83" s="19">
        <f t="shared" si="4"/>
        <v>679896</v>
      </c>
      <c r="K83" s="26">
        <v>2</v>
      </c>
      <c r="L83" s="19" t="str">
        <f>IFERROR(VLOOKUP(K83,Referencias!$H$7:$I$9,2,FALSE),"")</f>
        <v>Paco</v>
      </c>
      <c r="M83" s="143">
        <v>164</v>
      </c>
      <c r="N83" s="152">
        <v>588</v>
      </c>
      <c r="O83" s="20">
        <f t="shared" si="5"/>
        <v>96432</v>
      </c>
      <c r="P83" s="21">
        <f t="shared" si="6"/>
        <v>776328</v>
      </c>
      <c r="R83" s="112">
        <v>75</v>
      </c>
      <c r="S83" s="112">
        <v>0</v>
      </c>
      <c r="T83" s="113">
        <f t="shared" si="0"/>
        <v>149</v>
      </c>
      <c r="U83" s="132"/>
    </row>
    <row r="84" spans="2:21" x14ac:dyDescent="0.25">
      <c r="B84" s="23">
        <v>45940</v>
      </c>
      <c r="C84" s="91">
        <v>2</v>
      </c>
      <c r="D84" s="18" t="str">
        <f>IFERROR(VLOOKUP(Trabajos!C84,Referencias!$E$7:$F$30,2,FALSE),"")</f>
        <v>Monitoreo de bb y bab</v>
      </c>
      <c r="E84" s="91">
        <v>33</v>
      </c>
      <c r="F84" s="18" t="str">
        <f>IFERROR(VLOOKUP(Trabajos!$E84,Clientes,2,FALSE),"")</f>
        <v>Espartina S.A.</v>
      </c>
      <c r="G84" s="157" t="s">
        <v>326</v>
      </c>
      <c r="H84" s="142">
        <v>408</v>
      </c>
      <c r="I84" s="138">
        <v>3035.25</v>
      </c>
      <c r="J84" s="19">
        <f t="shared" si="4"/>
        <v>1238382</v>
      </c>
      <c r="K84" s="26">
        <v>3</v>
      </c>
      <c r="L84" s="19" t="str">
        <f>IFERROR(VLOOKUP(K84,Referencias!$H$7:$I$9,2,FALSE),"")</f>
        <v>Zoom</v>
      </c>
      <c r="M84" s="143">
        <v>352</v>
      </c>
      <c r="N84" s="152">
        <v>588</v>
      </c>
      <c r="O84" s="20">
        <f t="shared" si="5"/>
        <v>206976</v>
      </c>
      <c r="P84" s="21">
        <f t="shared" si="6"/>
        <v>1445358</v>
      </c>
      <c r="R84" s="112">
        <v>0</v>
      </c>
      <c r="S84" s="112">
        <v>0</v>
      </c>
      <c r="T84" s="113">
        <f t="shared" si="0"/>
        <v>408</v>
      </c>
      <c r="U84" s="132"/>
    </row>
    <row r="85" spans="2:21" x14ac:dyDescent="0.25">
      <c r="B85" s="23">
        <v>45940</v>
      </c>
      <c r="C85" s="91">
        <v>2</v>
      </c>
      <c r="D85" s="18" t="str">
        <f>IFERROR(VLOOKUP(Trabajos!C85,Referencias!$E$7:$F$30,2,FALSE),"")</f>
        <v>Monitoreo de bb y bab</v>
      </c>
      <c r="E85" s="91">
        <v>33</v>
      </c>
      <c r="F85" s="18" t="str">
        <f>IFERROR(VLOOKUP(Trabajos!$E85,Clientes,2,FALSE),"")</f>
        <v>Espartina S.A.</v>
      </c>
      <c r="G85" s="157" t="s">
        <v>234</v>
      </c>
      <c r="H85" s="142">
        <v>122</v>
      </c>
      <c r="I85" s="138">
        <v>3035.25</v>
      </c>
      <c r="J85" s="19">
        <f t="shared" si="4"/>
        <v>370300.5</v>
      </c>
      <c r="K85" s="26">
        <v>3</v>
      </c>
      <c r="L85" s="19" t="str">
        <f>IFERROR(VLOOKUP(K85,Referencias!$H$7:$I$9,2,FALSE),"")</f>
        <v>Zoom</v>
      </c>
      <c r="M85" s="143">
        <v>184</v>
      </c>
      <c r="N85" s="152">
        <v>588</v>
      </c>
      <c r="O85" s="20">
        <f t="shared" si="5"/>
        <v>108192</v>
      </c>
      <c r="P85" s="21">
        <f t="shared" si="6"/>
        <v>478492.5</v>
      </c>
      <c r="R85" s="112">
        <v>0</v>
      </c>
      <c r="S85" s="112">
        <v>0</v>
      </c>
      <c r="T85" s="113">
        <f t="shared" si="0"/>
        <v>122</v>
      </c>
      <c r="U85" s="132"/>
    </row>
    <row r="86" spans="2:21" x14ac:dyDescent="0.25">
      <c r="B86" s="23">
        <v>45940</v>
      </c>
      <c r="C86" s="91">
        <v>2</v>
      </c>
      <c r="D86" s="18" t="str">
        <f>IFERROR(VLOOKUP(Trabajos!C86,Referencias!$E$7:$F$30,2,FALSE),"")</f>
        <v>Monitoreo de bb y bab</v>
      </c>
      <c r="E86" s="91">
        <v>98</v>
      </c>
      <c r="F86" s="18" t="str">
        <f>IFERROR(VLOOKUP(Trabajos!$E86,Clientes,2,FALSE),"")</f>
        <v>Inalco</v>
      </c>
      <c r="G86" s="91" t="s">
        <v>327</v>
      </c>
      <c r="H86" s="142">
        <v>93</v>
      </c>
      <c r="I86" s="138">
        <v>3595</v>
      </c>
      <c r="J86" s="19">
        <f t="shared" si="4"/>
        <v>334335</v>
      </c>
      <c r="K86" s="26">
        <v>3</v>
      </c>
      <c r="L86" s="19" t="str">
        <f>IFERROR(VLOOKUP(K86,Referencias!$H$7:$I$9,2,FALSE),"")</f>
        <v>Zoom</v>
      </c>
      <c r="M86" s="143">
        <v>200</v>
      </c>
      <c r="N86" s="29">
        <v>650</v>
      </c>
      <c r="O86" s="20">
        <f t="shared" si="5"/>
        <v>130000</v>
      </c>
      <c r="P86" s="21">
        <f t="shared" si="6"/>
        <v>464335</v>
      </c>
      <c r="R86" s="112">
        <v>0</v>
      </c>
      <c r="S86" s="112">
        <v>0</v>
      </c>
      <c r="T86" s="113">
        <f t="shared" si="0"/>
        <v>93</v>
      </c>
      <c r="U86" s="132"/>
    </row>
    <row r="87" spans="2:21" x14ac:dyDescent="0.25">
      <c r="B87" s="23">
        <v>45940</v>
      </c>
      <c r="C87" s="91">
        <v>3</v>
      </c>
      <c r="D87" s="18" t="str">
        <f>IFERROR(VLOOKUP(Trabajos!C87,Referencias!$E$7:$F$30,2,FALSE),"")</f>
        <v>Aplicación de cebos</v>
      </c>
      <c r="E87" s="91">
        <v>33</v>
      </c>
      <c r="F87" s="18" t="str">
        <f>IFERROR(VLOOKUP(Trabajos!$E87,Clientes,2,FALSE),"")</f>
        <v>Espartina S.A.</v>
      </c>
      <c r="G87" s="91" t="s">
        <v>256</v>
      </c>
      <c r="H87" s="142">
        <v>107</v>
      </c>
      <c r="I87" s="138">
        <v>7267.5</v>
      </c>
      <c r="J87" s="19">
        <f t="shared" si="4"/>
        <v>777622.5</v>
      </c>
      <c r="K87" s="26">
        <v>1</v>
      </c>
      <c r="L87" s="19" t="str">
        <f>IFERROR(VLOOKUP(K87,Referencias!$H$7:$I$9,2,FALSE),"")</f>
        <v>Tomas</v>
      </c>
      <c r="M87" s="143">
        <v>156</v>
      </c>
      <c r="N87" s="152">
        <v>633.85</v>
      </c>
      <c r="O87" s="20">
        <f>IF(M87&lt;&gt;"",M87*N87,"")</f>
        <v>98880.6</v>
      </c>
      <c r="P87" s="21">
        <f t="shared" si="6"/>
        <v>876503.1</v>
      </c>
      <c r="R87" s="112">
        <v>0</v>
      </c>
      <c r="S87" s="112">
        <v>80</v>
      </c>
      <c r="T87" s="113">
        <f t="shared" si="0"/>
        <v>27</v>
      </c>
      <c r="U87" s="132"/>
    </row>
    <row r="88" spans="2:21" x14ac:dyDescent="0.25">
      <c r="B88" s="23">
        <v>45940</v>
      </c>
      <c r="C88" s="91">
        <v>10</v>
      </c>
      <c r="D88" s="18" t="str">
        <f>IFERROR(VLOOKUP(Trabajos!C88,Referencias!$E$7:$F$30,2,FALSE),"")</f>
        <v>Mapeo Dron</v>
      </c>
      <c r="E88" s="91">
        <v>84</v>
      </c>
      <c r="F88" s="18" t="str">
        <f>IFERROR(VLOOKUP(Trabajos!$E88,Clientes,2,FALSE),"")</f>
        <v>Domingo y Nestor Scioli</v>
      </c>
      <c r="G88" s="91" t="s">
        <v>328</v>
      </c>
      <c r="H88" s="142">
        <v>258</v>
      </c>
      <c r="I88" s="138">
        <v>4360.5</v>
      </c>
      <c r="J88" s="19">
        <f t="shared" si="4"/>
        <v>1125009</v>
      </c>
      <c r="K88" s="26">
        <v>1</v>
      </c>
      <c r="L88" s="19" t="str">
        <f>IFERROR(VLOOKUP(K88,Referencias!$H$7:$I$9,2,FALSE),"")</f>
        <v>Tomas</v>
      </c>
      <c r="M88" s="143">
        <v>0</v>
      </c>
      <c r="N88" s="29">
        <v>650</v>
      </c>
      <c r="O88" s="20">
        <f t="shared" si="5"/>
        <v>0</v>
      </c>
      <c r="P88" s="21">
        <f t="shared" si="6"/>
        <v>1125009</v>
      </c>
      <c r="R88" s="112">
        <v>0</v>
      </c>
      <c r="S88" s="112">
        <v>80</v>
      </c>
      <c r="T88" s="113">
        <v>0</v>
      </c>
      <c r="U88" s="132"/>
    </row>
    <row r="89" spans="2:21" x14ac:dyDescent="0.25">
      <c r="B89" s="23">
        <v>45941</v>
      </c>
      <c r="C89" s="91">
        <v>2</v>
      </c>
      <c r="D89" s="18" t="str">
        <f>IFERROR(VLOOKUP(Trabajos!C89,Referencias!$E$7:$F$30,2,FALSE),"")</f>
        <v>Monitoreo de bb y bab</v>
      </c>
      <c r="E89" s="91">
        <v>33</v>
      </c>
      <c r="F89" s="18" t="str">
        <f>IFERROR(VLOOKUP(Trabajos!$E89,Clientes,2,FALSE),"")</f>
        <v>Espartina S.A.</v>
      </c>
      <c r="G89" s="157" t="s">
        <v>235</v>
      </c>
      <c r="H89" s="142">
        <v>117</v>
      </c>
      <c r="I89" s="138">
        <v>3035.25</v>
      </c>
      <c r="J89" s="19">
        <f t="shared" si="4"/>
        <v>355124.25</v>
      </c>
      <c r="K89" s="26">
        <v>3</v>
      </c>
      <c r="L89" s="19" t="str">
        <f>IFERROR(VLOOKUP(K89,Referencias!$H$7:$I$9,2,FALSE),"")</f>
        <v>Zoom</v>
      </c>
      <c r="M89" s="143">
        <v>0</v>
      </c>
      <c r="N89" s="138">
        <v>588</v>
      </c>
      <c r="O89" s="20">
        <f t="shared" si="5"/>
        <v>0</v>
      </c>
      <c r="P89" s="21">
        <f t="shared" si="6"/>
        <v>355124.25</v>
      </c>
      <c r="R89" s="112">
        <v>0</v>
      </c>
      <c r="S89" s="112">
        <v>0</v>
      </c>
      <c r="T89" s="113">
        <f t="shared" si="0"/>
        <v>117</v>
      </c>
      <c r="U89" s="132"/>
    </row>
    <row r="90" spans="2:21" x14ac:dyDescent="0.25">
      <c r="B90" s="23">
        <v>45941</v>
      </c>
      <c r="C90" s="91">
        <v>2</v>
      </c>
      <c r="D90" s="18" t="str">
        <f>IFERROR(VLOOKUP(Trabajos!C90,Referencias!$E$7:$F$30,2,FALSE),"")</f>
        <v>Monitoreo de bb y bab</v>
      </c>
      <c r="E90" s="91">
        <v>33</v>
      </c>
      <c r="F90" s="18" t="str">
        <f>IFERROR(VLOOKUP(Trabajos!$E90,Clientes,2,FALSE),"")</f>
        <v>Espartina S.A.</v>
      </c>
      <c r="G90" s="157" t="s">
        <v>233</v>
      </c>
      <c r="H90" s="142">
        <v>221</v>
      </c>
      <c r="I90" s="138">
        <v>3035.25</v>
      </c>
      <c r="J90" s="19">
        <f t="shared" si="4"/>
        <v>670790.25</v>
      </c>
      <c r="K90" s="26">
        <v>3</v>
      </c>
      <c r="L90" s="19" t="str">
        <f>IFERROR(VLOOKUP(K90,Referencias!$H$7:$I$9,2,FALSE),"")</f>
        <v>Zoom</v>
      </c>
      <c r="M90" s="143">
        <v>176</v>
      </c>
      <c r="N90" s="152">
        <v>588</v>
      </c>
      <c r="O90" s="20">
        <f t="shared" si="5"/>
        <v>103488</v>
      </c>
      <c r="P90" s="21">
        <f t="shared" si="6"/>
        <v>774278.25</v>
      </c>
      <c r="R90" s="112">
        <v>0</v>
      </c>
      <c r="S90" s="112">
        <v>0</v>
      </c>
      <c r="T90" s="113">
        <f t="shared" si="0"/>
        <v>221</v>
      </c>
      <c r="U90" s="132"/>
    </row>
    <row r="91" spans="2:21" x14ac:dyDescent="0.25">
      <c r="B91" s="23">
        <v>45941</v>
      </c>
      <c r="C91" s="91">
        <v>2</v>
      </c>
      <c r="D91" s="18" t="str">
        <f>IFERROR(VLOOKUP(Trabajos!C91,Referencias!$E$7:$F$30,2,FALSE),"")</f>
        <v>Monitoreo de bb y bab</v>
      </c>
      <c r="E91" s="91">
        <v>33</v>
      </c>
      <c r="F91" s="18" t="str">
        <f>IFERROR(VLOOKUP(Trabajos!$E91,Clientes,2,FALSE),"")</f>
        <v>Espartina S.A.</v>
      </c>
      <c r="G91" s="157" t="s">
        <v>232</v>
      </c>
      <c r="H91" s="142">
        <v>138</v>
      </c>
      <c r="I91" s="138">
        <v>3035.25</v>
      </c>
      <c r="J91" s="19">
        <f t="shared" si="4"/>
        <v>418864.5</v>
      </c>
      <c r="K91" s="26">
        <v>3</v>
      </c>
      <c r="L91" s="19" t="str">
        <f>IFERROR(VLOOKUP(K91,Referencias!$H$7:$I$9,2,FALSE),"")</f>
        <v>Zoom</v>
      </c>
      <c r="M91" s="143">
        <v>152</v>
      </c>
      <c r="N91" s="138">
        <v>588</v>
      </c>
      <c r="O91" s="20">
        <f t="shared" si="5"/>
        <v>89376</v>
      </c>
      <c r="P91" s="21">
        <f t="shared" si="6"/>
        <v>508240.5</v>
      </c>
      <c r="R91" s="112">
        <v>0</v>
      </c>
      <c r="S91" s="112">
        <v>0</v>
      </c>
      <c r="T91" s="113">
        <f t="shared" si="0"/>
        <v>138</v>
      </c>
      <c r="U91" s="132"/>
    </row>
    <row r="92" spans="2:21" x14ac:dyDescent="0.25">
      <c r="B92" s="23">
        <v>45941</v>
      </c>
      <c r="C92" s="91">
        <v>3</v>
      </c>
      <c r="D92" s="18" t="str">
        <f>IFERROR(VLOOKUP(Trabajos!C92,Referencias!$E$7:$F$30,2,FALSE),"")</f>
        <v>Aplicación de cebos</v>
      </c>
      <c r="E92" s="91">
        <v>33</v>
      </c>
      <c r="F92" s="18" t="str">
        <f>IFERROR(VLOOKUP(Trabajos!$E92,Clientes,2,FALSE),"")</f>
        <v>Espartina S.A.</v>
      </c>
      <c r="G92" s="91" t="s">
        <v>256</v>
      </c>
      <c r="H92" s="142">
        <v>42</v>
      </c>
      <c r="I92" s="138">
        <v>7267.5</v>
      </c>
      <c r="J92" s="19">
        <f t="shared" si="4"/>
        <v>305235</v>
      </c>
      <c r="K92" s="26">
        <v>1</v>
      </c>
      <c r="L92" s="19" t="str">
        <f>IFERROR(VLOOKUP(K92,Referencias!$H$7:$I$9,2,FALSE),"")</f>
        <v>Tomas</v>
      </c>
      <c r="M92" s="143">
        <v>156</v>
      </c>
      <c r="N92" s="152">
        <v>633.85</v>
      </c>
      <c r="O92" s="20">
        <f t="shared" si="5"/>
        <v>98880.6</v>
      </c>
      <c r="P92" s="21">
        <f t="shared" si="6"/>
        <v>404115.6</v>
      </c>
      <c r="R92" s="112">
        <v>0</v>
      </c>
      <c r="S92" s="112">
        <v>0</v>
      </c>
      <c r="T92" s="113">
        <f t="shared" si="0"/>
        <v>42</v>
      </c>
      <c r="U92" s="132"/>
    </row>
    <row r="93" spans="2:21" x14ac:dyDescent="0.25">
      <c r="B93" s="23">
        <v>45941</v>
      </c>
      <c r="C93" s="91">
        <v>3</v>
      </c>
      <c r="D93" s="18" t="str">
        <f>IFERROR(VLOOKUP(Trabajos!C93,Referencias!$E$7:$F$30,2,FALSE),"")</f>
        <v>Aplicación de cebos</v>
      </c>
      <c r="E93" s="91">
        <v>33</v>
      </c>
      <c r="F93" s="18" t="str">
        <f>IFERROR(VLOOKUP(Trabajos!$E93,Clientes,2,FALSE),"")</f>
        <v>Espartina S.A.</v>
      </c>
      <c r="G93" s="91" t="s">
        <v>270</v>
      </c>
      <c r="H93" s="142">
        <v>132</v>
      </c>
      <c r="I93" s="138">
        <v>7267.5</v>
      </c>
      <c r="J93" s="19">
        <f t="shared" si="4"/>
        <v>959310</v>
      </c>
      <c r="K93" s="26">
        <v>1</v>
      </c>
      <c r="L93" s="19" t="str">
        <f>IFERROR(VLOOKUP(K93,Referencias!$H$7:$I$9,2,FALSE),"")</f>
        <v>Tomas</v>
      </c>
      <c r="M93" s="203">
        <v>90</v>
      </c>
      <c r="N93" s="152">
        <v>633.85</v>
      </c>
      <c r="O93" s="20">
        <f t="shared" si="5"/>
        <v>57046.5</v>
      </c>
      <c r="P93" s="21">
        <f t="shared" si="6"/>
        <v>1016356.5</v>
      </c>
      <c r="R93" s="112">
        <v>0</v>
      </c>
      <c r="S93" s="112">
        <v>80</v>
      </c>
      <c r="T93" s="113">
        <f t="shared" si="0"/>
        <v>52</v>
      </c>
      <c r="U93" s="132"/>
    </row>
    <row r="94" spans="2:21" x14ac:dyDescent="0.25">
      <c r="B94" s="23">
        <v>45937</v>
      </c>
      <c r="C94" s="91">
        <v>1</v>
      </c>
      <c r="D94" s="18" t="str">
        <f>IFERROR(VLOOKUP(Trabajos!C94,Referencias!$E$7:$F$30,2,FALSE),"")</f>
        <v>Muestreo de suelos</v>
      </c>
      <c r="E94" s="91">
        <v>33</v>
      </c>
      <c r="F94" s="18" t="str">
        <f>IFERROR(VLOOKUP(Trabajos!$E94,Clientes,2,FALSE),"")</f>
        <v>Espartina S.A.</v>
      </c>
      <c r="G94" s="91" t="s">
        <v>317</v>
      </c>
      <c r="H94" s="142">
        <v>80</v>
      </c>
      <c r="I94" s="138">
        <v>947.70673076900005</v>
      </c>
      <c r="J94" s="19">
        <f t="shared" si="4"/>
        <v>75816.538461520002</v>
      </c>
      <c r="K94" s="26">
        <v>1</v>
      </c>
      <c r="L94" s="19" t="str">
        <f>IFERROR(VLOOKUP(K94,Referencias!$H$7:$I$9,2,FALSE),"")</f>
        <v>Tomas</v>
      </c>
      <c r="M94" s="203">
        <v>0</v>
      </c>
      <c r="N94" s="138">
        <v>588</v>
      </c>
      <c r="O94" s="20">
        <f t="shared" si="5"/>
        <v>0</v>
      </c>
      <c r="P94" s="21">
        <f t="shared" si="6"/>
        <v>75816.538461520002</v>
      </c>
      <c r="R94" s="112">
        <v>0</v>
      </c>
      <c r="S94" s="112">
        <v>0</v>
      </c>
      <c r="T94" s="113">
        <f t="shared" si="0"/>
        <v>80</v>
      </c>
      <c r="U94" s="132"/>
    </row>
    <row r="95" spans="2:21" x14ac:dyDescent="0.25">
      <c r="B95" s="23">
        <v>45944</v>
      </c>
      <c r="C95" s="91">
        <v>2</v>
      </c>
      <c r="D95" s="18" t="str">
        <f>IFERROR(VLOOKUP(Trabajos!C95,Referencias!$E$7:$F$30,2,FALSE),"")</f>
        <v>Monitoreo de bb y bab</v>
      </c>
      <c r="E95" s="91">
        <v>33</v>
      </c>
      <c r="F95" s="18" t="str">
        <f>IFERROR(VLOOKUP(Trabajos!$E95,Clientes,2,FALSE),"")</f>
        <v>Espartina S.A.</v>
      </c>
      <c r="G95" s="91" t="s">
        <v>332</v>
      </c>
      <c r="H95" s="119">
        <v>121</v>
      </c>
      <c r="I95" s="138">
        <v>3262.5</v>
      </c>
      <c r="J95" s="19">
        <f t="shared" si="4"/>
        <v>394762.5</v>
      </c>
      <c r="K95" s="26">
        <v>2</v>
      </c>
      <c r="L95" s="19" t="str">
        <f>IFERROR(VLOOKUP(K95,Referencias!$H$7:$I$9,2,FALSE),"")</f>
        <v>Paco</v>
      </c>
      <c r="M95" s="203">
        <v>218</v>
      </c>
      <c r="N95" s="138">
        <v>633.85</v>
      </c>
      <c r="O95" s="20">
        <f t="shared" si="5"/>
        <v>138179.30000000002</v>
      </c>
      <c r="P95" s="21">
        <f t="shared" si="6"/>
        <v>532941.80000000005</v>
      </c>
      <c r="R95" s="136">
        <v>70</v>
      </c>
      <c r="S95" s="136">
        <v>0</v>
      </c>
      <c r="T95" s="137">
        <f t="shared" si="0"/>
        <v>51</v>
      </c>
      <c r="U95" s="132"/>
    </row>
    <row r="96" spans="2:21" x14ac:dyDescent="0.25">
      <c r="B96" s="23">
        <v>45944</v>
      </c>
      <c r="C96" s="91">
        <v>2</v>
      </c>
      <c r="D96" s="18" t="str">
        <f>IFERROR(VLOOKUP(Trabajos!C96,Referencias!$E$7:$F$30,2,FALSE),"")</f>
        <v>Monitoreo de bb y bab</v>
      </c>
      <c r="E96" s="91">
        <v>33</v>
      </c>
      <c r="F96" s="18" t="str">
        <f>IFERROR(VLOOKUP(Trabajos!$E96,Clientes,2,FALSE),"")</f>
        <v>Espartina S.A.</v>
      </c>
      <c r="G96" s="91" t="s">
        <v>333</v>
      </c>
      <c r="H96" s="119">
        <v>19</v>
      </c>
      <c r="I96" s="138">
        <v>3262.5</v>
      </c>
      <c r="J96" s="19">
        <f t="shared" si="4"/>
        <v>61987.5</v>
      </c>
      <c r="K96" s="26">
        <v>2</v>
      </c>
      <c r="L96" s="19" t="str">
        <f>IFERROR(VLOOKUP(K96,Referencias!$H$7:$I$9,2,FALSE),"")</f>
        <v>Paco</v>
      </c>
      <c r="M96" s="203">
        <v>218</v>
      </c>
      <c r="N96" s="138">
        <v>633.85</v>
      </c>
      <c r="O96" s="20">
        <f t="shared" si="5"/>
        <v>138179.30000000002</v>
      </c>
      <c r="P96" s="21">
        <f t="shared" si="6"/>
        <v>200166.80000000002</v>
      </c>
      <c r="R96" s="112">
        <v>0</v>
      </c>
      <c r="S96" s="112">
        <v>0</v>
      </c>
      <c r="T96" s="137">
        <f t="shared" si="0"/>
        <v>19</v>
      </c>
      <c r="U96" s="132"/>
    </row>
    <row r="97" spans="2:21" x14ac:dyDescent="0.25">
      <c r="B97" s="23">
        <v>45944</v>
      </c>
      <c r="C97" s="91">
        <v>10</v>
      </c>
      <c r="D97" s="18" t="str">
        <f>IFERROR(VLOOKUP(Trabajos!C97,Referencias!$E$7:$F$30,2,FALSE),"")</f>
        <v>Mapeo Dron</v>
      </c>
      <c r="E97" s="91">
        <v>84</v>
      </c>
      <c r="F97" s="18" t="str">
        <f>IFERROR(VLOOKUP(Trabajos!$E97,Clientes,2,FALSE),"")</f>
        <v>Domingo y Nestor Scioli</v>
      </c>
      <c r="G97" s="91" t="s">
        <v>328</v>
      </c>
      <c r="H97" s="119">
        <v>129</v>
      </c>
      <c r="I97" s="138">
        <v>4360.5</v>
      </c>
      <c r="J97" s="19">
        <f t="shared" si="4"/>
        <v>562504.5</v>
      </c>
      <c r="K97" s="26">
        <v>1</v>
      </c>
      <c r="L97" s="19" t="str">
        <f>IFERROR(VLOOKUP(K97,Referencias!$H$7:$I$9,2,FALSE),"")</f>
        <v>Tomas</v>
      </c>
      <c r="M97" s="203">
        <v>0</v>
      </c>
      <c r="N97" s="29">
        <v>650</v>
      </c>
      <c r="O97" s="20">
        <f>IF(M97&lt;&gt;"",M97*N97,"")</f>
        <v>0</v>
      </c>
      <c r="P97" s="21">
        <f t="shared" si="6"/>
        <v>562504.5</v>
      </c>
      <c r="R97" s="112">
        <v>0</v>
      </c>
      <c r="S97" s="112">
        <v>80</v>
      </c>
      <c r="T97" s="137">
        <v>0</v>
      </c>
      <c r="U97" s="132"/>
    </row>
    <row r="98" spans="2:21" x14ac:dyDescent="0.25">
      <c r="B98" s="23">
        <v>45945</v>
      </c>
      <c r="C98" s="91">
        <v>2</v>
      </c>
      <c r="D98" s="18" t="str">
        <f>IFERROR(VLOOKUP(Trabajos!C98,Referencias!$E$7:$F$30,2,FALSE),"")</f>
        <v>Monitoreo de bb y bab</v>
      </c>
      <c r="E98" s="91">
        <v>6</v>
      </c>
      <c r="F98" s="18" t="str">
        <f>IFERROR(VLOOKUP(Trabajos!$E98,Clientes,2,FALSE),"")</f>
        <v>La Nany S.A.</v>
      </c>
      <c r="G98" s="91" t="s">
        <v>321</v>
      </c>
      <c r="H98" s="119">
        <v>242</v>
      </c>
      <c r="I98" s="138">
        <v>3618.75</v>
      </c>
      <c r="J98" s="19">
        <f t="shared" si="4"/>
        <v>875737.5</v>
      </c>
      <c r="K98" s="26">
        <v>3</v>
      </c>
      <c r="L98" s="19" t="str">
        <f>IFERROR(VLOOKUP(K98,Referencias!$H$7:$I$9,2,FALSE),"")</f>
        <v>Zoom</v>
      </c>
      <c r="M98" s="203">
        <v>0</v>
      </c>
      <c r="N98" s="29">
        <v>650</v>
      </c>
      <c r="O98" s="20">
        <f t="shared" si="5"/>
        <v>0</v>
      </c>
      <c r="P98" s="21">
        <f t="shared" si="6"/>
        <v>875737.5</v>
      </c>
      <c r="R98" s="136">
        <v>0</v>
      </c>
      <c r="S98" s="136">
        <v>0</v>
      </c>
      <c r="T98" s="137">
        <f t="shared" si="0"/>
        <v>242</v>
      </c>
      <c r="U98" s="132"/>
    </row>
    <row r="99" spans="2:21" x14ac:dyDescent="0.25">
      <c r="B99" s="23">
        <v>45945</v>
      </c>
      <c r="C99" s="91">
        <v>2</v>
      </c>
      <c r="D99" s="18" t="str">
        <f>IFERROR(VLOOKUP(Trabajos!C99,Referencias!$E$7:$F$30,2,FALSE),"")</f>
        <v>Monitoreo de bb y bab</v>
      </c>
      <c r="E99" s="91">
        <v>6</v>
      </c>
      <c r="F99" s="18" t="str">
        <f>IFERROR(VLOOKUP(Trabajos!$E99,Clientes,2,FALSE),"")</f>
        <v>La Nany S.A.</v>
      </c>
      <c r="G99" s="91" t="s">
        <v>322</v>
      </c>
      <c r="H99" s="119">
        <v>260</v>
      </c>
      <c r="I99" s="138">
        <v>3618.75</v>
      </c>
      <c r="J99" s="19">
        <f t="shared" si="4"/>
        <v>940875</v>
      </c>
      <c r="K99" s="26">
        <v>3</v>
      </c>
      <c r="L99" s="19" t="str">
        <f>IFERROR(VLOOKUP(K99,Referencias!$H$7:$I$9,2,FALSE),"")</f>
        <v>Zoom</v>
      </c>
      <c r="M99" s="203">
        <v>104</v>
      </c>
      <c r="N99" s="29">
        <v>650</v>
      </c>
      <c r="O99" s="20">
        <f t="shared" si="5"/>
        <v>67600</v>
      </c>
      <c r="P99" s="21">
        <f t="shared" si="6"/>
        <v>1008475</v>
      </c>
      <c r="R99" s="112">
        <v>0</v>
      </c>
      <c r="S99" s="112">
        <v>0</v>
      </c>
      <c r="T99" s="137">
        <f t="shared" si="0"/>
        <v>260</v>
      </c>
      <c r="U99" s="132"/>
    </row>
    <row r="100" spans="2:21" x14ac:dyDescent="0.25">
      <c r="B100" s="23">
        <v>45945</v>
      </c>
      <c r="C100" s="91">
        <v>3</v>
      </c>
      <c r="D100" s="18" t="str">
        <f>IFERROR(VLOOKUP(Trabajos!C100,Referencias!$E$7:$F$30,2,FALSE),"")</f>
        <v>Aplicación de cebos</v>
      </c>
      <c r="E100" s="91">
        <v>33</v>
      </c>
      <c r="F100" s="18" t="str">
        <f>IFERROR(VLOOKUP(Trabajos!$E100,Clientes,2,FALSE),"")</f>
        <v>Espartina S.A.</v>
      </c>
      <c r="G100" s="91" t="s">
        <v>308</v>
      </c>
      <c r="H100" s="142">
        <v>115</v>
      </c>
      <c r="I100" s="138">
        <v>7250</v>
      </c>
      <c r="J100" s="19">
        <f t="shared" si="4"/>
        <v>833750</v>
      </c>
      <c r="K100" s="26">
        <v>2</v>
      </c>
      <c r="L100" s="19" t="str">
        <f>IFERROR(VLOOKUP(K100,Referencias!$H$7:$I$9,2,FALSE),"")</f>
        <v>Paco</v>
      </c>
      <c r="M100" s="203">
        <v>186</v>
      </c>
      <c r="N100" s="138">
        <v>633.85</v>
      </c>
      <c r="O100" s="20">
        <f t="shared" si="5"/>
        <v>117896.1</v>
      </c>
      <c r="P100" s="21">
        <f t="shared" si="6"/>
        <v>951646.1</v>
      </c>
      <c r="R100" s="112">
        <v>80</v>
      </c>
      <c r="S100" s="112">
        <v>0</v>
      </c>
      <c r="T100" s="137">
        <f t="shared" si="0"/>
        <v>35</v>
      </c>
      <c r="U100" s="132"/>
    </row>
    <row r="101" spans="2:21" x14ac:dyDescent="0.25">
      <c r="B101" s="23">
        <v>45945</v>
      </c>
      <c r="C101" s="91">
        <v>3</v>
      </c>
      <c r="D101" s="18" t="str">
        <f>IFERROR(VLOOKUP(Trabajos!C101,Referencias!$E$7:$F$30,2,FALSE),"")</f>
        <v>Aplicación de cebos</v>
      </c>
      <c r="E101" s="91">
        <v>33</v>
      </c>
      <c r="F101" s="18" t="str">
        <f>IFERROR(VLOOKUP(Trabajos!$E101,Clientes,2,FALSE),"")</f>
        <v>Espartina S.A.</v>
      </c>
      <c r="G101" s="91" t="s">
        <v>270</v>
      </c>
      <c r="H101" s="142">
        <v>132</v>
      </c>
      <c r="I101" s="138">
        <v>7267.5</v>
      </c>
      <c r="J101" s="19">
        <f t="shared" si="4"/>
        <v>959310</v>
      </c>
      <c r="K101" s="26">
        <v>1</v>
      </c>
      <c r="L101" s="19" t="str">
        <f>IFERROR(VLOOKUP(K101,Referencias!$H$7:$I$9,2,FALSE),"")</f>
        <v>Tomas</v>
      </c>
      <c r="M101" s="203">
        <v>90</v>
      </c>
      <c r="N101" s="152">
        <v>633.85</v>
      </c>
      <c r="O101" s="20">
        <f t="shared" si="5"/>
        <v>57046.5</v>
      </c>
      <c r="P101" s="21">
        <f t="shared" si="6"/>
        <v>1016356.5</v>
      </c>
      <c r="R101" s="112">
        <v>0</v>
      </c>
      <c r="S101" s="112">
        <v>80</v>
      </c>
      <c r="T101" s="137">
        <f t="shared" si="0"/>
        <v>52</v>
      </c>
      <c r="U101" s="132"/>
    </row>
    <row r="102" spans="2:21" x14ac:dyDescent="0.25">
      <c r="B102" s="23">
        <v>45945</v>
      </c>
      <c r="C102" s="91">
        <v>3</v>
      </c>
      <c r="D102" s="18" t="str">
        <f>IFERROR(VLOOKUP(Trabajos!C102,Referencias!$E$7:$F$30,2,FALSE),"")</f>
        <v>Aplicación de cebos</v>
      </c>
      <c r="E102" s="91">
        <v>33</v>
      </c>
      <c r="F102" s="18" t="str">
        <f>IFERROR(VLOOKUP(Trabajos!$E102,Clientes,2,FALSE),"")</f>
        <v>Espartina S.A.</v>
      </c>
      <c r="G102" s="91" t="s">
        <v>245</v>
      </c>
      <c r="H102" s="142">
        <v>77</v>
      </c>
      <c r="I102" s="138">
        <v>7267.5</v>
      </c>
      <c r="J102" s="19">
        <f t="shared" si="4"/>
        <v>559597.5</v>
      </c>
      <c r="K102" s="26">
        <v>3</v>
      </c>
      <c r="L102" s="19" t="str">
        <f>IFERROR(VLOOKUP(K102,Referencias!$H$7:$I$9,2,FALSE),"")</f>
        <v>Zoom</v>
      </c>
      <c r="M102" s="203">
        <v>185</v>
      </c>
      <c r="N102" s="152">
        <v>633.85</v>
      </c>
      <c r="O102" s="20">
        <f t="shared" si="5"/>
        <v>117262.25</v>
      </c>
      <c r="P102" s="21">
        <f t="shared" si="6"/>
        <v>676859.75</v>
      </c>
      <c r="R102" s="112">
        <v>0</v>
      </c>
      <c r="S102" s="112">
        <v>0</v>
      </c>
      <c r="T102" s="137">
        <f t="shared" si="0"/>
        <v>77</v>
      </c>
      <c r="U102" s="132"/>
    </row>
    <row r="103" spans="2:21" x14ac:dyDescent="0.25">
      <c r="B103" s="23">
        <v>45945</v>
      </c>
      <c r="C103" s="91">
        <v>3</v>
      </c>
      <c r="D103" s="18" t="str">
        <f>IFERROR(VLOOKUP(Trabajos!C103,Referencias!$E$7:$F$30,2,FALSE),"")</f>
        <v>Aplicación de cebos</v>
      </c>
      <c r="E103" s="91">
        <v>33</v>
      </c>
      <c r="F103" s="18" t="str">
        <f>IFERROR(VLOOKUP(Trabajos!$E103,Clientes,2,FALSE),"")</f>
        <v>Espartina S.A.</v>
      </c>
      <c r="G103" s="91" t="s">
        <v>248</v>
      </c>
      <c r="H103" s="142">
        <v>36</v>
      </c>
      <c r="I103" s="138">
        <v>7267.5</v>
      </c>
      <c r="J103" s="19">
        <f t="shared" si="4"/>
        <v>261630</v>
      </c>
      <c r="K103" s="26">
        <v>3</v>
      </c>
      <c r="L103" s="19" t="str">
        <f>IFERROR(VLOOKUP(K103,Referencias!$H$7:$I$9,2,FALSE),"")</f>
        <v>Zoom</v>
      </c>
      <c r="M103" s="203">
        <v>185</v>
      </c>
      <c r="N103" s="152">
        <v>633.85</v>
      </c>
      <c r="O103" s="20">
        <f t="shared" si="5"/>
        <v>117262.25</v>
      </c>
      <c r="P103" s="21">
        <f t="shared" si="6"/>
        <v>378892.25</v>
      </c>
      <c r="R103" s="112">
        <v>0</v>
      </c>
      <c r="S103" s="112">
        <v>0</v>
      </c>
      <c r="T103" s="137">
        <f t="shared" si="0"/>
        <v>36</v>
      </c>
      <c r="U103" s="132"/>
    </row>
    <row r="104" spans="2:21" x14ac:dyDescent="0.25">
      <c r="B104" s="23">
        <v>45941</v>
      </c>
      <c r="C104" s="91">
        <v>3</v>
      </c>
      <c r="D104" s="18" t="str">
        <f>IFERROR(VLOOKUP(Trabajos!C104,Referencias!$E$7:$F$30,2,FALSE),"")</f>
        <v>Aplicación de cebos</v>
      </c>
      <c r="E104" s="91">
        <v>4</v>
      </c>
      <c r="F104" s="18" t="str">
        <f>IFERROR(VLOOKUP(Trabajos!$E104,Clientes,2,FALSE),"")</f>
        <v>Purtierra</v>
      </c>
      <c r="G104" s="91" t="s">
        <v>312</v>
      </c>
      <c r="H104" s="142">
        <v>122</v>
      </c>
      <c r="I104" s="152">
        <v>7460</v>
      </c>
      <c r="J104" s="19">
        <f t="shared" si="4"/>
        <v>910120</v>
      </c>
      <c r="K104" s="26">
        <v>3</v>
      </c>
      <c r="L104" s="19" t="str">
        <f>IFERROR(VLOOKUP(K104,Referencias!$H$7:$I$9,2,FALSE),"")</f>
        <v>Zoom</v>
      </c>
      <c r="M104" s="203">
        <v>92</v>
      </c>
      <c r="N104" s="28">
        <v>650</v>
      </c>
      <c r="O104" s="20">
        <f t="shared" si="5"/>
        <v>59800</v>
      </c>
      <c r="P104" s="21">
        <f t="shared" si="6"/>
        <v>969920</v>
      </c>
      <c r="R104" s="136">
        <v>0</v>
      </c>
      <c r="S104" s="136">
        <v>0</v>
      </c>
      <c r="T104" s="137">
        <f t="shared" si="0"/>
        <v>122</v>
      </c>
      <c r="U104" s="132"/>
    </row>
    <row r="105" spans="2:21" x14ac:dyDescent="0.25">
      <c r="B105" s="23">
        <v>45946</v>
      </c>
      <c r="C105" s="91">
        <v>1</v>
      </c>
      <c r="D105" s="18" t="str">
        <f>IFERROR(VLOOKUP(Trabajos!C105,Referencias!$E$7:$F$30,2,FALSE),"")</f>
        <v>Muestreo de suelos</v>
      </c>
      <c r="E105" s="91">
        <v>33</v>
      </c>
      <c r="F105" s="18" t="str">
        <f>IFERROR(VLOOKUP(Trabajos!$E105,Clientes,2,FALSE),"")</f>
        <v>Espartina S.A.</v>
      </c>
      <c r="G105" s="91" t="s">
        <v>234</v>
      </c>
      <c r="H105" s="142">
        <v>80</v>
      </c>
      <c r="I105" s="138">
        <v>947.70673076900005</v>
      </c>
      <c r="J105" s="19">
        <f t="shared" si="4"/>
        <v>75816.538461520002</v>
      </c>
      <c r="K105" s="26">
        <v>3</v>
      </c>
      <c r="L105" s="19" t="str">
        <f>IFERROR(VLOOKUP(K105,Referencias!$H$7:$I$9,2,FALSE),"")</f>
        <v>Zoom</v>
      </c>
      <c r="M105" s="203">
        <v>0</v>
      </c>
      <c r="N105" s="138">
        <v>588</v>
      </c>
      <c r="O105" s="20">
        <f t="shared" si="5"/>
        <v>0</v>
      </c>
      <c r="P105" s="21">
        <f t="shared" si="6"/>
        <v>75816.538461520002</v>
      </c>
      <c r="R105" s="136">
        <v>0</v>
      </c>
      <c r="S105" s="136">
        <v>0</v>
      </c>
      <c r="T105" s="137">
        <f t="shared" si="0"/>
        <v>80</v>
      </c>
      <c r="U105" s="132"/>
    </row>
    <row r="106" spans="2:21" x14ac:dyDescent="0.25">
      <c r="B106" s="23">
        <v>45946</v>
      </c>
      <c r="C106" s="91">
        <v>1</v>
      </c>
      <c r="D106" s="18" t="str">
        <f>IFERROR(VLOOKUP(Trabajos!C106,Referencias!$E$7:$F$30,2,FALSE),"")</f>
        <v>Muestreo de suelos</v>
      </c>
      <c r="E106" s="91">
        <v>33</v>
      </c>
      <c r="F106" s="18" t="str">
        <f>IFERROR(VLOOKUP(Trabajos!$E106,Clientes,2,FALSE),"")</f>
        <v>Espartina S.A.</v>
      </c>
      <c r="G106" s="91" t="s">
        <v>232</v>
      </c>
      <c r="H106" s="142">
        <v>80</v>
      </c>
      <c r="I106" s="138">
        <v>947.70673076900005</v>
      </c>
      <c r="J106" s="19">
        <f t="shared" si="4"/>
        <v>75816.538461520002</v>
      </c>
      <c r="K106" s="26">
        <v>3</v>
      </c>
      <c r="L106" s="19" t="str">
        <f>IFERROR(VLOOKUP(K106,Referencias!$H$7:$I$9,2,FALSE),"")</f>
        <v>Zoom</v>
      </c>
      <c r="M106" s="143">
        <v>0</v>
      </c>
      <c r="N106" s="152">
        <v>588</v>
      </c>
      <c r="O106" s="20">
        <f t="shared" si="5"/>
        <v>0</v>
      </c>
      <c r="P106" s="21">
        <f t="shared" si="6"/>
        <v>75816.538461520002</v>
      </c>
      <c r="R106" s="112">
        <v>0</v>
      </c>
      <c r="S106" s="112">
        <v>0</v>
      </c>
      <c r="T106" s="137">
        <f t="shared" si="0"/>
        <v>80</v>
      </c>
      <c r="U106" s="132"/>
    </row>
    <row r="107" spans="2:21" x14ac:dyDescent="0.25">
      <c r="B107" s="23">
        <v>45946</v>
      </c>
      <c r="C107" s="91">
        <v>1</v>
      </c>
      <c r="D107" s="18" t="str">
        <f>IFERROR(VLOOKUP(Trabajos!C107,Referencias!$E$7:$F$30,2,FALSE),"")</f>
        <v>Muestreo de suelos</v>
      </c>
      <c r="E107" s="91">
        <v>33</v>
      </c>
      <c r="F107" s="18" t="str">
        <f>IFERROR(VLOOKUP(Trabajos!$E107,Clientes,2,FALSE),"")</f>
        <v>Espartina S.A.</v>
      </c>
      <c r="G107" s="91" t="s">
        <v>326</v>
      </c>
      <c r="H107" s="142">
        <v>80</v>
      </c>
      <c r="I107" s="138">
        <v>947.70673076900005</v>
      </c>
      <c r="J107" s="19">
        <f t="shared" si="4"/>
        <v>75816.538461520002</v>
      </c>
      <c r="K107" s="26">
        <v>3</v>
      </c>
      <c r="L107" s="19" t="str">
        <f>IFERROR(VLOOKUP(K107,Referencias!$H$7:$I$9,2,FALSE),"")</f>
        <v>Zoom</v>
      </c>
      <c r="M107" s="143">
        <v>0</v>
      </c>
      <c r="N107" s="152">
        <v>588</v>
      </c>
      <c r="O107" s="20">
        <f t="shared" si="5"/>
        <v>0</v>
      </c>
      <c r="P107" s="21">
        <f t="shared" si="6"/>
        <v>75816.538461520002</v>
      </c>
      <c r="R107" s="136">
        <v>0</v>
      </c>
      <c r="S107" s="112">
        <v>0</v>
      </c>
      <c r="T107" s="137">
        <f t="shared" si="0"/>
        <v>80</v>
      </c>
      <c r="U107" s="132"/>
    </row>
    <row r="108" spans="2:21" x14ac:dyDescent="0.25">
      <c r="B108" s="23">
        <v>45946</v>
      </c>
      <c r="C108" s="91">
        <v>1</v>
      </c>
      <c r="D108" s="18" t="str">
        <f>IFERROR(VLOOKUP(Trabajos!C108,Referencias!$E$7:$F$30,2,FALSE),"")</f>
        <v>Muestreo de suelos</v>
      </c>
      <c r="E108" s="91">
        <v>33</v>
      </c>
      <c r="F108" s="18" t="str">
        <f>IFERROR(VLOOKUP(Trabajos!$E108,Clientes,2,FALSE),"")</f>
        <v>Espartina S.A.</v>
      </c>
      <c r="G108" s="91" t="s">
        <v>235</v>
      </c>
      <c r="H108" s="142">
        <v>80</v>
      </c>
      <c r="I108" s="138">
        <v>947.70673076900005</v>
      </c>
      <c r="J108" s="19">
        <f t="shared" si="4"/>
        <v>75816.538461520002</v>
      </c>
      <c r="K108" s="26">
        <v>3</v>
      </c>
      <c r="L108" s="19" t="str">
        <f>IFERROR(VLOOKUP(K108,Referencias!$H$7:$I$9,2,FALSE),"")</f>
        <v>Zoom</v>
      </c>
      <c r="M108" s="143">
        <v>0</v>
      </c>
      <c r="N108" s="152">
        <v>588</v>
      </c>
      <c r="O108" s="20">
        <f t="shared" si="5"/>
        <v>0</v>
      </c>
      <c r="P108" s="21">
        <f t="shared" si="6"/>
        <v>75816.538461520002</v>
      </c>
      <c r="R108" s="136">
        <v>0</v>
      </c>
      <c r="S108" s="112">
        <v>0</v>
      </c>
      <c r="T108" s="113">
        <f t="shared" si="0"/>
        <v>80</v>
      </c>
      <c r="U108" s="132"/>
    </row>
    <row r="109" spans="2:21" x14ac:dyDescent="0.25">
      <c r="B109" s="23">
        <v>45946</v>
      </c>
      <c r="C109" s="91">
        <v>2</v>
      </c>
      <c r="D109" s="18" t="str">
        <f>IFERROR(VLOOKUP(Trabajos!C109,Referencias!$E$7:$F$30,2,FALSE),"")</f>
        <v>Monitoreo de bb y bab</v>
      </c>
      <c r="E109" s="91">
        <v>33</v>
      </c>
      <c r="F109" s="18" t="str">
        <f>IFERROR(VLOOKUP(Trabajos!$E109,Clientes,2,FALSE),"")</f>
        <v>Espartina S.A.</v>
      </c>
      <c r="G109" s="91" t="s">
        <v>342</v>
      </c>
      <c r="H109" s="142">
        <v>276</v>
      </c>
      <c r="I109" s="138">
        <v>3262.5</v>
      </c>
      <c r="J109" s="19">
        <f t="shared" si="4"/>
        <v>900450</v>
      </c>
      <c r="K109" s="26">
        <v>3</v>
      </c>
      <c r="L109" s="19" t="str">
        <f>IFERROR(VLOOKUP(K109,Referencias!$H$7:$I$9,2,FALSE),"")</f>
        <v>Zoom</v>
      </c>
      <c r="M109" s="143">
        <v>398</v>
      </c>
      <c r="N109" s="138">
        <v>633.85</v>
      </c>
      <c r="O109" s="20">
        <f t="shared" si="5"/>
        <v>252272.30000000002</v>
      </c>
      <c r="P109" s="21">
        <f t="shared" si="6"/>
        <v>1152722.3</v>
      </c>
      <c r="R109" s="112">
        <v>0</v>
      </c>
      <c r="S109" s="112">
        <v>0</v>
      </c>
      <c r="T109" s="113">
        <f t="shared" si="0"/>
        <v>276</v>
      </c>
      <c r="U109" s="132"/>
    </row>
    <row r="110" spans="2:21" x14ac:dyDescent="0.25">
      <c r="B110" s="23">
        <v>45946</v>
      </c>
      <c r="C110" s="91">
        <v>3</v>
      </c>
      <c r="D110" s="18" t="str">
        <f>IFERROR(VLOOKUP(Trabajos!C110,Referencias!$E$7:$F$30,2,FALSE),"")</f>
        <v>Aplicación de cebos</v>
      </c>
      <c r="E110" s="91">
        <v>76</v>
      </c>
      <c r="F110" s="18" t="str">
        <f>IFERROR(VLOOKUP(Trabajos!$E110,Clientes,2,FALSE),"")</f>
        <v>Bruno Fioriti</v>
      </c>
      <c r="G110" s="91" t="s">
        <v>316</v>
      </c>
      <c r="H110" s="142">
        <v>70</v>
      </c>
      <c r="I110" s="152">
        <v>7010</v>
      </c>
      <c r="J110" s="19">
        <f t="shared" si="4"/>
        <v>490700</v>
      </c>
      <c r="K110" s="26">
        <v>1</v>
      </c>
      <c r="L110" s="19" t="str">
        <f>IFERROR(VLOOKUP(K110,Referencias!$H$7:$I$9,2,FALSE),"")</f>
        <v>Tomas</v>
      </c>
      <c r="M110" s="143">
        <v>0</v>
      </c>
      <c r="N110" s="29">
        <v>650</v>
      </c>
      <c r="O110" s="20">
        <f t="shared" si="5"/>
        <v>0</v>
      </c>
      <c r="P110" s="21">
        <f t="shared" si="6"/>
        <v>490700</v>
      </c>
      <c r="R110" s="112">
        <v>0</v>
      </c>
      <c r="S110" s="112">
        <v>70</v>
      </c>
      <c r="T110" s="113">
        <f t="shared" si="0"/>
        <v>0</v>
      </c>
      <c r="U110" s="132"/>
    </row>
    <row r="111" spans="2:21" x14ac:dyDescent="0.25">
      <c r="B111" s="23">
        <v>45946</v>
      </c>
      <c r="C111" s="91">
        <v>3</v>
      </c>
      <c r="D111" s="18" t="str">
        <f>IFERROR(VLOOKUP(Trabajos!C111,Referencias!$E$7:$F$30,2,FALSE),"")</f>
        <v>Aplicación de cebos</v>
      </c>
      <c r="E111" s="91">
        <v>17</v>
      </c>
      <c r="F111" s="18" t="str">
        <f>IFERROR(VLOOKUP(Trabajos!$E111,Clientes,2,FALSE),"")</f>
        <v>Campo Maipu S.A.</v>
      </c>
      <c r="G111" s="91" t="s">
        <v>324</v>
      </c>
      <c r="H111" s="119">
        <v>52</v>
      </c>
      <c r="I111" s="138">
        <v>7010</v>
      </c>
      <c r="J111" s="19">
        <f t="shared" si="4"/>
        <v>364520</v>
      </c>
      <c r="K111" s="26">
        <v>3</v>
      </c>
      <c r="L111" s="19" t="str">
        <f>IFERROR(VLOOKUP(K111,Referencias!$H$7:$I$9,2,FALSE),"")</f>
        <v>Zoom</v>
      </c>
      <c r="M111" s="143">
        <v>352</v>
      </c>
      <c r="N111" s="29">
        <v>650</v>
      </c>
      <c r="O111" s="20">
        <f t="shared" si="5"/>
        <v>228800</v>
      </c>
      <c r="P111" s="21">
        <f t="shared" si="6"/>
        <v>593320</v>
      </c>
      <c r="R111" s="112">
        <v>0</v>
      </c>
      <c r="S111" s="112">
        <v>0</v>
      </c>
      <c r="T111" s="113">
        <f t="shared" si="0"/>
        <v>52</v>
      </c>
      <c r="U111" s="132"/>
    </row>
    <row r="112" spans="2:21" x14ac:dyDescent="0.25">
      <c r="B112" s="23">
        <v>45946</v>
      </c>
      <c r="C112" s="91">
        <v>2</v>
      </c>
      <c r="D112" s="18" t="str">
        <f>IFERROR(VLOOKUP(Trabajos!C112,Referencias!$E$7:$F$30,2,FALSE),"")</f>
        <v>Monitoreo de bb y bab</v>
      </c>
      <c r="E112" s="91">
        <v>17</v>
      </c>
      <c r="F112" s="18" t="str">
        <f>IFERROR(VLOOKUP(Trabajos!$E112,Clientes,2,FALSE),"")</f>
        <v>Campo Maipu S.A.</v>
      </c>
      <c r="G112" s="91" t="s">
        <v>343</v>
      </c>
      <c r="H112" s="142">
        <v>33</v>
      </c>
      <c r="I112" s="138">
        <v>3505</v>
      </c>
      <c r="J112" s="19">
        <f t="shared" si="4"/>
        <v>115665</v>
      </c>
      <c r="K112" s="26">
        <v>3</v>
      </c>
      <c r="L112" s="19" t="str">
        <f>IFERROR(VLOOKUP(K112,Referencias!$H$7:$I$9,2,FALSE),"")</f>
        <v>Zoom</v>
      </c>
      <c r="M112" s="143">
        <v>0</v>
      </c>
      <c r="N112" s="29">
        <v>650</v>
      </c>
      <c r="O112" s="20">
        <f t="shared" si="5"/>
        <v>0</v>
      </c>
      <c r="P112" s="21">
        <f t="shared" si="6"/>
        <v>115665</v>
      </c>
      <c r="R112" s="136">
        <v>0</v>
      </c>
      <c r="S112" s="112">
        <v>0</v>
      </c>
      <c r="T112" s="113">
        <f t="shared" si="0"/>
        <v>33</v>
      </c>
      <c r="U112" s="132"/>
    </row>
    <row r="113" spans="2:21" x14ac:dyDescent="0.25">
      <c r="B113" s="23">
        <v>45947</v>
      </c>
      <c r="C113" s="91">
        <v>2</v>
      </c>
      <c r="D113" s="18" t="str">
        <f>IFERROR(VLOOKUP(Trabajos!C113,Referencias!$E$7:$F$30,2,FALSE),"")</f>
        <v>Monitoreo de bb y bab</v>
      </c>
      <c r="E113" s="91">
        <v>33</v>
      </c>
      <c r="F113" s="18" t="str">
        <f>IFERROR(VLOOKUP(Trabajos!$E113,Clientes,2,FALSE),"")</f>
        <v>Espartina S.A.</v>
      </c>
      <c r="G113" s="91" t="s">
        <v>308</v>
      </c>
      <c r="H113" s="142">
        <v>217</v>
      </c>
      <c r="I113" s="138">
        <v>3262.5</v>
      </c>
      <c r="J113" s="19">
        <f t="shared" si="4"/>
        <v>707962.5</v>
      </c>
      <c r="K113" s="26">
        <v>2</v>
      </c>
      <c r="L113" s="19" t="str">
        <f>IFERROR(VLOOKUP(K113,Referencias!$H$7:$I$9,2,FALSE),"")</f>
        <v>Paco</v>
      </c>
      <c r="M113" s="143">
        <v>186</v>
      </c>
      <c r="N113" s="138">
        <v>633.85</v>
      </c>
      <c r="O113" s="20">
        <f t="shared" si="5"/>
        <v>117896.1</v>
      </c>
      <c r="P113" s="21">
        <f t="shared" si="6"/>
        <v>825858.6</v>
      </c>
      <c r="R113" s="112">
        <v>54</v>
      </c>
      <c r="S113" s="112">
        <v>0</v>
      </c>
      <c r="T113" s="113">
        <f t="shared" si="0"/>
        <v>163</v>
      </c>
      <c r="U113" s="132"/>
    </row>
    <row r="114" spans="2:21" x14ac:dyDescent="0.25">
      <c r="B114" s="23">
        <v>45947</v>
      </c>
      <c r="C114" s="91">
        <v>3</v>
      </c>
      <c r="D114" s="18" t="str">
        <f>IFERROR(VLOOKUP(Trabajos!C114,Referencias!$E$7:$F$30,2,FALSE),"")</f>
        <v>Aplicación de cebos</v>
      </c>
      <c r="E114" s="91">
        <v>33</v>
      </c>
      <c r="F114" s="18" t="str">
        <f>IFERROR(VLOOKUP(Trabajos!$E114,Clientes,2,FALSE),"")</f>
        <v>Espartina S.A.</v>
      </c>
      <c r="G114" s="91" t="s">
        <v>267</v>
      </c>
      <c r="H114" s="142">
        <v>45</v>
      </c>
      <c r="I114" s="138">
        <v>7250</v>
      </c>
      <c r="J114" s="19">
        <f t="shared" si="4"/>
        <v>326250</v>
      </c>
      <c r="K114" s="26">
        <v>2</v>
      </c>
      <c r="L114" s="19" t="str">
        <f>IFERROR(VLOOKUP(K114,Referencias!$H$7:$I$9,2,FALSE),"")</f>
        <v>Paco</v>
      </c>
      <c r="M114" s="143">
        <v>115</v>
      </c>
      <c r="N114" s="138">
        <v>633.85</v>
      </c>
      <c r="O114" s="20">
        <f t="shared" si="5"/>
        <v>72892.75</v>
      </c>
      <c r="P114" s="21">
        <f t="shared" si="6"/>
        <v>399142.75</v>
      </c>
      <c r="R114" s="136">
        <v>10</v>
      </c>
      <c r="S114" s="112">
        <v>0</v>
      </c>
      <c r="T114" s="113">
        <f t="shared" si="0"/>
        <v>35</v>
      </c>
      <c r="U114" s="132"/>
    </row>
    <row r="115" spans="2:21" x14ac:dyDescent="0.25">
      <c r="B115" s="23">
        <v>45947</v>
      </c>
      <c r="C115" s="91">
        <v>3</v>
      </c>
      <c r="D115" s="18" t="str">
        <f>IFERROR(VLOOKUP(Trabajos!C115,Referencias!$E$7:$F$30,2,FALSE),"")</f>
        <v>Aplicación de cebos</v>
      </c>
      <c r="E115" s="91">
        <v>33</v>
      </c>
      <c r="F115" s="18" t="str">
        <f>IFERROR(VLOOKUP(Trabajos!$E115,Clientes,2,FALSE),"")</f>
        <v>Espartina S.A.</v>
      </c>
      <c r="G115" s="91" t="s">
        <v>251</v>
      </c>
      <c r="H115" s="142">
        <v>70</v>
      </c>
      <c r="I115" s="138">
        <v>7250</v>
      </c>
      <c r="J115" s="19">
        <f t="shared" si="4"/>
        <v>507500</v>
      </c>
      <c r="K115" s="26">
        <v>2</v>
      </c>
      <c r="L115" s="19" t="str">
        <f>IFERROR(VLOOKUP(K115,Referencias!$H$7:$I$9,2,FALSE),"")</f>
        <v>Paco</v>
      </c>
      <c r="M115" s="143">
        <v>115</v>
      </c>
      <c r="N115" s="138">
        <v>633.85</v>
      </c>
      <c r="O115" s="20">
        <f t="shared" si="5"/>
        <v>72892.75</v>
      </c>
      <c r="P115" s="21">
        <f t="shared" si="6"/>
        <v>580392.75</v>
      </c>
      <c r="R115" s="112">
        <v>70</v>
      </c>
      <c r="S115" s="112">
        <v>0</v>
      </c>
      <c r="T115" s="113">
        <f t="shared" si="0"/>
        <v>0</v>
      </c>
      <c r="U115" s="132"/>
    </row>
    <row r="116" spans="2:21" x14ac:dyDescent="0.25">
      <c r="B116" s="23">
        <v>45947</v>
      </c>
      <c r="C116" s="91">
        <v>2</v>
      </c>
      <c r="D116" s="18" t="str">
        <f>IFERROR(VLOOKUP(Trabajos!C116,Referencias!$E$7:$F$30,2,FALSE),"")</f>
        <v>Monitoreo de bb y bab</v>
      </c>
      <c r="E116" s="91">
        <v>98</v>
      </c>
      <c r="F116" s="18" t="str">
        <f>IFERROR(VLOOKUP(Trabajos!$E116,Clientes,2,FALSE),"")</f>
        <v>Inalco</v>
      </c>
      <c r="G116" s="91" t="s">
        <v>207</v>
      </c>
      <c r="H116" s="142">
        <v>182</v>
      </c>
      <c r="I116" s="152">
        <v>3595</v>
      </c>
      <c r="J116" s="19">
        <f>IF(H116&lt;&gt;"",H116*I116,"")</f>
        <v>654290</v>
      </c>
      <c r="K116" s="26">
        <v>3</v>
      </c>
      <c r="L116" s="19" t="str">
        <f>IFERROR(VLOOKUP(K116,Referencias!$H$7:$I$9,2,FALSE),"")</f>
        <v>Zoom</v>
      </c>
      <c r="M116" s="143">
        <v>0</v>
      </c>
      <c r="N116" s="29">
        <v>650</v>
      </c>
      <c r="O116" s="20">
        <f>IF(M116&lt;&gt;"",M116*N116,"")</f>
        <v>0</v>
      </c>
      <c r="P116" s="21">
        <f t="shared" ref="P116:P169" si="7">IF(J116&lt;&gt;"",J116+O116,"")</f>
        <v>654290</v>
      </c>
      <c r="R116" s="136">
        <v>0</v>
      </c>
      <c r="S116" s="112">
        <v>0</v>
      </c>
      <c r="T116" s="113">
        <f t="shared" si="0"/>
        <v>182</v>
      </c>
      <c r="U116" s="132"/>
    </row>
    <row r="117" spans="2:21" x14ac:dyDescent="0.25">
      <c r="B117" s="23">
        <v>45948</v>
      </c>
      <c r="C117" s="91">
        <v>2</v>
      </c>
      <c r="D117" s="18" t="str">
        <f>IFERROR(VLOOKUP(Trabajos!C117,Referencias!$E$7:$F$30,2,FALSE),"")</f>
        <v>Monitoreo de bb y bab</v>
      </c>
      <c r="E117" s="91">
        <v>99</v>
      </c>
      <c r="F117" s="18" t="str">
        <f>IFERROR(VLOOKUP(Trabajos!$E117,Clientes,2,FALSE),"")</f>
        <v>San Vicente</v>
      </c>
      <c r="G117" s="91" t="s">
        <v>208</v>
      </c>
      <c r="H117" s="119">
        <v>124</v>
      </c>
      <c r="I117" s="138">
        <v>3595</v>
      </c>
      <c r="J117" s="19">
        <f>IF(H117&lt;&gt;"",H117*I117,"")</f>
        <v>445780</v>
      </c>
      <c r="K117" s="26">
        <v>3</v>
      </c>
      <c r="L117" s="19" t="str">
        <f>IFERROR(VLOOKUP(K117,Referencias!$H$7:$I$9,2,FALSE),"")</f>
        <v>Zoom</v>
      </c>
      <c r="M117" s="143">
        <v>186</v>
      </c>
      <c r="N117" s="29">
        <v>650</v>
      </c>
      <c r="O117" s="20">
        <f>IF(M117&lt;&gt;"",M117*N117,"")</f>
        <v>120900</v>
      </c>
      <c r="P117" s="21">
        <f t="shared" si="7"/>
        <v>566680</v>
      </c>
      <c r="R117" s="112">
        <v>0</v>
      </c>
      <c r="S117" s="112">
        <v>0</v>
      </c>
      <c r="T117" s="113">
        <f t="shared" si="0"/>
        <v>124</v>
      </c>
      <c r="U117" s="132"/>
    </row>
    <row r="118" spans="2:21" x14ac:dyDescent="0.25">
      <c r="B118" s="23">
        <v>45947</v>
      </c>
      <c r="C118" s="91">
        <v>3</v>
      </c>
      <c r="D118" s="18" t="str">
        <f>IFERROR(VLOOKUP(Trabajos!C118,Referencias!$E$7:$F$30,2,FALSE),"")</f>
        <v>Aplicación de cebos</v>
      </c>
      <c r="E118" s="91">
        <v>33</v>
      </c>
      <c r="F118" s="18" t="str">
        <f>IFERROR(VLOOKUP(Trabajos!$E118,Clientes,2,FALSE),"")</f>
        <v>Espartina S.A.</v>
      </c>
      <c r="G118" s="91" t="s">
        <v>269</v>
      </c>
      <c r="H118" s="142">
        <v>96</v>
      </c>
      <c r="I118" s="138">
        <v>7267.5</v>
      </c>
      <c r="J118" s="19">
        <f>IF(H118&lt;&gt;"",H118*I118,"")</f>
        <v>697680</v>
      </c>
      <c r="K118" s="26">
        <v>1</v>
      </c>
      <c r="L118" s="19" t="str">
        <f>IFERROR(VLOOKUP(K118,Referencias!$H$7:$I$9,2,FALSE),"")</f>
        <v>Tomas</v>
      </c>
      <c r="M118" s="143">
        <v>36</v>
      </c>
      <c r="N118" s="152">
        <v>633.85</v>
      </c>
      <c r="O118" s="20">
        <f>IF(M118&lt;&gt;"",M118*N118,"")</f>
        <v>22818.600000000002</v>
      </c>
      <c r="P118" s="21">
        <f t="shared" si="7"/>
        <v>720498.6</v>
      </c>
      <c r="R118" s="112">
        <v>0</v>
      </c>
      <c r="S118" s="112">
        <v>80</v>
      </c>
      <c r="T118" s="113">
        <f t="shared" si="0"/>
        <v>16</v>
      </c>
      <c r="U118" s="132"/>
    </row>
    <row r="119" spans="2:21" x14ac:dyDescent="0.25">
      <c r="B119" s="23">
        <v>45948</v>
      </c>
      <c r="C119" s="91">
        <v>3</v>
      </c>
      <c r="D119" s="18" t="str">
        <f>IFERROR(VLOOKUP(Trabajos!C119,Referencias!$E$7:$F$30,2,FALSE),"")</f>
        <v>Aplicación de cebos</v>
      </c>
      <c r="E119" s="91">
        <v>33</v>
      </c>
      <c r="F119" s="18" t="str">
        <f>IFERROR(VLOOKUP(Trabajos!$E119,Clientes,2,FALSE),"")</f>
        <v>Espartina S.A.</v>
      </c>
      <c r="G119" s="91" t="s">
        <v>251</v>
      </c>
      <c r="H119" s="142">
        <v>100</v>
      </c>
      <c r="I119" s="138">
        <v>7250</v>
      </c>
      <c r="J119" s="19">
        <f>IF(H119&lt;&gt;"",H119*I119,"")</f>
        <v>725000</v>
      </c>
      <c r="K119" s="26">
        <v>2</v>
      </c>
      <c r="L119" s="19" t="str">
        <f>IFERROR(VLOOKUP(K119,Referencias!$H$7:$I$9,2,FALSE),"")</f>
        <v>Paco</v>
      </c>
      <c r="M119" s="143">
        <v>230</v>
      </c>
      <c r="N119" s="138">
        <v>633.85</v>
      </c>
      <c r="O119" s="20">
        <f>IF(M119&lt;&gt;"",M119*N119,"")</f>
        <v>145785.5</v>
      </c>
      <c r="P119" s="21">
        <f t="shared" si="7"/>
        <v>870785.5</v>
      </c>
      <c r="R119" s="136">
        <v>80</v>
      </c>
      <c r="S119" s="112">
        <v>0</v>
      </c>
      <c r="T119" s="113">
        <f t="shared" si="0"/>
        <v>20</v>
      </c>
      <c r="U119" s="132"/>
    </row>
    <row r="120" spans="2:21" x14ac:dyDescent="0.25">
      <c r="B120" s="23">
        <v>45948</v>
      </c>
      <c r="C120" s="91">
        <v>3</v>
      </c>
      <c r="D120" s="18" t="str">
        <f>IFERROR(VLOOKUP(Trabajos!C120,Referencias!$E$7:$F$30,2,FALSE),"")</f>
        <v>Aplicación de cebos</v>
      </c>
      <c r="E120" s="91">
        <v>33</v>
      </c>
      <c r="F120" s="18" t="str">
        <f>IFERROR(VLOOKUP(Trabajos!$E120,Clientes,2,FALSE),"")</f>
        <v>Espartina S.A.</v>
      </c>
      <c r="G120" s="91" t="s">
        <v>256</v>
      </c>
      <c r="H120" s="142">
        <v>109</v>
      </c>
      <c r="I120" s="138">
        <v>7267.5</v>
      </c>
      <c r="J120" s="19">
        <f t="shared" si="4"/>
        <v>792157.5</v>
      </c>
      <c r="K120" s="26">
        <v>1</v>
      </c>
      <c r="L120" s="19" t="str">
        <f>IFERROR(VLOOKUP(K120,Referencias!$H$7:$I$9,2,FALSE),"")</f>
        <v>Tomas</v>
      </c>
      <c r="M120" s="143">
        <v>156</v>
      </c>
      <c r="N120" s="152">
        <v>633.85</v>
      </c>
      <c r="O120" s="20">
        <f t="shared" si="5"/>
        <v>98880.6</v>
      </c>
      <c r="P120" s="21">
        <f t="shared" si="7"/>
        <v>891038.1</v>
      </c>
      <c r="R120" s="112">
        <v>0</v>
      </c>
      <c r="S120" s="112">
        <v>80</v>
      </c>
      <c r="T120" s="113">
        <f t="shared" si="0"/>
        <v>29</v>
      </c>
      <c r="U120" s="132"/>
    </row>
    <row r="121" spans="2:21" x14ac:dyDescent="0.25">
      <c r="B121" s="23">
        <v>45949</v>
      </c>
      <c r="C121" s="91">
        <v>3</v>
      </c>
      <c r="D121" s="18" t="str">
        <f>IFERROR(VLOOKUP(Trabajos!C121,Referencias!$E$7:$F$30,2,FALSE),"")</f>
        <v>Aplicación de cebos</v>
      </c>
      <c r="E121" s="91">
        <v>24</v>
      </c>
      <c r="F121" s="18" t="str">
        <f>IFERROR(VLOOKUP(Trabajos!$E121,Clientes,2,FALSE),"")</f>
        <v>Nugas S.A.</v>
      </c>
      <c r="G121" s="91" t="s">
        <v>302</v>
      </c>
      <c r="H121" s="142">
        <v>107</v>
      </c>
      <c r="I121" s="138">
        <v>7257.5</v>
      </c>
      <c r="J121" s="19">
        <f t="shared" si="4"/>
        <v>776552.5</v>
      </c>
      <c r="K121" s="26">
        <v>3</v>
      </c>
      <c r="L121" s="19" t="str">
        <f>IFERROR(VLOOKUP(K121,Referencias!$H$7:$I$9,2,FALSE),"")</f>
        <v>Zoom</v>
      </c>
      <c r="M121" s="143">
        <v>160</v>
      </c>
      <c r="N121" s="29">
        <v>650</v>
      </c>
      <c r="O121" s="20">
        <f t="shared" si="5"/>
        <v>104000</v>
      </c>
      <c r="P121" s="21">
        <f t="shared" si="7"/>
        <v>880552.5</v>
      </c>
      <c r="R121" s="136">
        <v>0</v>
      </c>
      <c r="S121" s="112">
        <v>0</v>
      </c>
      <c r="T121" s="113">
        <f t="shared" si="0"/>
        <v>107</v>
      </c>
      <c r="U121" s="132"/>
    </row>
    <row r="122" spans="2:21" x14ac:dyDescent="0.25">
      <c r="B122" s="23">
        <v>45949</v>
      </c>
      <c r="C122" s="91">
        <v>3</v>
      </c>
      <c r="D122" s="18" t="str">
        <f>IFERROR(VLOOKUP(Trabajos!C122,Referencias!$E$7:$F$30,2,FALSE),"")</f>
        <v>Aplicación de cebos</v>
      </c>
      <c r="E122" s="91">
        <v>33</v>
      </c>
      <c r="F122" s="18" t="str">
        <f>IFERROR(VLOOKUP(Trabajos!$E122,Clientes,2,FALSE),"")</f>
        <v>Espartina S.A.</v>
      </c>
      <c r="G122" s="91" t="s">
        <v>317</v>
      </c>
      <c r="H122" s="142">
        <v>60</v>
      </c>
      <c r="I122" s="138">
        <v>7267.5</v>
      </c>
      <c r="J122" s="19">
        <f t="shared" si="4"/>
        <v>436050</v>
      </c>
      <c r="K122" s="26">
        <v>1</v>
      </c>
      <c r="L122" s="19" t="str">
        <f>IFERROR(VLOOKUP(K122,Referencias!$H$7:$I$9,2,FALSE),"")</f>
        <v>Tomas</v>
      </c>
      <c r="M122" s="143">
        <v>185</v>
      </c>
      <c r="N122" s="152">
        <v>633.85</v>
      </c>
      <c r="O122" s="20">
        <f t="shared" si="5"/>
        <v>117262.25</v>
      </c>
      <c r="P122" s="21">
        <f t="shared" si="7"/>
        <v>553312.25</v>
      </c>
      <c r="R122" s="136">
        <v>0</v>
      </c>
      <c r="S122" s="112">
        <v>60</v>
      </c>
      <c r="T122" s="113">
        <f t="shared" si="0"/>
        <v>0</v>
      </c>
      <c r="U122" s="132"/>
    </row>
    <row r="123" spans="2:21" x14ac:dyDescent="0.25">
      <c r="B123" s="23">
        <v>45949</v>
      </c>
      <c r="C123" s="91">
        <v>3</v>
      </c>
      <c r="D123" s="18" t="str">
        <f>IFERROR(VLOOKUP(Trabajos!C123,Referencias!$E$7:$F$30,2,FALSE),"")</f>
        <v>Aplicación de cebos</v>
      </c>
      <c r="E123" s="91">
        <v>33</v>
      </c>
      <c r="F123" s="18" t="str">
        <f>IFERROR(VLOOKUP(Trabajos!$E123,Clientes,2,FALSE),"")</f>
        <v>Espartina S.A.</v>
      </c>
      <c r="G123" s="91" t="s">
        <v>256</v>
      </c>
      <c r="H123" s="142">
        <v>45</v>
      </c>
      <c r="I123" s="138">
        <v>7267.5</v>
      </c>
      <c r="J123" s="19">
        <f t="shared" si="4"/>
        <v>327037.5</v>
      </c>
      <c r="K123" s="26">
        <v>1</v>
      </c>
      <c r="L123" s="19" t="str">
        <f>IFERROR(VLOOKUP(K123,Referencias!$H$7:$I$9,2,FALSE),"")</f>
        <v>Tomas</v>
      </c>
      <c r="M123" s="143">
        <v>156</v>
      </c>
      <c r="N123" s="152">
        <v>633.85</v>
      </c>
      <c r="O123" s="20">
        <f t="shared" si="5"/>
        <v>98880.6</v>
      </c>
      <c r="P123" s="21">
        <f t="shared" si="7"/>
        <v>425918.1</v>
      </c>
      <c r="R123" s="112">
        <v>0</v>
      </c>
      <c r="S123" s="112">
        <v>20</v>
      </c>
      <c r="T123" s="113">
        <f t="shared" si="0"/>
        <v>25</v>
      </c>
      <c r="U123" s="132"/>
    </row>
    <row r="124" spans="2:21" x14ac:dyDescent="0.25">
      <c r="B124" s="23">
        <v>45949</v>
      </c>
      <c r="C124" s="91">
        <v>2</v>
      </c>
      <c r="D124" s="18" t="str">
        <f>IFERROR(VLOOKUP(Trabajos!C124,Referencias!$E$7:$F$30,2,FALSE),"")</f>
        <v>Monitoreo de bb y bab</v>
      </c>
      <c r="E124" s="91">
        <v>33</v>
      </c>
      <c r="F124" s="18" t="str">
        <f>IFERROR(VLOOKUP(Trabajos!$E124,Clientes,2,FALSE),"")</f>
        <v>Espartina S.A.</v>
      </c>
      <c r="G124" s="91" t="s">
        <v>347</v>
      </c>
      <c r="H124" s="142">
        <v>74</v>
      </c>
      <c r="I124" s="138">
        <v>3262.5</v>
      </c>
      <c r="J124" s="19">
        <f t="shared" si="4"/>
        <v>241425</v>
      </c>
      <c r="K124" s="26">
        <v>2</v>
      </c>
      <c r="L124" s="19" t="str">
        <f>IFERROR(VLOOKUP(K124,Referencias!$H$7:$I$9,2,FALSE),"")</f>
        <v>Paco</v>
      </c>
      <c r="M124" s="203">
        <v>294</v>
      </c>
      <c r="N124" s="138">
        <v>633.85</v>
      </c>
      <c r="O124" s="20">
        <f t="shared" si="5"/>
        <v>186351.9</v>
      </c>
      <c r="P124" s="21">
        <f t="shared" si="7"/>
        <v>427776.9</v>
      </c>
      <c r="R124" s="112">
        <v>37</v>
      </c>
      <c r="S124" s="112">
        <v>0</v>
      </c>
      <c r="T124" s="113">
        <f t="shared" ref="T124:T187" si="8">H124-R124-S124</f>
        <v>37</v>
      </c>
      <c r="U124" s="132"/>
    </row>
    <row r="125" spans="2:21" x14ac:dyDescent="0.25">
      <c r="B125" s="23">
        <v>45950</v>
      </c>
      <c r="C125" s="91">
        <v>2</v>
      </c>
      <c r="D125" s="18" t="str">
        <f>IFERROR(VLOOKUP(Trabajos!C125,Referencias!$E$7:$F$30,2,FALSE),"")</f>
        <v>Monitoreo de bb y bab</v>
      </c>
      <c r="E125" s="91">
        <v>33</v>
      </c>
      <c r="F125" s="18" t="str">
        <f>IFERROR(VLOOKUP(Trabajos!$E125,Clientes,2,FALSE),"")</f>
        <v>Espartina S.A.</v>
      </c>
      <c r="G125" s="91" t="s">
        <v>249</v>
      </c>
      <c r="H125" s="142">
        <v>169</v>
      </c>
      <c r="I125" s="138">
        <v>3270.37</v>
      </c>
      <c r="J125" s="19">
        <f t="shared" si="4"/>
        <v>552692.53</v>
      </c>
      <c r="K125" s="26">
        <v>3</v>
      </c>
      <c r="L125" s="19" t="str">
        <f>IFERROR(VLOOKUP(K125,Referencias!$H$7:$I$9,2,FALSE),"")</f>
        <v>Zoom</v>
      </c>
      <c r="M125" s="143">
        <v>0</v>
      </c>
      <c r="N125" s="152">
        <v>633.85</v>
      </c>
      <c r="O125" s="20">
        <f t="shared" si="5"/>
        <v>0</v>
      </c>
      <c r="P125" s="21">
        <f t="shared" si="7"/>
        <v>552692.53</v>
      </c>
      <c r="R125" s="112">
        <v>0</v>
      </c>
      <c r="S125" s="112">
        <v>0</v>
      </c>
      <c r="T125" s="113">
        <f t="shared" si="8"/>
        <v>169</v>
      </c>
      <c r="U125" s="132"/>
    </row>
    <row r="126" spans="2:21" x14ac:dyDescent="0.25">
      <c r="B126" s="23">
        <v>45950</v>
      </c>
      <c r="C126" s="91">
        <v>2</v>
      </c>
      <c r="D126" s="18" t="str">
        <f>IFERROR(VLOOKUP(Trabajos!C126,Referencias!$E$7:$F$30,2,FALSE),"")</f>
        <v>Monitoreo de bb y bab</v>
      </c>
      <c r="E126" s="91">
        <v>33</v>
      </c>
      <c r="F126" s="18" t="str">
        <f>IFERROR(VLOOKUP(Trabajos!$E126,Clientes,2,FALSE),"")</f>
        <v>Espartina S.A.</v>
      </c>
      <c r="G126" s="91" t="s">
        <v>291</v>
      </c>
      <c r="H126" s="142">
        <v>132</v>
      </c>
      <c r="I126" s="138">
        <v>3262.5</v>
      </c>
      <c r="J126" s="19">
        <f>IF(H126&lt;&gt;"",H126*I126,"")</f>
        <v>430650</v>
      </c>
      <c r="K126" s="26">
        <v>3</v>
      </c>
      <c r="L126" s="19" t="str">
        <f>IFERROR(VLOOKUP(K126,Referencias!$H$7:$I$9,2,FALSE),"")</f>
        <v>Zoom</v>
      </c>
      <c r="M126" s="143">
        <v>294</v>
      </c>
      <c r="N126" s="138">
        <v>633.85</v>
      </c>
      <c r="O126" s="20">
        <f>IF(M126&lt;&gt;"",M126*N126,"")</f>
        <v>186351.9</v>
      </c>
      <c r="P126" s="21">
        <f t="shared" si="7"/>
        <v>617001.9</v>
      </c>
      <c r="R126" s="112">
        <v>0</v>
      </c>
      <c r="S126" s="112">
        <v>0</v>
      </c>
      <c r="T126" s="113">
        <f t="shared" si="8"/>
        <v>132</v>
      </c>
      <c r="U126" s="132"/>
    </row>
    <row r="127" spans="2:21" x14ac:dyDescent="0.25">
      <c r="B127" s="23">
        <v>45950</v>
      </c>
      <c r="C127" s="91">
        <v>3</v>
      </c>
      <c r="D127" s="18" t="str">
        <f>IFERROR(VLOOKUP(Trabajos!C127,Referencias!$E$7:$F$30,2,FALSE),"")</f>
        <v>Aplicación de cebos</v>
      </c>
      <c r="E127" s="91">
        <v>33</v>
      </c>
      <c r="F127" s="18" t="str">
        <f>IFERROR(VLOOKUP(Trabajos!$E127,Clientes,2,FALSE),"")</f>
        <v>Espartina S.A.</v>
      </c>
      <c r="G127" s="91" t="s">
        <v>291</v>
      </c>
      <c r="H127" s="142">
        <v>240</v>
      </c>
      <c r="I127" s="138">
        <v>7250</v>
      </c>
      <c r="J127" s="19">
        <f t="shared" si="4"/>
        <v>1740000</v>
      </c>
      <c r="K127" s="26">
        <v>2</v>
      </c>
      <c r="L127" s="19" t="str">
        <f>IFERROR(VLOOKUP(K127,Referencias!$H$7:$I$9,2,FALSE),"")</f>
        <v>Paco</v>
      </c>
      <c r="M127" s="143">
        <v>294</v>
      </c>
      <c r="N127" s="138">
        <v>633.85</v>
      </c>
      <c r="O127" s="20">
        <f t="shared" si="5"/>
        <v>186351.9</v>
      </c>
      <c r="P127" s="21">
        <f t="shared" si="7"/>
        <v>1926351.9</v>
      </c>
      <c r="R127" s="112">
        <v>80</v>
      </c>
      <c r="S127" s="112">
        <v>0</v>
      </c>
      <c r="T127" s="113">
        <f t="shared" si="8"/>
        <v>160</v>
      </c>
      <c r="U127" s="132"/>
    </row>
    <row r="128" spans="2:21" x14ac:dyDescent="0.25">
      <c r="B128" s="23">
        <v>45950</v>
      </c>
      <c r="C128" s="91">
        <v>3</v>
      </c>
      <c r="D128" s="18" t="str">
        <f>IFERROR(VLOOKUP(Trabajos!C128,Referencias!$E$7:$F$30,2,FALSE),"")</f>
        <v>Aplicación de cebos</v>
      </c>
      <c r="E128" s="91">
        <v>119</v>
      </c>
      <c r="F128" s="18" t="str">
        <f>IFERROR(VLOOKUP(Trabajos!$E128,Clientes,2,FALSE),"")</f>
        <v>Juan Rodriguez Rivas</v>
      </c>
      <c r="G128" s="157" t="s">
        <v>311</v>
      </c>
      <c r="H128" s="119">
        <v>19</v>
      </c>
      <c r="I128" s="138">
        <v>7032.5</v>
      </c>
      <c r="J128" s="19">
        <f t="shared" si="4"/>
        <v>133617.5</v>
      </c>
      <c r="K128" s="26">
        <v>2</v>
      </c>
      <c r="L128" s="19" t="str">
        <f>IFERROR(VLOOKUP(K128,Referencias!$H$7:$I$9,2,FALSE),"")</f>
        <v>Paco</v>
      </c>
      <c r="M128" s="143">
        <v>262</v>
      </c>
      <c r="N128" s="152">
        <v>650</v>
      </c>
      <c r="O128" s="20">
        <f t="shared" si="5"/>
        <v>170300</v>
      </c>
      <c r="P128" s="21">
        <f t="shared" si="7"/>
        <v>303917.5</v>
      </c>
      <c r="R128" s="112">
        <v>0</v>
      </c>
      <c r="S128" s="112">
        <v>0</v>
      </c>
      <c r="T128" s="113">
        <f t="shared" si="8"/>
        <v>19</v>
      </c>
      <c r="U128" s="132"/>
    </row>
    <row r="129" spans="2:21" x14ac:dyDescent="0.25">
      <c r="B129" s="23">
        <v>45951</v>
      </c>
      <c r="C129" s="91">
        <v>3</v>
      </c>
      <c r="D129" s="18" t="str">
        <f>IFERROR(VLOOKUP(Trabajos!C129,Referencias!$E$7:$F$30,2,FALSE),"")</f>
        <v>Aplicación de cebos</v>
      </c>
      <c r="E129" s="91">
        <v>33</v>
      </c>
      <c r="F129" s="18" t="str">
        <f>IFERROR(VLOOKUP(Trabajos!$E129,Clientes,2,FALSE),"")</f>
        <v>Espartina S.A.</v>
      </c>
      <c r="G129" s="91" t="s">
        <v>342</v>
      </c>
      <c r="H129" s="142">
        <v>171</v>
      </c>
      <c r="I129" s="138">
        <v>7250</v>
      </c>
      <c r="J129" s="19">
        <f t="shared" si="4"/>
        <v>1239750</v>
      </c>
      <c r="K129" s="26">
        <v>2</v>
      </c>
      <c r="L129" s="19" t="str">
        <f>IFERROR(VLOOKUP(K129,Referencias!$H$7:$I$9,2,FALSE),"")</f>
        <v>Paco</v>
      </c>
      <c r="M129" s="203">
        <v>137</v>
      </c>
      <c r="N129" s="138">
        <v>633.85</v>
      </c>
      <c r="O129" s="20">
        <f t="shared" si="5"/>
        <v>86837.45</v>
      </c>
      <c r="P129" s="21">
        <f t="shared" si="7"/>
        <v>1326587.45</v>
      </c>
      <c r="R129" s="112">
        <v>80</v>
      </c>
      <c r="S129" s="112">
        <v>0</v>
      </c>
      <c r="T129" s="113">
        <f t="shared" si="8"/>
        <v>91</v>
      </c>
      <c r="U129" s="132"/>
    </row>
    <row r="130" spans="2:21" x14ac:dyDescent="0.25">
      <c r="B130" s="23">
        <v>45951</v>
      </c>
      <c r="C130" s="91">
        <v>3</v>
      </c>
      <c r="D130" s="18" t="str">
        <f>IFERROR(VLOOKUP(Trabajos!C130,Referencias!$E$7:$F$30,2,FALSE),"")</f>
        <v>Aplicación de cebos</v>
      </c>
      <c r="E130" s="91">
        <v>33</v>
      </c>
      <c r="F130" s="18" t="str">
        <f>IFERROR(VLOOKUP(Trabajos!$E130,Clientes,2,FALSE),"")</f>
        <v>Espartina S.A.</v>
      </c>
      <c r="G130" s="91" t="s">
        <v>313</v>
      </c>
      <c r="H130" s="142">
        <v>85</v>
      </c>
      <c r="I130" s="138">
        <v>7250</v>
      </c>
      <c r="J130" s="19">
        <f t="shared" si="4"/>
        <v>616250</v>
      </c>
      <c r="K130" s="26">
        <v>2</v>
      </c>
      <c r="L130" s="19" t="str">
        <f>IFERROR(VLOOKUP(K130,Referencias!$H$7:$I$9,2,FALSE),"")</f>
        <v>Paco</v>
      </c>
      <c r="M130" s="203">
        <v>137</v>
      </c>
      <c r="N130" s="138">
        <v>633.85</v>
      </c>
      <c r="O130" s="20">
        <f t="shared" si="5"/>
        <v>86837.45</v>
      </c>
      <c r="P130" s="21">
        <f t="shared" si="7"/>
        <v>703087.45</v>
      </c>
      <c r="R130" s="112">
        <v>0</v>
      </c>
      <c r="S130" s="112">
        <v>0</v>
      </c>
      <c r="T130" s="113">
        <f t="shared" si="8"/>
        <v>85</v>
      </c>
      <c r="U130" s="132"/>
    </row>
    <row r="131" spans="2:21" x14ac:dyDescent="0.25">
      <c r="B131" s="23">
        <v>45951</v>
      </c>
      <c r="C131" s="91">
        <v>3</v>
      </c>
      <c r="D131" s="18" t="str">
        <f>IFERROR(VLOOKUP(Trabajos!C131,Referencias!$E$7:$F$30,2,FALSE),"")</f>
        <v>Aplicación de cebos</v>
      </c>
      <c r="E131" s="91">
        <v>40</v>
      </c>
      <c r="F131" s="18" t="str">
        <f>IFERROR(VLOOKUP(Trabajos!$E131,Clientes,2,FALSE),"")</f>
        <v>Cía. de Tierras Sud Argentino S.A.</v>
      </c>
      <c r="G131" s="91" t="s">
        <v>296</v>
      </c>
      <c r="H131" s="119">
        <v>221</v>
      </c>
      <c r="I131" s="152">
        <v>7267.5</v>
      </c>
      <c r="J131" s="19">
        <f t="shared" si="4"/>
        <v>1606117.5</v>
      </c>
      <c r="K131" s="26">
        <v>1</v>
      </c>
      <c r="L131" s="19" t="str">
        <f>IFERROR(VLOOKUP(K131,Referencias!$H$7:$I$9,2,FALSE),"")</f>
        <v>Tomas</v>
      </c>
      <c r="M131" s="203">
        <v>50</v>
      </c>
      <c r="N131" s="152">
        <v>650</v>
      </c>
      <c r="O131" s="20">
        <f t="shared" si="5"/>
        <v>32500</v>
      </c>
      <c r="P131" s="21">
        <f t="shared" si="7"/>
        <v>1638617.5</v>
      </c>
      <c r="R131" s="112">
        <v>0</v>
      </c>
      <c r="S131" s="112">
        <v>80</v>
      </c>
      <c r="T131" s="113">
        <f t="shared" si="8"/>
        <v>141</v>
      </c>
      <c r="U131" s="132"/>
    </row>
    <row r="132" spans="2:21" x14ac:dyDescent="0.25">
      <c r="B132" s="23">
        <v>45951</v>
      </c>
      <c r="C132" s="91">
        <v>3</v>
      </c>
      <c r="D132" s="18" t="str">
        <f>IFERROR(VLOOKUP(Trabajos!C132,Referencias!$E$7:$F$30,2,FALSE),"")</f>
        <v>Aplicación de cebos</v>
      </c>
      <c r="E132" s="91">
        <v>33</v>
      </c>
      <c r="F132" s="18" t="str">
        <f>IFERROR(VLOOKUP(Trabajos!$E132,Clientes,2,FALSE),"")</f>
        <v>Espartina S.A.</v>
      </c>
      <c r="G132" s="91" t="s">
        <v>289</v>
      </c>
      <c r="H132" s="142">
        <v>107</v>
      </c>
      <c r="I132" s="138">
        <v>7250</v>
      </c>
      <c r="J132" s="19">
        <f t="shared" si="4"/>
        <v>775750</v>
      </c>
      <c r="K132" s="26">
        <v>3</v>
      </c>
      <c r="L132" s="19" t="str">
        <f>IFERROR(VLOOKUP(K132,Referencias!$H$7:$I$9,2,FALSE),"")</f>
        <v>Zoom</v>
      </c>
      <c r="M132" s="203">
        <v>260</v>
      </c>
      <c r="N132" s="138">
        <v>633.85</v>
      </c>
      <c r="O132" s="20">
        <f t="shared" si="5"/>
        <v>164801</v>
      </c>
      <c r="P132" s="21">
        <f t="shared" si="7"/>
        <v>940551</v>
      </c>
      <c r="R132" s="112">
        <v>0</v>
      </c>
      <c r="S132" s="136">
        <v>0</v>
      </c>
      <c r="T132" s="113">
        <f t="shared" si="8"/>
        <v>107</v>
      </c>
      <c r="U132" s="132"/>
    </row>
    <row r="133" spans="2:21" x14ac:dyDescent="0.25">
      <c r="B133" s="23">
        <v>45951</v>
      </c>
      <c r="C133" s="91">
        <v>2</v>
      </c>
      <c r="D133" s="18" t="str">
        <f>IFERROR(VLOOKUP(Trabajos!C133,Referencias!$E$7:$F$30,2,FALSE),"")</f>
        <v>Monitoreo de bb y bab</v>
      </c>
      <c r="E133" s="91">
        <v>33</v>
      </c>
      <c r="F133" s="18" t="str">
        <f>IFERROR(VLOOKUP(Trabajos!$E133,Clientes,2,FALSE),"")</f>
        <v>Espartina S.A.</v>
      </c>
      <c r="G133" s="91" t="s">
        <v>414</v>
      </c>
      <c r="H133" s="142">
        <v>108</v>
      </c>
      <c r="I133" s="138">
        <v>3262.5</v>
      </c>
      <c r="J133" s="19">
        <f t="shared" si="4"/>
        <v>352350</v>
      </c>
      <c r="K133" s="26">
        <v>3</v>
      </c>
      <c r="L133" s="19" t="str">
        <f>IFERROR(VLOOKUP(K133,Referencias!$H$7:$I$9,2,FALSE),"")</f>
        <v>Zoom</v>
      </c>
      <c r="M133" s="203">
        <v>92</v>
      </c>
      <c r="N133" s="138">
        <v>633.85</v>
      </c>
      <c r="O133" s="20">
        <f t="shared" si="5"/>
        <v>58314.200000000004</v>
      </c>
      <c r="P133" s="21">
        <f t="shared" si="7"/>
        <v>410664.2</v>
      </c>
      <c r="R133" s="112">
        <v>0</v>
      </c>
      <c r="S133" s="112">
        <v>0</v>
      </c>
      <c r="T133" s="113">
        <f t="shared" si="8"/>
        <v>108</v>
      </c>
      <c r="U133" s="132"/>
    </row>
    <row r="134" spans="2:21" x14ac:dyDescent="0.25">
      <c r="B134" s="23">
        <v>45951</v>
      </c>
      <c r="C134" s="91">
        <v>2</v>
      </c>
      <c r="D134" s="18" t="str">
        <f>IFERROR(VLOOKUP(Trabajos!C134,Referencias!$E$7:$F$30,2,FALSE),"")</f>
        <v>Monitoreo de bb y bab</v>
      </c>
      <c r="E134" s="91">
        <v>33</v>
      </c>
      <c r="F134" s="18" t="str">
        <f>IFERROR(VLOOKUP(Trabajos!$E134,Clientes,2,FALSE),"")</f>
        <v>Espartina S.A.</v>
      </c>
      <c r="G134" s="91" t="s">
        <v>349</v>
      </c>
      <c r="H134" s="142">
        <v>88</v>
      </c>
      <c r="I134" s="138">
        <v>3262.5</v>
      </c>
      <c r="J134" s="19">
        <f t="shared" si="4"/>
        <v>287100</v>
      </c>
      <c r="K134" s="26">
        <v>3</v>
      </c>
      <c r="L134" s="19" t="str">
        <f>IFERROR(VLOOKUP(K134,Referencias!$H$7:$I$9,2,FALSE),"")</f>
        <v>Zoom</v>
      </c>
      <c r="M134" s="203">
        <v>92</v>
      </c>
      <c r="N134" s="138">
        <v>633.85</v>
      </c>
      <c r="O134" s="20">
        <f t="shared" si="5"/>
        <v>58314.200000000004</v>
      </c>
      <c r="P134" s="21">
        <f t="shared" si="7"/>
        <v>345414.2</v>
      </c>
      <c r="R134" s="112">
        <v>0</v>
      </c>
      <c r="S134" s="112">
        <v>0</v>
      </c>
      <c r="T134" s="113">
        <f t="shared" si="8"/>
        <v>88</v>
      </c>
      <c r="U134" s="132"/>
    </row>
    <row r="135" spans="2:21" x14ac:dyDescent="0.25">
      <c r="B135" s="23">
        <v>45951</v>
      </c>
      <c r="C135" s="91">
        <v>2</v>
      </c>
      <c r="D135" s="18" t="str">
        <f>IFERROR(VLOOKUP(Trabajos!C135,Referencias!$E$7:$F$30,2,FALSE),"")</f>
        <v>Monitoreo de bb y bab</v>
      </c>
      <c r="E135" s="91">
        <v>33</v>
      </c>
      <c r="F135" s="18" t="str">
        <f>IFERROR(VLOOKUP(Trabajos!$E135,Clientes,2,FALSE),"")</f>
        <v>Espartina S.A.</v>
      </c>
      <c r="G135" s="91" t="s">
        <v>350</v>
      </c>
      <c r="H135" s="142">
        <v>73</v>
      </c>
      <c r="I135" s="138">
        <v>3262.5</v>
      </c>
      <c r="J135" s="19">
        <f t="shared" si="4"/>
        <v>238162.5</v>
      </c>
      <c r="K135" s="26">
        <v>3</v>
      </c>
      <c r="L135" s="19" t="str">
        <f>IFERROR(VLOOKUP(K135,Referencias!$H$7:$I$9,2,FALSE),"")</f>
        <v>Zoom</v>
      </c>
      <c r="M135" s="203">
        <v>82</v>
      </c>
      <c r="N135" s="138">
        <v>633.85</v>
      </c>
      <c r="O135" s="20">
        <f t="shared" si="5"/>
        <v>51975.700000000004</v>
      </c>
      <c r="P135" s="21">
        <f t="shared" si="7"/>
        <v>290138.2</v>
      </c>
      <c r="R135" s="112">
        <v>0</v>
      </c>
      <c r="S135" s="112">
        <v>0</v>
      </c>
      <c r="T135" s="113">
        <f t="shared" si="8"/>
        <v>73</v>
      </c>
      <c r="U135" s="132"/>
    </row>
    <row r="136" spans="2:21" x14ac:dyDescent="0.25">
      <c r="B136" s="23">
        <v>45951</v>
      </c>
      <c r="C136" s="91">
        <v>2</v>
      </c>
      <c r="D136" s="18" t="str">
        <f>IFERROR(VLOOKUP(Trabajos!C136,Referencias!$E$7:$F$30,2,FALSE),"")</f>
        <v>Monitoreo de bb y bab</v>
      </c>
      <c r="E136" s="91">
        <v>33</v>
      </c>
      <c r="F136" s="18" t="str">
        <f>IFERROR(VLOOKUP(Trabajos!$E136,Clientes,2,FALSE),"")</f>
        <v>Espartina S.A.</v>
      </c>
      <c r="G136" s="91" t="s">
        <v>351</v>
      </c>
      <c r="H136" s="142">
        <v>184</v>
      </c>
      <c r="I136" s="138">
        <v>3262.5</v>
      </c>
      <c r="J136" s="19">
        <f t="shared" si="4"/>
        <v>600300</v>
      </c>
      <c r="K136" s="26">
        <v>3</v>
      </c>
      <c r="L136" s="19" t="str">
        <f>IFERROR(VLOOKUP(K136,Referencias!$H$7:$I$9,2,FALSE),"")</f>
        <v>Zoom</v>
      </c>
      <c r="M136" s="203">
        <v>82</v>
      </c>
      <c r="N136" s="138">
        <v>633.85</v>
      </c>
      <c r="O136" s="20">
        <f t="shared" si="5"/>
        <v>51975.700000000004</v>
      </c>
      <c r="P136" s="21">
        <f t="shared" si="7"/>
        <v>652275.69999999995</v>
      </c>
      <c r="Q136" s="22" t="s">
        <v>4</v>
      </c>
      <c r="R136" s="112">
        <v>0</v>
      </c>
      <c r="S136" s="112">
        <v>0</v>
      </c>
      <c r="T136" s="113">
        <f t="shared" si="8"/>
        <v>184</v>
      </c>
      <c r="U136" s="132"/>
    </row>
    <row r="137" spans="2:21" x14ac:dyDescent="0.25">
      <c r="B137" s="23">
        <v>45953</v>
      </c>
      <c r="C137" s="91">
        <v>2</v>
      </c>
      <c r="D137" s="18" t="str">
        <f>IFERROR(VLOOKUP(Trabajos!C137,Referencias!$E$7:$F$30,2,FALSE),"")</f>
        <v>Monitoreo de bb y bab</v>
      </c>
      <c r="E137" s="91">
        <v>118</v>
      </c>
      <c r="F137" s="18" t="str">
        <f>IFERROR(VLOOKUP(Trabajos!$E137,Clientes,2,FALSE),"")</f>
        <v>Juan Ignacio Franco</v>
      </c>
      <c r="G137" s="91" t="s">
        <v>353</v>
      </c>
      <c r="H137" s="119">
        <v>59</v>
      </c>
      <c r="I137" s="138">
        <v>3467.5</v>
      </c>
      <c r="J137" s="19">
        <f t="shared" si="4"/>
        <v>204582.5</v>
      </c>
      <c r="K137" s="26">
        <v>3</v>
      </c>
      <c r="L137" s="19" t="str">
        <f>IFERROR(VLOOKUP(K137,Referencias!$H$7:$I$9,2,FALSE),"")</f>
        <v>Zoom</v>
      </c>
      <c r="M137" s="203">
        <v>42</v>
      </c>
      <c r="N137" s="152">
        <v>650</v>
      </c>
      <c r="O137" s="20">
        <f t="shared" si="5"/>
        <v>27300</v>
      </c>
      <c r="P137" s="21">
        <f t="shared" si="7"/>
        <v>231882.5</v>
      </c>
      <c r="R137" s="112">
        <v>0</v>
      </c>
      <c r="S137" s="112">
        <v>0</v>
      </c>
      <c r="T137" s="113">
        <f t="shared" si="8"/>
        <v>59</v>
      </c>
      <c r="U137" s="132"/>
    </row>
    <row r="138" spans="2:21" x14ac:dyDescent="0.25">
      <c r="B138" s="23">
        <v>45953</v>
      </c>
      <c r="C138" s="91">
        <v>2</v>
      </c>
      <c r="D138" s="18" t="str">
        <f>IFERROR(VLOOKUP(Trabajos!C138,Referencias!$E$7:$F$30,2,FALSE),"")</f>
        <v>Monitoreo de bb y bab</v>
      </c>
      <c r="E138" s="91">
        <v>72</v>
      </c>
      <c r="F138" s="18" t="str">
        <f>IFERROR(VLOOKUP(Trabajos!$E138,Clientes,2,FALSE),"")</f>
        <v>La Mylucha</v>
      </c>
      <c r="G138" s="91" t="s">
        <v>170</v>
      </c>
      <c r="H138" s="119">
        <v>75</v>
      </c>
      <c r="I138" s="152">
        <v>3628.75</v>
      </c>
      <c r="J138" s="19">
        <f t="shared" si="4"/>
        <v>272156.25</v>
      </c>
      <c r="K138" s="26">
        <v>3</v>
      </c>
      <c r="L138" s="19" t="str">
        <f>IFERROR(VLOOKUP(K138,Referencias!$H$7:$I$9,2,FALSE),"")</f>
        <v>Zoom</v>
      </c>
      <c r="M138" s="203">
        <v>40</v>
      </c>
      <c r="N138" s="152">
        <v>650</v>
      </c>
      <c r="O138" s="20">
        <f t="shared" si="5"/>
        <v>26000</v>
      </c>
      <c r="P138" s="21">
        <f t="shared" si="7"/>
        <v>298156.25</v>
      </c>
      <c r="R138" s="112">
        <v>0</v>
      </c>
      <c r="S138" s="112">
        <v>0</v>
      </c>
      <c r="T138" s="113">
        <f t="shared" si="8"/>
        <v>75</v>
      </c>
      <c r="U138" s="132"/>
    </row>
    <row r="139" spans="2:21" x14ac:dyDescent="0.25">
      <c r="B139" s="23">
        <v>45953</v>
      </c>
      <c r="C139" s="91">
        <v>3</v>
      </c>
      <c r="D139" s="18" t="str">
        <f>IFERROR(VLOOKUP(Trabajos!C139,Referencias!$E$7:$F$30,2,FALSE),"")</f>
        <v>Aplicación de cebos</v>
      </c>
      <c r="E139" s="91">
        <v>33</v>
      </c>
      <c r="F139" s="18" t="str">
        <f>IFERROR(VLOOKUP(Trabajos!$E139,Clientes,2,FALSE),"")</f>
        <v>Espartina S.A.</v>
      </c>
      <c r="G139" s="91" t="s">
        <v>326</v>
      </c>
      <c r="H139" s="142">
        <v>113</v>
      </c>
      <c r="I139" s="138">
        <v>7267.5</v>
      </c>
      <c r="J139" s="19">
        <f t="shared" si="4"/>
        <v>821227.5</v>
      </c>
      <c r="K139" s="26">
        <v>3</v>
      </c>
      <c r="L139" s="19" t="str">
        <f>IFERROR(VLOOKUP(K139,Referencias!$H$7:$I$9,2,FALSE),"")</f>
        <v>Zoom</v>
      </c>
      <c r="M139" s="203">
        <v>176</v>
      </c>
      <c r="N139" s="152">
        <v>633.85</v>
      </c>
      <c r="O139" s="20">
        <f t="shared" si="5"/>
        <v>111557.6</v>
      </c>
      <c r="P139" s="21">
        <f t="shared" si="7"/>
        <v>932785.1</v>
      </c>
      <c r="R139" s="112">
        <v>0</v>
      </c>
      <c r="S139" s="112">
        <v>0</v>
      </c>
      <c r="T139" s="113">
        <f t="shared" si="8"/>
        <v>113</v>
      </c>
      <c r="U139" s="132"/>
    </row>
    <row r="140" spans="2:21" x14ac:dyDescent="0.25">
      <c r="B140" s="23">
        <v>45956</v>
      </c>
      <c r="C140" s="91">
        <v>2</v>
      </c>
      <c r="D140" s="18" t="str">
        <f>IFERROR(VLOOKUP(Trabajos!C140,Referencias!$E$7:$F$30,2,FALSE),"")</f>
        <v>Monitoreo de bb y bab</v>
      </c>
      <c r="E140" s="91">
        <v>33</v>
      </c>
      <c r="F140" s="18" t="str">
        <f>IFERROR(VLOOKUP(Trabajos!$E140,Clientes,2,FALSE),"")</f>
        <v>Espartina S.A.</v>
      </c>
      <c r="G140" s="91" t="s">
        <v>360</v>
      </c>
      <c r="H140" s="142">
        <v>155</v>
      </c>
      <c r="I140" s="138">
        <v>3270.37</v>
      </c>
      <c r="J140" s="19">
        <f t="shared" si="4"/>
        <v>506907.35</v>
      </c>
      <c r="K140" s="26">
        <v>3</v>
      </c>
      <c r="L140" s="19" t="str">
        <f>IFERROR(VLOOKUP(K140,Referencias!$H$7:$I$9,2,FALSE),"")</f>
        <v>Zoom</v>
      </c>
      <c r="M140" s="143">
        <v>50</v>
      </c>
      <c r="N140" s="152">
        <v>633.85</v>
      </c>
      <c r="O140" s="20">
        <f t="shared" si="5"/>
        <v>31692.5</v>
      </c>
      <c r="P140" s="21">
        <f t="shared" si="7"/>
        <v>538599.85</v>
      </c>
      <c r="R140" s="112">
        <v>0</v>
      </c>
      <c r="S140" s="112">
        <v>0</v>
      </c>
      <c r="T140" s="113">
        <f t="shared" si="8"/>
        <v>155</v>
      </c>
      <c r="U140" s="132"/>
    </row>
    <row r="141" spans="2:21" x14ac:dyDescent="0.25">
      <c r="B141" s="23">
        <v>45957</v>
      </c>
      <c r="C141" s="91">
        <v>3</v>
      </c>
      <c r="D141" s="18" t="str">
        <f>IFERROR(VLOOKUP(Trabajos!C141,Referencias!$E$7:$F$30,2,FALSE),"")</f>
        <v>Aplicación de cebos</v>
      </c>
      <c r="E141" s="91">
        <v>119</v>
      </c>
      <c r="F141" s="18" t="str">
        <f>IFERROR(VLOOKUP(Trabajos!$E141,Clientes,2,FALSE),"")</f>
        <v>Juan Rodriguez Rivas</v>
      </c>
      <c r="G141" s="91" t="s">
        <v>311</v>
      </c>
      <c r="H141" s="119">
        <v>100</v>
      </c>
      <c r="I141" s="138">
        <v>7032.5</v>
      </c>
      <c r="J141" s="19">
        <f t="shared" si="4"/>
        <v>703250</v>
      </c>
      <c r="K141" s="26">
        <v>2</v>
      </c>
      <c r="L141" s="19" t="str">
        <f>IFERROR(VLOOKUP(K141,Referencias!$H$7:$I$9,2,FALSE),"")</f>
        <v>Paco</v>
      </c>
      <c r="M141" s="143">
        <v>262</v>
      </c>
      <c r="N141" s="152">
        <v>650</v>
      </c>
      <c r="O141" s="20">
        <f t="shared" si="5"/>
        <v>170300</v>
      </c>
      <c r="P141" s="21">
        <f t="shared" si="7"/>
        <v>873550</v>
      </c>
      <c r="R141" s="112">
        <v>80</v>
      </c>
      <c r="S141" s="112">
        <v>0</v>
      </c>
      <c r="T141" s="113">
        <f t="shared" si="8"/>
        <v>20</v>
      </c>
      <c r="U141" s="132"/>
    </row>
    <row r="142" spans="2:21" x14ac:dyDescent="0.25">
      <c r="B142" s="23">
        <v>45957</v>
      </c>
      <c r="C142" s="91">
        <v>3</v>
      </c>
      <c r="D142" s="18" t="str">
        <f>IFERROR(VLOOKUP(Trabajos!C142,Referencias!$E$7:$F$30,2,FALSE),"")</f>
        <v>Aplicación de cebos</v>
      </c>
      <c r="E142" s="91">
        <v>6</v>
      </c>
      <c r="F142" s="18" t="str">
        <f>IFERROR(VLOOKUP(Trabajos!$E142,Clientes,2,FALSE),"")</f>
        <v>La Nany S.A.</v>
      </c>
      <c r="G142" s="91" t="s">
        <v>322</v>
      </c>
      <c r="H142" s="142">
        <v>195</v>
      </c>
      <c r="I142" s="138">
        <v>7237.5</v>
      </c>
      <c r="J142" s="19">
        <f t="shared" si="4"/>
        <v>1411312.5</v>
      </c>
      <c r="K142" s="26">
        <v>1</v>
      </c>
      <c r="L142" s="19" t="str">
        <f>IFERROR(VLOOKUP(K142,Referencias!$H$7:$I$9,2,FALSE),"")</f>
        <v>Tomas</v>
      </c>
      <c r="M142" s="143">
        <v>104</v>
      </c>
      <c r="N142" s="152">
        <v>650</v>
      </c>
      <c r="O142" s="20">
        <f t="shared" si="5"/>
        <v>67600</v>
      </c>
      <c r="P142" s="21">
        <f t="shared" si="7"/>
        <v>1478912.5</v>
      </c>
      <c r="R142" s="112">
        <v>0</v>
      </c>
      <c r="S142" s="112">
        <v>80</v>
      </c>
      <c r="T142" s="113">
        <f t="shared" si="8"/>
        <v>115</v>
      </c>
      <c r="U142" s="132"/>
    </row>
    <row r="143" spans="2:21" x14ac:dyDescent="0.25">
      <c r="B143" s="23">
        <v>45957</v>
      </c>
      <c r="C143" s="91">
        <v>2</v>
      </c>
      <c r="D143" s="18" t="str">
        <f>IFERROR(VLOOKUP(Trabajos!C143,Referencias!$E$7:$F$30,2,FALSE),"")</f>
        <v>Monitoreo de bb y bab</v>
      </c>
      <c r="E143" s="91">
        <v>119</v>
      </c>
      <c r="F143" s="18" t="str">
        <f>IFERROR(VLOOKUP(Trabajos!$E143,Clientes,2,FALSE),"")</f>
        <v>Juan Rodriguez Rivas</v>
      </c>
      <c r="G143" s="91" t="s">
        <v>361</v>
      </c>
      <c r="H143" s="142">
        <v>365</v>
      </c>
      <c r="I143" s="138">
        <v>3516.25</v>
      </c>
      <c r="J143" s="19">
        <f t="shared" si="4"/>
        <v>1283431.25</v>
      </c>
      <c r="K143" s="26">
        <v>3</v>
      </c>
      <c r="L143" s="19" t="str">
        <f>IFERROR(VLOOKUP(K143,Referencias!$H$7:$I$9,2,FALSE),"")</f>
        <v>Zoom</v>
      </c>
      <c r="M143" s="143">
        <v>246</v>
      </c>
      <c r="N143" s="152">
        <v>650</v>
      </c>
      <c r="O143" s="20">
        <f t="shared" si="5"/>
        <v>159900</v>
      </c>
      <c r="P143" s="21">
        <f t="shared" si="7"/>
        <v>1443331.25</v>
      </c>
      <c r="R143" s="112">
        <v>0</v>
      </c>
      <c r="S143" s="112">
        <v>0</v>
      </c>
      <c r="T143" s="113">
        <f t="shared" si="8"/>
        <v>365</v>
      </c>
      <c r="U143" s="132"/>
    </row>
    <row r="144" spans="2:21" x14ac:dyDescent="0.25">
      <c r="B144" s="23">
        <v>45957</v>
      </c>
      <c r="C144" s="91">
        <v>3</v>
      </c>
      <c r="D144" s="18" t="str">
        <f>IFERROR(VLOOKUP(Trabajos!C144,Referencias!$E$7:$F$30,2,FALSE),"")</f>
        <v>Aplicación de cebos</v>
      </c>
      <c r="E144" s="91">
        <v>33</v>
      </c>
      <c r="F144" s="18" t="str">
        <f>IFERROR(VLOOKUP(Trabajos!$E144,Clientes,2,FALSE),"")</f>
        <v>Espartina S.A.</v>
      </c>
      <c r="G144" s="91" t="s">
        <v>250</v>
      </c>
      <c r="H144" s="142">
        <v>65</v>
      </c>
      <c r="I144" s="138">
        <v>7250</v>
      </c>
      <c r="J144" s="19">
        <f t="shared" si="4"/>
        <v>471250</v>
      </c>
      <c r="K144" s="26">
        <v>3</v>
      </c>
      <c r="L144" s="19" t="str">
        <f>IFERROR(VLOOKUP(K144,Referencias!$H$7:$I$9,2,FALSE),"")</f>
        <v>Zoom</v>
      </c>
      <c r="M144" s="143">
        <v>212</v>
      </c>
      <c r="N144" s="138">
        <v>633.85</v>
      </c>
      <c r="O144" s="20">
        <f t="shared" si="5"/>
        <v>134376.20000000001</v>
      </c>
      <c r="P144" s="21">
        <f t="shared" si="7"/>
        <v>605626.19999999995</v>
      </c>
      <c r="R144" s="112">
        <v>0</v>
      </c>
      <c r="S144" s="112">
        <v>0</v>
      </c>
      <c r="T144" s="113">
        <f t="shared" si="8"/>
        <v>65</v>
      </c>
      <c r="U144" s="132"/>
    </row>
    <row r="145" spans="1:21" x14ac:dyDescent="0.25">
      <c r="B145" s="23">
        <v>45958</v>
      </c>
      <c r="C145" s="91">
        <v>3</v>
      </c>
      <c r="D145" s="18" t="str">
        <f>IFERROR(VLOOKUP(Trabajos!C145,Referencias!$E$7:$F$30,2,FALSE),"")</f>
        <v>Aplicación de cebos</v>
      </c>
      <c r="E145" s="91">
        <v>33</v>
      </c>
      <c r="F145" s="18" t="str">
        <f>IFERROR(VLOOKUP(Trabajos!$E145,Clientes,2,FALSE),"")</f>
        <v>Espartina S.A.</v>
      </c>
      <c r="G145" s="91" t="s">
        <v>318</v>
      </c>
      <c r="H145" s="142">
        <v>126</v>
      </c>
      <c r="I145" s="138">
        <v>7250</v>
      </c>
      <c r="J145" s="19">
        <f t="shared" si="4"/>
        <v>913500</v>
      </c>
      <c r="K145" s="26">
        <v>2</v>
      </c>
      <c r="L145" s="19" t="str">
        <f>IFERROR(VLOOKUP(K145,Referencias!$H$7:$I$9,2,FALSE),"")</f>
        <v>Paco</v>
      </c>
      <c r="M145" s="143">
        <v>208</v>
      </c>
      <c r="N145" s="138">
        <v>633.85</v>
      </c>
      <c r="O145" s="20">
        <f t="shared" si="5"/>
        <v>131840.80000000002</v>
      </c>
      <c r="P145" s="21">
        <f t="shared" si="7"/>
        <v>1045340.8</v>
      </c>
      <c r="Q145" s="22" t="s">
        <v>4</v>
      </c>
      <c r="R145" s="112">
        <v>80</v>
      </c>
      <c r="S145" s="112">
        <v>0</v>
      </c>
      <c r="T145" s="113">
        <f t="shared" si="8"/>
        <v>46</v>
      </c>
      <c r="U145" s="132"/>
    </row>
    <row r="146" spans="1:21" x14ac:dyDescent="0.25">
      <c r="B146" s="23">
        <v>45958</v>
      </c>
      <c r="C146" s="91">
        <v>3</v>
      </c>
      <c r="D146" s="18" t="str">
        <f>IFERROR(VLOOKUP(Trabajos!C146,Referencias!$E$7:$F$30,2,FALSE),"")</f>
        <v>Aplicación de cebos</v>
      </c>
      <c r="E146" s="91">
        <v>33</v>
      </c>
      <c r="F146" s="18" t="str">
        <f>IFERROR(VLOOKUP(Trabajos!$E146,Clientes,2,FALSE),"")</f>
        <v>Espartina S.A.</v>
      </c>
      <c r="G146" s="91" t="s">
        <v>266</v>
      </c>
      <c r="H146" s="142">
        <v>112</v>
      </c>
      <c r="I146" s="138">
        <v>7267.5</v>
      </c>
      <c r="J146" s="19">
        <f t="shared" si="4"/>
        <v>813960</v>
      </c>
      <c r="K146" s="26">
        <v>1</v>
      </c>
      <c r="L146" s="19" t="str">
        <f>IFERROR(VLOOKUP(K146,Referencias!$H$7:$I$9,2,FALSE),"")</f>
        <v>Tomas</v>
      </c>
      <c r="M146" s="143">
        <v>164</v>
      </c>
      <c r="N146" s="152">
        <v>633.85</v>
      </c>
      <c r="O146" s="20">
        <f t="shared" si="5"/>
        <v>103951.40000000001</v>
      </c>
      <c r="P146" s="21">
        <f t="shared" si="7"/>
        <v>917911.4</v>
      </c>
      <c r="R146" s="112">
        <v>0</v>
      </c>
      <c r="S146" s="112">
        <v>80</v>
      </c>
      <c r="T146" s="113">
        <f t="shared" si="8"/>
        <v>32</v>
      </c>
      <c r="U146" s="132"/>
    </row>
    <row r="147" spans="1:21" x14ac:dyDescent="0.25">
      <c r="B147" s="23">
        <v>45957</v>
      </c>
      <c r="C147" s="91">
        <v>2</v>
      </c>
      <c r="D147" s="18" t="str">
        <f>IFERROR(VLOOKUP(Trabajos!C147,Referencias!$E$7:$F$30,2,FALSE),"")</f>
        <v>Monitoreo de bb y bab</v>
      </c>
      <c r="E147" s="91">
        <v>33</v>
      </c>
      <c r="F147" s="18" t="str">
        <f>IFERROR(VLOOKUP(Trabajos!$E147,Clientes,2,FALSE),"")</f>
        <v>Espartina S.A.</v>
      </c>
      <c r="G147" s="91" t="s">
        <v>360</v>
      </c>
      <c r="H147" s="142">
        <v>204</v>
      </c>
      <c r="I147" s="138">
        <v>3270.37</v>
      </c>
      <c r="J147" s="19">
        <f t="shared" si="4"/>
        <v>667155.48</v>
      </c>
      <c r="K147" s="26">
        <v>3</v>
      </c>
      <c r="L147" s="19" t="str">
        <f>IFERROR(VLOOKUP(K147,Referencias!$H$7:$I$9,2,FALSE),"")</f>
        <v>Zoom</v>
      </c>
      <c r="M147" s="143">
        <v>50</v>
      </c>
      <c r="N147" s="152">
        <v>633.85</v>
      </c>
      <c r="O147" s="20">
        <f t="shared" si="5"/>
        <v>31692.5</v>
      </c>
      <c r="P147" s="21">
        <f t="shared" si="7"/>
        <v>698847.98</v>
      </c>
      <c r="R147" s="112">
        <v>0</v>
      </c>
      <c r="S147" s="112">
        <v>0</v>
      </c>
      <c r="T147" s="113">
        <f t="shared" si="8"/>
        <v>204</v>
      </c>
      <c r="U147" s="132"/>
    </row>
    <row r="148" spans="1:21" x14ac:dyDescent="0.25">
      <c r="B148" s="23">
        <v>45958</v>
      </c>
      <c r="C148" s="91">
        <v>2</v>
      </c>
      <c r="D148" s="18" t="str">
        <f>IFERROR(VLOOKUP(Trabajos!C148,Referencias!$E$7:$F$30,2,FALSE),"")</f>
        <v>Monitoreo de bb y bab</v>
      </c>
      <c r="E148" s="91">
        <v>33</v>
      </c>
      <c r="F148" s="18" t="str">
        <f>IFERROR(VLOOKUP(Trabajos!$E148,Clientes,2,FALSE),"")</f>
        <v>Espartina S.A.</v>
      </c>
      <c r="G148" s="91" t="s">
        <v>292</v>
      </c>
      <c r="H148" s="142">
        <v>170</v>
      </c>
      <c r="I148" s="138">
        <v>3270.37</v>
      </c>
      <c r="J148" s="19">
        <f t="shared" si="4"/>
        <v>555962.9</v>
      </c>
      <c r="K148" s="26">
        <v>3</v>
      </c>
      <c r="L148" s="19" t="str">
        <f>IFERROR(VLOOKUP(K148,Referencias!$H$7:$I$9,2,FALSE),"")</f>
        <v>Zoom</v>
      </c>
      <c r="M148" s="143">
        <v>60</v>
      </c>
      <c r="N148" s="152">
        <v>633.85</v>
      </c>
      <c r="O148" s="20">
        <f t="shared" si="5"/>
        <v>38031</v>
      </c>
      <c r="P148" s="21">
        <f t="shared" si="7"/>
        <v>593993.9</v>
      </c>
      <c r="R148" s="112">
        <v>0</v>
      </c>
      <c r="S148" s="112">
        <v>0</v>
      </c>
      <c r="T148" s="113">
        <f t="shared" si="8"/>
        <v>170</v>
      </c>
      <c r="U148" s="132"/>
    </row>
    <row r="149" spans="1:21" x14ac:dyDescent="0.25">
      <c r="B149" s="23">
        <v>45958</v>
      </c>
      <c r="C149" s="91">
        <v>3</v>
      </c>
      <c r="D149" s="18" t="str">
        <f>IFERROR(VLOOKUP(Trabajos!C149,Referencias!$E$7:$F$30,2,FALSE),"")</f>
        <v>Aplicación de cebos</v>
      </c>
      <c r="E149" s="91">
        <v>33</v>
      </c>
      <c r="F149" s="18" t="str">
        <f>IFERROR(VLOOKUP(Trabajos!$E149,Clientes,2,FALSE),"")</f>
        <v>Espartina S.A.</v>
      </c>
      <c r="G149" s="91" t="s">
        <v>256</v>
      </c>
      <c r="H149" s="142">
        <v>57</v>
      </c>
      <c r="I149" s="138">
        <v>7267.5</v>
      </c>
      <c r="J149" s="19">
        <f t="shared" si="4"/>
        <v>414247.5</v>
      </c>
      <c r="K149" s="26">
        <v>3</v>
      </c>
      <c r="L149" s="19" t="str">
        <f>IFERROR(VLOOKUP(K149,Referencias!$H$7:$I$9,2,FALSE),"")</f>
        <v>Zoom</v>
      </c>
      <c r="M149" s="143">
        <v>156</v>
      </c>
      <c r="N149" s="152">
        <v>633.85</v>
      </c>
      <c r="O149" s="20">
        <f t="shared" si="5"/>
        <v>98880.6</v>
      </c>
      <c r="P149" s="21">
        <f t="shared" si="7"/>
        <v>513128.1</v>
      </c>
      <c r="R149" s="112">
        <v>0</v>
      </c>
      <c r="S149" s="112">
        <v>0</v>
      </c>
      <c r="T149" s="113">
        <f t="shared" si="8"/>
        <v>57</v>
      </c>
      <c r="U149" s="132"/>
    </row>
    <row r="150" spans="1:21" x14ac:dyDescent="0.25">
      <c r="B150" s="23">
        <v>45959</v>
      </c>
      <c r="C150" s="91">
        <v>2</v>
      </c>
      <c r="D150" s="18" t="str">
        <f>IFERROR(VLOOKUP(Trabajos!C150,Referencias!$E$7:$F$30,2,FALSE),"")</f>
        <v>Monitoreo de bb y bab</v>
      </c>
      <c r="E150" s="91">
        <v>33</v>
      </c>
      <c r="F150" s="18" t="str">
        <f>IFERROR(VLOOKUP(Trabajos!$E150,Clientes,2,FALSE),"")</f>
        <v>Espartina S.A.</v>
      </c>
      <c r="G150" s="91" t="s">
        <v>366</v>
      </c>
      <c r="H150" s="142">
        <v>174</v>
      </c>
      <c r="I150" s="138">
        <v>3262.5</v>
      </c>
      <c r="J150" s="19">
        <f t="shared" si="4"/>
        <v>567675</v>
      </c>
      <c r="K150" s="26">
        <v>2</v>
      </c>
      <c r="L150" s="19" t="str">
        <f>IFERROR(VLOOKUP(K150,Referencias!$H$7:$I$9,2,FALSE),"")</f>
        <v>Paco</v>
      </c>
      <c r="M150" s="143">
        <v>208</v>
      </c>
      <c r="N150" s="138">
        <v>633.85</v>
      </c>
      <c r="O150" s="20">
        <f t="shared" si="5"/>
        <v>131840.80000000002</v>
      </c>
      <c r="P150" s="21">
        <f t="shared" si="7"/>
        <v>699515.8</v>
      </c>
      <c r="R150" s="112">
        <v>44</v>
      </c>
      <c r="S150" s="112">
        <v>0</v>
      </c>
      <c r="T150" s="113">
        <f t="shared" si="8"/>
        <v>130</v>
      </c>
      <c r="U150" s="132"/>
    </row>
    <row r="151" spans="1:21" x14ac:dyDescent="0.25">
      <c r="B151" s="23">
        <v>45959</v>
      </c>
      <c r="C151" s="91">
        <v>3</v>
      </c>
      <c r="D151" s="18" t="str">
        <f>IFERROR(VLOOKUP(Trabajos!C151,Referencias!$E$7:$F$30,2,FALSE),"")</f>
        <v>Aplicación de cebos</v>
      </c>
      <c r="E151" s="91">
        <v>33</v>
      </c>
      <c r="F151" s="18" t="str">
        <f>IFERROR(VLOOKUP(Trabajos!$E151,Clientes,2,FALSE),"")</f>
        <v>Espartina S.A.</v>
      </c>
      <c r="G151" s="91" t="s">
        <v>308</v>
      </c>
      <c r="H151" s="142">
        <v>110</v>
      </c>
      <c r="I151" s="138">
        <v>7250</v>
      </c>
      <c r="J151" s="19">
        <f t="shared" si="4"/>
        <v>797500</v>
      </c>
      <c r="K151" s="26">
        <v>2</v>
      </c>
      <c r="L151" s="19" t="str">
        <f>IFERROR(VLOOKUP(K151,Referencias!$H$7:$I$9,2,FALSE),"")</f>
        <v>Paco</v>
      </c>
      <c r="M151" s="143">
        <v>186</v>
      </c>
      <c r="N151" s="138">
        <v>633.85</v>
      </c>
      <c r="O151" s="20">
        <f t="shared" si="5"/>
        <v>117896.1</v>
      </c>
      <c r="P151" s="21">
        <f t="shared" si="7"/>
        <v>915396.1</v>
      </c>
      <c r="R151" s="112">
        <v>80</v>
      </c>
      <c r="S151" s="112">
        <v>0</v>
      </c>
      <c r="T151" s="113">
        <f t="shared" si="8"/>
        <v>30</v>
      </c>
      <c r="U151" s="132"/>
    </row>
    <row r="152" spans="1:21" x14ac:dyDescent="0.25">
      <c r="B152" s="23">
        <v>45959</v>
      </c>
      <c r="C152" s="91">
        <v>3</v>
      </c>
      <c r="D152" s="18" t="str">
        <f>IFERROR(VLOOKUP(Trabajos!C152,Referencias!$E$7:$F$30,2,FALSE),"")</f>
        <v>Aplicación de cebos</v>
      </c>
      <c r="E152" s="91">
        <v>120</v>
      </c>
      <c r="F152" s="18" t="str">
        <f>IFERROR(VLOOKUP(Trabajos!$E152,Clientes,2,FALSE),"")</f>
        <v xml:space="preserve">EDM </v>
      </c>
      <c r="G152" s="91" t="s">
        <v>370</v>
      </c>
      <c r="H152" s="142">
        <v>4</v>
      </c>
      <c r="I152" s="138">
        <v>7250</v>
      </c>
      <c r="J152" s="19">
        <f t="shared" si="4"/>
        <v>29000</v>
      </c>
      <c r="K152" s="26">
        <v>1</v>
      </c>
      <c r="L152" s="19" t="str">
        <f>IFERROR(VLOOKUP(K152,Referencias!$H$7:$I$9,2,FALSE),"")</f>
        <v>Tomas</v>
      </c>
      <c r="M152" s="143">
        <v>10</v>
      </c>
      <c r="N152" s="152">
        <v>650</v>
      </c>
      <c r="O152" s="20">
        <f t="shared" si="5"/>
        <v>6500</v>
      </c>
      <c r="P152" s="21">
        <f t="shared" si="7"/>
        <v>35500</v>
      </c>
      <c r="R152" s="112">
        <v>0</v>
      </c>
      <c r="S152" s="112">
        <v>4</v>
      </c>
      <c r="T152" s="113">
        <f t="shared" si="8"/>
        <v>0</v>
      </c>
      <c r="U152" s="132"/>
    </row>
    <row r="153" spans="1:21" x14ac:dyDescent="0.25">
      <c r="B153" s="23">
        <v>45959</v>
      </c>
      <c r="C153" s="91">
        <v>3</v>
      </c>
      <c r="D153" s="18" t="str">
        <f>IFERROR(VLOOKUP(Trabajos!C153,Referencias!$E$7:$F$30,2,FALSE),"")</f>
        <v>Aplicación de cebos</v>
      </c>
      <c r="E153" s="91">
        <v>121</v>
      </c>
      <c r="F153" s="18" t="str">
        <f>IFERROR(VLOOKUP(Trabajos!$E153,Clientes,2,FALSE),"")</f>
        <v>Ignacio Loscalzo</v>
      </c>
      <c r="G153" s="91" t="s">
        <v>370</v>
      </c>
      <c r="H153" s="142">
        <v>35</v>
      </c>
      <c r="I153" s="138">
        <v>6935</v>
      </c>
      <c r="J153" s="19">
        <f t="shared" si="4"/>
        <v>242725</v>
      </c>
      <c r="K153" s="26">
        <v>1</v>
      </c>
      <c r="L153" s="19" t="str">
        <f>IFERROR(VLOOKUP(K153,Referencias!$H$7:$I$9,2,FALSE),"")</f>
        <v>Tomas</v>
      </c>
      <c r="M153" s="143">
        <v>0</v>
      </c>
      <c r="N153" s="152">
        <v>650</v>
      </c>
      <c r="O153" s="20">
        <f t="shared" si="5"/>
        <v>0</v>
      </c>
      <c r="P153" s="21">
        <f t="shared" si="7"/>
        <v>242725</v>
      </c>
      <c r="R153" s="112">
        <v>0</v>
      </c>
      <c r="S153" s="112">
        <v>35</v>
      </c>
      <c r="T153" s="113">
        <f t="shared" si="8"/>
        <v>0</v>
      </c>
      <c r="U153" s="132"/>
    </row>
    <row r="154" spans="1:21" x14ac:dyDescent="0.25">
      <c r="B154" s="23">
        <v>45959</v>
      </c>
      <c r="C154" s="91">
        <v>3</v>
      </c>
      <c r="D154" s="18" t="str">
        <f>IFERROR(VLOOKUP(Trabajos!C154,Referencias!$E$7:$F$30,2,FALSE),"")</f>
        <v>Aplicación de cebos</v>
      </c>
      <c r="E154" s="91">
        <v>118</v>
      </c>
      <c r="F154" s="18" t="str">
        <f>IFERROR(VLOOKUP(Trabajos!$E154,Clientes,2,FALSE),"")</f>
        <v>Juan Ignacio Franco</v>
      </c>
      <c r="G154" s="91" t="s">
        <v>353</v>
      </c>
      <c r="H154" s="119">
        <v>59</v>
      </c>
      <c r="I154" s="138">
        <v>6935</v>
      </c>
      <c r="J154" s="19">
        <f t="shared" si="4"/>
        <v>409165</v>
      </c>
      <c r="K154" s="26">
        <v>1</v>
      </c>
      <c r="L154" s="19" t="str">
        <f>IFERROR(VLOOKUP(K154,Referencias!$H$7:$I$9,2,FALSE),"")</f>
        <v>Tomas</v>
      </c>
      <c r="M154" s="143">
        <v>42</v>
      </c>
      <c r="N154" s="152">
        <v>650</v>
      </c>
      <c r="O154" s="20">
        <f t="shared" si="5"/>
        <v>27300</v>
      </c>
      <c r="P154" s="21">
        <f t="shared" si="7"/>
        <v>436465</v>
      </c>
      <c r="R154" s="112">
        <v>0</v>
      </c>
      <c r="S154" s="112">
        <v>41</v>
      </c>
      <c r="T154" s="113">
        <f t="shared" si="8"/>
        <v>18</v>
      </c>
      <c r="U154" s="132"/>
    </row>
    <row r="155" spans="1:21" x14ac:dyDescent="0.25">
      <c r="B155" s="23">
        <v>45959</v>
      </c>
      <c r="C155" s="91">
        <v>2</v>
      </c>
      <c r="D155" s="18" t="str">
        <f>IFERROR(VLOOKUP(Trabajos!C155,Referencias!$E$7:$F$30,2,FALSE),"")</f>
        <v>Monitoreo de bb y bab</v>
      </c>
      <c r="E155" s="91">
        <v>33</v>
      </c>
      <c r="F155" s="18" t="str">
        <f>IFERROR(VLOOKUP(Trabajos!$E155,Clientes,2,FALSE),"")</f>
        <v>Espartina S.A.</v>
      </c>
      <c r="G155" s="91" t="s">
        <v>313</v>
      </c>
      <c r="H155" s="142">
        <v>111</v>
      </c>
      <c r="I155" s="138">
        <v>3262.5</v>
      </c>
      <c r="J155" s="19">
        <f t="shared" si="4"/>
        <v>362137.5</v>
      </c>
      <c r="K155" s="26">
        <v>3</v>
      </c>
      <c r="L155" s="19" t="str">
        <f>IFERROR(VLOOKUP(K155,Referencias!$H$7:$I$9,2,FALSE),"")</f>
        <v>Zoom</v>
      </c>
      <c r="M155" s="143">
        <v>137</v>
      </c>
      <c r="N155" s="138">
        <v>633.85</v>
      </c>
      <c r="O155" s="20">
        <f t="shared" si="5"/>
        <v>86837.45</v>
      </c>
      <c r="P155" s="21">
        <f t="shared" si="7"/>
        <v>448974.95</v>
      </c>
      <c r="R155" s="112">
        <v>0</v>
      </c>
      <c r="S155" s="112">
        <v>0</v>
      </c>
      <c r="T155" s="113">
        <f t="shared" si="8"/>
        <v>111</v>
      </c>
      <c r="U155" s="132"/>
    </row>
    <row r="156" spans="1:21" x14ac:dyDescent="0.25">
      <c r="B156" s="23">
        <v>45959</v>
      </c>
      <c r="C156" s="91">
        <v>2</v>
      </c>
      <c r="D156" s="18" t="str">
        <f>IFERROR(VLOOKUP(Trabajos!C156,Referencias!$E$7:$F$30,2,FALSE),"")</f>
        <v>Monitoreo de bb y bab</v>
      </c>
      <c r="E156" s="91">
        <v>33</v>
      </c>
      <c r="F156" s="18" t="str">
        <f>IFERROR(VLOOKUP(Trabajos!$E156,Clientes,2,FALSE),"")</f>
        <v>Espartina S.A.</v>
      </c>
      <c r="G156" s="91" t="s">
        <v>372</v>
      </c>
      <c r="H156" s="142">
        <v>98</v>
      </c>
      <c r="I156" s="138">
        <v>3262.5</v>
      </c>
      <c r="J156" s="19">
        <f t="shared" si="4"/>
        <v>319725</v>
      </c>
      <c r="K156" s="26">
        <v>3</v>
      </c>
      <c r="L156" s="19" t="str">
        <f>IFERROR(VLOOKUP(K156,Referencias!$H$7:$I$9,2,FALSE),"")</f>
        <v>Zoom</v>
      </c>
      <c r="M156" s="143">
        <v>137</v>
      </c>
      <c r="N156" s="138">
        <v>633.85</v>
      </c>
      <c r="O156" s="20">
        <f t="shared" si="5"/>
        <v>86837.45</v>
      </c>
      <c r="P156" s="21">
        <f t="shared" si="7"/>
        <v>406562.45</v>
      </c>
      <c r="R156" s="112">
        <v>0</v>
      </c>
      <c r="S156" s="112">
        <v>0</v>
      </c>
      <c r="T156" s="113">
        <f t="shared" si="8"/>
        <v>98</v>
      </c>
      <c r="U156" s="132"/>
    </row>
    <row r="157" spans="1:21" x14ac:dyDescent="0.25">
      <c r="B157" s="23">
        <v>45959</v>
      </c>
      <c r="C157" s="91">
        <v>2</v>
      </c>
      <c r="D157" s="18" t="str">
        <f>IFERROR(VLOOKUP(Trabajos!C157,Referencias!$E$7:$F$30,2,FALSE),"")</f>
        <v>Monitoreo de bb y bab</v>
      </c>
      <c r="E157" s="91">
        <v>33</v>
      </c>
      <c r="F157" s="18" t="str">
        <f>IFERROR(VLOOKUP(Trabajos!$E157,Clientes,2,FALSE),"")</f>
        <v>Espartina S.A.</v>
      </c>
      <c r="G157" s="91" t="s">
        <v>289</v>
      </c>
      <c r="H157" s="142">
        <v>133</v>
      </c>
      <c r="I157" s="138">
        <v>3262.5</v>
      </c>
      <c r="J157" s="19">
        <f t="shared" si="4"/>
        <v>433912.5</v>
      </c>
      <c r="K157" s="26">
        <v>3</v>
      </c>
      <c r="L157" s="19" t="str">
        <f>IFERROR(VLOOKUP(K157,Referencias!$H$7:$I$9,2,FALSE),"")</f>
        <v>Zoom</v>
      </c>
      <c r="M157" s="143">
        <v>260</v>
      </c>
      <c r="N157" s="138">
        <v>633.85</v>
      </c>
      <c r="O157" s="20">
        <f t="shared" si="5"/>
        <v>164801</v>
      </c>
      <c r="P157" s="21">
        <f t="shared" si="7"/>
        <v>598713.5</v>
      </c>
      <c r="R157" s="112">
        <v>0</v>
      </c>
      <c r="S157" s="112">
        <v>0</v>
      </c>
      <c r="T157" s="113">
        <f t="shared" si="8"/>
        <v>133</v>
      </c>
      <c r="U157" s="132"/>
    </row>
    <row r="158" spans="1:21" x14ac:dyDescent="0.25">
      <c r="B158" s="23">
        <v>45959</v>
      </c>
      <c r="C158" s="91">
        <v>3</v>
      </c>
      <c r="D158" s="18" t="str">
        <f>IFERROR(VLOOKUP(Trabajos!C158,Referencias!$E$7:$F$30,2,FALSE),"")</f>
        <v>Aplicación de cebos</v>
      </c>
      <c r="E158" s="91">
        <v>33</v>
      </c>
      <c r="F158" s="18" t="str">
        <f>IFERROR(VLOOKUP(Trabajos!$E158,Clientes,2,FALSE),"")</f>
        <v>Espartina S.A.</v>
      </c>
      <c r="G158" s="91" t="s">
        <v>289</v>
      </c>
      <c r="H158" s="142">
        <v>137</v>
      </c>
      <c r="I158" s="138">
        <v>7250</v>
      </c>
      <c r="J158" s="19">
        <f t="shared" si="4"/>
        <v>993250</v>
      </c>
      <c r="K158" s="26">
        <v>3</v>
      </c>
      <c r="L158" s="19" t="str">
        <f>IFERROR(VLOOKUP(K158,Referencias!$H$7:$I$9,2,FALSE),"")</f>
        <v>Zoom</v>
      </c>
      <c r="M158" s="143">
        <v>260</v>
      </c>
      <c r="N158" s="138">
        <v>633.85</v>
      </c>
      <c r="O158" s="20">
        <f t="shared" si="5"/>
        <v>164801</v>
      </c>
      <c r="P158" s="21">
        <f t="shared" si="7"/>
        <v>1158051</v>
      </c>
      <c r="R158" s="112">
        <v>0</v>
      </c>
      <c r="S158" s="112">
        <v>0</v>
      </c>
      <c r="T158" s="113">
        <f t="shared" si="8"/>
        <v>137</v>
      </c>
      <c r="U158" s="132"/>
    </row>
    <row r="159" spans="1:21" x14ac:dyDescent="0.25">
      <c r="A159" s="22" t="s">
        <v>4</v>
      </c>
      <c r="B159" s="23">
        <v>45960</v>
      </c>
      <c r="C159" s="91">
        <v>3</v>
      </c>
      <c r="D159" s="18" t="str">
        <f>IFERROR(VLOOKUP(Trabajos!C159,Referencias!$E$7:$F$30,2,FALSE),"")</f>
        <v>Aplicación de cebos</v>
      </c>
      <c r="E159" s="91">
        <v>33</v>
      </c>
      <c r="F159" s="18" t="str">
        <f>IFERROR(VLOOKUP(Trabajos!$E159,Clientes,2,FALSE),"")</f>
        <v>Espartina S.A.</v>
      </c>
      <c r="G159" s="91" t="s">
        <v>313</v>
      </c>
      <c r="H159" s="142">
        <v>113</v>
      </c>
      <c r="I159" s="138">
        <v>7250</v>
      </c>
      <c r="J159" s="19">
        <f t="shared" si="4"/>
        <v>819250</v>
      </c>
      <c r="K159" s="26">
        <v>2</v>
      </c>
      <c r="L159" s="19" t="str">
        <f>IFERROR(VLOOKUP(K159,Referencias!$H$7:$I$9,2,FALSE),"")</f>
        <v>Paco</v>
      </c>
      <c r="M159" s="143">
        <v>274</v>
      </c>
      <c r="N159" s="138">
        <v>633.85</v>
      </c>
      <c r="O159" s="20">
        <f t="shared" si="5"/>
        <v>173674.9</v>
      </c>
      <c r="P159" s="21">
        <f t="shared" si="7"/>
        <v>992924.9</v>
      </c>
      <c r="R159" s="112">
        <v>80</v>
      </c>
      <c r="S159" s="112">
        <v>0</v>
      </c>
      <c r="T159" s="113">
        <f t="shared" si="8"/>
        <v>33</v>
      </c>
      <c r="U159" s="132"/>
    </row>
    <row r="160" spans="1:21" x14ac:dyDescent="0.25">
      <c r="B160" s="23">
        <v>45960</v>
      </c>
      <c r="C160" s="91">
        <v>3</v>
      </c>
      <c r="D160" s="18" t="str">
        <f>IFERROR(VLOOKUP(Trabajos!C160,Referencias!$E$7:$F$30,2,FALSE),"")</f>
        <v>Aplicación de cebos</v>
      </c>
      <c r="E160" s="91">
        <v>40</v>
      </c>
      <c r="F160" s="18" t="str">
        <f>IFERROR(VLOOKUP(Trabajos!$E160,Clientes,2,FALSE),"")</f>
        <v>Cía. de Tierras Sud Argentino S.A.</v>
      </c>
      <c r="G160" s="91" t="s">
        <v>296</v>
      </c>
      <c r="H160" s="119">
        <v>72</v>
      </c>
      <c r="I160" s="138">
        <v>7267.5</v>
      </c>
      <c r="J160" s="19">
        <f t="shared" si="4"/>
        <v>523260</v>
      </c>
      <c r="K160" s="26">
        <v>1</v>
      </c>
      <c r="L160" s="19" t="str">
        <f>IFERROR(VLOOKUP(K160,Referencias!$H$7:$I$9,2,FALSE),"")</f>
        <v>Tomas</v>
      </c>
      <c r="M160" s="143">
        <v>50</v>
      </c>
      <c r="N160" s="152">
        <v>650</v>
      </c>
      <c r="O160" s="20">
        <f t="shared" si="5"/>
        <v>32500</v>
      </c>
      <c r="P160" s="21">
        <f t="shared" si="7"/>
        <v>555760</v>
      </c>
      <c r="R160" s="112">
        <v>0</v>
      </c>
      <c r="S160" s="112">
        <v>72</v>
      </c>
      <c r="T160" s="113">
        <f t="shared" si="8"/>
        <v>0</v>
      </c>
      <c r="U160" s="132"/>
    </row>
    <row r="161" spans="2:21" x14ac:dyDescent="0.25">
      <c r="B161" s="23">
        <v>45960</v>
      </c>
      <c r="C161" s="91">
        <v>3</v>
      </c>
      <c r="D161" s="18" t="str">
        <f>IFERROR(VLOOKUP(Trabajos!C161,Referencias!$E$7:$F$30,2,FALSE),"")</f>
        <v>Aplicación de cebos</v>
      </c>
      <c r="E161" s="91">
        <v>33</v>
      </c>
      <c r="F161" s="18" t="str">
        <f>IFERROR(VLOOKUP(Trabajos!$E161,Clientes,2,FALSE),"")</f>
        <v>Espartina S.A.</v>
      </c>
      <c r="G161" s="91" t="s">
        <v>235</v>
      </c>
      <c r="H161" s="142">
        <v>91</v>
      </c>
      <c r="I161" s="138">
        <v>7267.5</v>
      </c>
      <c r="J161" s="19">
        <f t="shared" si="4"/>
        <v>661342.5</v>
      </c>
      <c r="K161" s="26">
        <v>3</v>
      </c>
      <c r="L161" s="19" t="str">
        <f>IFERROR(VLOOKUP(K161,Referencias!$H$7:$I$9,2,FALSE),"")</f>
        <v>Zoom</v>
      </c>
      <c r="M161" s="143">
        <v>184</v>
      </c>
      <c r="N161" s="152">
        <v>633.85</v>
      </c>
      <c r="O161" s="20">
        <f t="shared" si="5"/>
        <v>116628.40000000001</v>
      </c>
      <c r="P161" s="21">
        <f t="shared" si="7"/>
        <v>777970.9</v>
      </c>
      <c r="R161" s="112">
        <v>0</v>
      </c>
      <c r="S161" s="112">
        <v>0</v>
      </c>
      <c r="T161" s="113">
        <f t="shared" si="8"/>
        <v>91</v>
      </c>
      <c r="U161" s="132"/>
    </row>
    <row r="162" spans="2:21" x14ac:dyDescent="0.25">
      <c r="B162" s="23">
        <v>45960</v>
      </c>
      <c r="C162" s="91">
        <v>3</v>
      </c>
      <c r="D162" s="18" t="str">
        <f>IFERROR(VLOOKUP(Trabajos!C162,Referencias!$E$7:$F$30,2,FALSE),"")</f>
        <v>Aplicación de cebos</v>
      </c>
      <c r="E162" s="91">
        <v>72</v>
      </c>
      <c r="F162" s="18" t="str">
        <f>IFERROR(VLOOKUP(Trabajos!$E162,Clientes,2,FALSE),"")</f>
        <v>La Mylucha</v>
      </c>
      <c r="G162" s="91" t="s">
        <v>170</v>
      </c>
      <c r="H162" s="142">
        <v>75</v>
      </c>
      <c r="I162" s="138">
        <v>7257.5</v>
      </c>
      <c r="J162" s="19">
        <f t="shared" si="4"/>
        <v>544312.5</v>
      </c>
      <c r="K162" s="26">
        <v>3</v>
      </c>
      <c r="L162" s="19" t="str">
        <f>IFERROR(VLOOKUP(K162,Referencias!$H$7:$I$9,2,FALSE),"")</f>
        <v>Zoom</v>
      </c>
      <c r="M162" s="143">
        <v>40</v>
      </c>
      <c r="N162" s="152">
        <v>650</v>
      </c>
      <c r="O162" s="20">
        <f t="shared" si="5"/>
        <v>26000</v>
      </c>
      <c r="P162" s="21">
        <f t="shared" si="7"/>
        <v>570312.5</v>
      </c>
      <c r="R162" s="112">
        <v>0</v>
      </c>
      <c r="S162" s="112">
        <v>0</v>
      </c>
      <c r="T162" s="113">
        <f t="shared" si="8"/>
        <v>75</v>
      </c>
      <c r="U162" s="132"/>
    </row>
    <row r="163" spans="2:21" x14ac:dyDescent="0.25">
      <c r="B163" s="23">
        <v>45960</v>
      </c>
      <c r="C163" s="91">
        <v>2</v>
      </c>
      <c r="D163" s="18" t="str">
        <f>IFERROR(VLOOKUP(Trabajos!C163,Referencias!$E$7:$F$30,2,FALSE),"")</f>
        <v>Monitoreo de bb y bab</v>
      </c>
      <c r="E163" s="91">
        <v>40</v>
      </c>
      <c r="F163" s="18" t="str">
        <f>IFERROR(VLOOKUP(Trabajos!$E163,Clientes,2,FALSE),"")</f>
        <v>Cía. de Tierras Sud Argentino S.A.</v>
      </c>
      <c r="G163" s="91" t="s">
        <v>296</v>
      </c>
      <c r="H163" s="142">
        <v>168</v>
      </c>
      <c r="I163" s="138">
        <v>3633.75</v>
      </c>
      <c r="J163" s="19">
        <f t="shared" si="4"/>
        <v>610470</v>
      </c>
      <c r="K163" s="26">
        <v>3</v>
      </c>
      <c r="L163" s="19" t="str">
        <f>IFERROR(VLOOKUP(K163,Referencias!$H$7:$I$9,2,FALSE),"")</f>
        <v>Zoom</v>
      </c>
      <c r="M163" s="143">
        <v>50</v>
      </c>
      <c r="N163" s="152">
        <v>650</v>
      </c>
      <c r="O163" s="20">
        <f t="shared" si="5"/>
        <v>32500</v>
      </c>
      <c r="P163" s="21">
        <f t="shared" si="7"/>
        <v>642970</v>
      </c>
      <c r="R163" s="112">
        <v>0</v>
      </c>
      <c r="S163" s="112">
        <v>0</v>
      </c>
      <c r="T163" s="113">
        <f t="shared" si="8"/>
        <v>168</v>
      </c>
      <c r="U163" s="132"/>
    </row>
    <row r="164" spans="2:21" x14ac:dyDescent="0.25">
      <c r="B164" s="23">
        <v>45960</v>
      </c>
      <c r="C164" s="91">
        <v>2</v>
      </c>
      <c r="D164" s="18" t="str">
        <f>IFERROR(VLOOKUP(Trabajos!C164,Referencias!$E$7:$F$30,2,FALSE),"")</f>
        <v>Monitoreo de bb y bab</v>
      </c>
      <c r="E164" s="91">
        <v>8</v>
      </c>
      <c r="F164" s="18" t="str">
        <f>IFERROR(VLOOKUP(Trabajos!$E164,Clientes,2,FALSE),"")</f>
        <v>Baltan Agropecuaria</v>
      </c>
      <c r="G164" s="91" t="s">
        <v>373</v>
      </c>
      <c r="H164" s="142">
        <v>39</v>
      </c>
      <c r="I164" s="138">
        <v>3618.75</v>
      </c>
      <c r="J164" s="19">
        <f t="shared" si="4"/>
        <v>141131.25</v>
      </c>
      <c r="K164" s="26">
        <v>3</v>
      </c>
      <c r="L164" s="19" t="str">
        <f>IFERROR(VLOOKUP(K164,Referencias!$H$7:$I$9,2,FALSE),"")</f>
        <v>Zoom</v>
      </c>
      <c r="M164" s="143">
        <v>36</v>
      </c>
      <c r="N164" s="152">
        <v>650</v>
      </c>
      <c r="O164" s="20">
        <f t="shared" si="5"/>
        <v>23400</v>
      </c>
      <c r="P164" s="21">
        <f t="shared" si="7"/>
        <v>164531.25</v>
      </c>
      <c r="R164" s="112">
        <v>0</v>
      </c>
      <c r="S164" s="112">
        <v>0</v>
      </c>
      <c r="T164" s="113">
        <f t="shared" si="8"/>
        <v>39</v>
      </c>
      <c r="U164" s="132"/>
    </row>
    <row r="165" spans="2:21" x14ac:dyDescent="0.25">
      <c r="B165" s="23">
        <v>45960</v>
      </c>
      <c r="C165" s="91">
        <v>2</v>
      </c>
      <c r="D165" s="18" t="str">
        <f>IFERROR(VLOOKUP(Trabajos!C165,Referencias!$E$7:$F$30,2,FALSE),"")</f>
        <v>Monitoreo de bb y bab</v>
      </c>
      <c r="E165" s="91">
        <v>5</v>
      </c>
      <c r="F165" s="18" t="str">
        <f>IFERROR(VLOOKUP(Trabajos!$E165,Clientes,2,FALSE),"")</f>
        <v>Cofina Agro</v>
      </c>
      <c r="G165" s="91" t="s">
        <v>375</v>
      </c>
      <c r="H165" s="119">
        <v>89</v>
      </c>
      <c r="I165" s="138">
        <v>3631.25</v>
      </c>
      <c r="J165" s="19">
        <f t="shared" si="4"/>
        <v>323181.25</v>
      </c>
      <c r="K165" s="26">
        <v>3</v>
      </c>
      <c r="L165" s="19" t="str">
        <f>IFERROR(VLOOKUP(K165,Referencias!$H$7:$I$9,2,FALSE),"")</f>
        <v>Zoom</v>
      </c>
      <c r="M165" s="143">
        <v>110</v>
      </c>
      <c r="N165" s="138">
        <v>650</v>
      </c>
      <c r="O165" s="20">
        <f t="shared" si="5"/>
        <v>71500</v>
      </c>
      <c r="P165" s="21">
        <f t="shared" si="7"/>
        <v>394681.25</v>
      </c>
      <c r="R165" s="112">
        <v>0</v>
      </c>
      <c r="S165" s="112">
        <v>0</v>
      </c>
      <c r="T165" s="113">
        <f t="shared" si="8"/>
        <v>89</v>
      </c>
      <c r="U165" s="132"/>
    </row>
    <row r="166" spans="2:21" x14ac:dyDescent="0.25">
      <c r="B166" s="23">
        <v>45960</v>
      </c>
      <c r="C166" s="91">
        <v>2</v>
      </c>
      <c r="D166" s="18" t="str">
        <f>IFERROR(VLOOKUP(Trabajos!C166,Referencias!$E$7:$F$30,2,FALSE),"")</f>
        <v>Monitoreo de bb y bab</v>
      </c>
      <c r="E166" s="91">
        <v>122</v>
      </c>
      <c r="F166" s="18" t="str">
        <f>IFERROR(VLOOKUP(Trabajos!$E166,Clientes,2,FALSE),"")</f>
        <v>Martin Juarez</v>
      </c>
      <c r="G166" s="91" t="s">
        <v>316</v>
      </c>
      <c r="H166" s="119">
        <v>69</v>
      </c>
      <c r="I166" s="138">
        <v>3633.75</v>
      </c>
      <c r="J166" s="19">
        <f t="shared" si="4"/>
        <v>250728.75</v>
      </c>
      <c r="K166" s="26">
        <v>3</v>
      </c>
      <c r="L166" s="19" t="str">
        <f>IFERROR(VLOOKUP(K166,Referencias!$H$7:$I$9,2,FALSE),"")</f>
        <v>Zoom</v>
      </c>
      <c r="M166" s="143">
        <v>54</v>
      </c>
      <c r="N166" s="152">
        <v>650</v>
      </c>
      <c r="O166" s="20">
        <f t="shared" si="5"/>
        <v>35100</v>
      </c>
      <c r="P166" s="21">
        <f t="shared" si="7"/>
        <v>285828.75</v>
      </c>
      <c r="R166" s="112">
        <v>0</v>
      </c>
      <c r="S166" s="112">
        <v>0</v>
      </c>
      <c r="T166" s="113">
        <f t="shared" si="8"/>
        <v>69</v>
      </c>
      <c r="U166" s="132"/>
    </row>
    <row r="167" spans="2:21" x14ac:dyDescent="0.25">
      <c r="B167" s="23">
        <v>45961</v>
      </c>
      <c r="C167" s="91">
        <v>3</v>
      </c>
      <c r="D167" s="18" t="str">
        <f>IFERROR(VLOOKUP(Trabajos!C167,Referencias!$E$7:$F$30,2,FALSE),"")</f>
        <v>Aplicación de cebos</v>
      </c>
      <c r="E167" s="91">
        <v>33</v>
      </c>
      <c r="F167" s="18" t="str">
        <f>IFERROR(VLOOKUP(Trabajos!$E167,Clientes,2,FALSE),"")</f>
        <v>Espartina S.A.</v>
      </c>
      <c r="G167" s="91" t="s">
        <v>313</v>
      </c>
      <c r="H167" s="142">
        <v>96</v>
      </c>
      <c r="I167" s="138">
        <v>7250</v>
      </c>
      <c r="J167" s="19">
        <f t="shared" si="4"/>
        <v>696000</v>
      </c>
      <c r="K167" s="26">
        <v>2</v>
      </c>
      <c r="L167" s="19" t="str">
        <f>IFERROR(VLOOKUP(K167,Referencias!$H$7:$I$9,2,FALSE),"")</f>
        <v>Paco</v>
      </c>
      <c r="M167" s="143">
        <v>274</v>
      </c>
      <c r="N167" s="138">
        <v>633.85</v>
      </c>
      <c r="O167" s="20">
        <f t="shared" si="5"/>
        <v>173674.9</v>
      </c>
      <c r="P167" s="21">
        <f t="shared" si="7"/>
        <v>869674.9</v>
      </c>
      <c r="Q167" s="22" t="s">
        <v>4</v>
      </c>
      <c r="R167" s="112">
        <v>80</v>
      </c>
      <c r="S167" s="112">
        <v>0</v>
      </c>
      <c r="T167" s="113">
        <f t="shared" si="8"/>
        <v>16</v>
      </c>
      <c r="U167" s="132"/>
    </row>
    <row r="168" spans="2:21" x14ac:dyDescent="0.25">
      <c r="B168" s="23">
        <v>45961</v>
      </c>
      <c r="C168" s="91">
        <v>3</v>
      </c>
      <c r="D168" s="18" t="str">
        <f>IFERROR(VLOOKUP(Trabajos!C168,Referencias!$E$7:$F$30,2,FALSE),"")</f>
        <v>Aplicación de cebos</v>
      </c>
      <c r="E168" s="91">
        <v>40</v>
      </c>
      <c r="F168" s="18" t="str">
        <f>IFERROR(VLOOKUP(Trabajos!$E168,Clientes,2,FALSE),"")</f>
        <v>Cía. de Tierras Sud Argentino S.A.</v>
      </c>
      <c r="G168" s="91" t="s">
        <v>296</v>
      </c>
      <c r="H168" s="142">
        <v>180</v>
      </c>
      <c r="I168" s="152">
        <v>7267.5</v>
      </c>
      <c r="J168" s="19">
        <f t="shared" si="4"/>
        <v>1308150</v>
      </c>
      <c r="K168" s="26">
        <v>1</v>
      </c>
      <c r="L168" s="19" t="str">
        <f>IFERROR(VLOOKUP(K168,Referencias!$H$7:$I$9,2,FALSE),"")</f>
        <v>Tomas</v>
      </c>
      <c r="M168" s="143">
        <v>50</v>
      </c>
      <c r="N168" s="152">
        <v>650</v>
      </c>
      <c r="O168" s="20">
        <f t="shared" si="5"/>
        <v>32500</v>
      </c>
      <c r="P168" s="21">
        <f t="shared" si="7"/>
        <v>1340650</v>
      </c>
      <c r="R168" s="112">
        <v>0</v>
      </c>
      <c r="S168" s="112">
        <v>80</v>
      </c>
      <c r="T168" s="113">
        <f t="shared" si="8"/>
        <v>100</v>
      </c>
      <c r="U168" s="132"/>
    </row>
    <row r="169" spans="2:21" x14ac:dyDescent="0.25">
      <c r="B169" s="23">
        <v>45961</v>
      </c>
      <c r="C169" s="91">
        <v>2</v>
      </c>
      <c r="D169" s="18" t="str">
        <f>IFERROR(VLOOKUP(Trabajos!C169,Referencias!$E$7:$F$30,2,FALSE),"")</f>
        <v>Monitoreo de bb y bab</v>
      </c>
      <c r="E169" s="91">
        <v>87</v>
      </c>
      <c r="F169" s="18" t="str">
        <f>IFERROR(VLOOKUP(Trabajos!$E169,Clientes,2,FALSE),"")</f>
        <v>La Mezquita-La Mostaza</v>
      </c>
      <c r="G169" s="91" t="s">
        <v>376</v>
      </c>
      <c r="H169" s="142">
        <v>175</v>
      </c>
      <c r="I169" s="138">
        <v>3628.75</v>
      </c>
      <c r="J169" s="19">
        <f t="shared" si="4"/>
        <v>635031.25</v>
      </c>
      <c r="K169" s="26">
        <v>3</v>
      </c>
      <c r="L169" s="19" t="str">
        <f>IFERROR(VLOOKUP(K169,Referencias!$H$7:$I$9,2,FALSE),"")</f>
        <v>Zoom</v>
      </c>
      <c r="M169" s="143">
        <v>110</v>
      </c>
      <c r="N169" s="152">
        <v>650</v>
      </c>
      <c r="O169" s="20">
        <f t="shared" si="5"/>
        <v>71500</v>
      </c>
      <c r="P169" s="21">
        <f t="shared" si="7"/>
        <v>706531.25</v>
      </c>
      <c r="R169" s="112">
        <v>0</v>
      </c>
      <c r="S169" s="112">
        <v>0</v>
      </c>
      <c r="T169" s="113">
        <f t="shared" si="8"/>
        <v>175</v>
      </c>
      <c r="U169" s="132"/>
    </row>
    <row r="170" spans="2:21" x14ac:dyDescent="0.25">
      <c r="B170" s="23">
        <v>45961</v>
      </c>
      <c r="C170" s="91">
        <v>2</v>
      </c>
      <c r="D170" s="18" t="str">
        <f>IFERROR(VLOOKUP(Trabajos!C170,Referencias!$E$7:$F$30,2,FALSE),"")</f>
        <v>Monitoreo de bb y bab</v>
      </c>
      <c r="E170" s="91">
        <v>40</v>
      </c>
      <c r="F170" s="18" t="str">
        <f>IFERROR(VLOOKUP(Trabajos!$E170,Clientes,2,FALSE),"")</f>
        <v>Cía. de Tierras Sud Argentino S.A.</v>
      </c>
      <c r="G170" s="91" t="s">
        <v>296</v>
      </c>
      <c r="H170" s="142">
        <v>160</v>
      </c>
      <c r="I170" s="138">
        <v>3633.75</v>
      </c>
      <c r="J170" s="19">
        <f>IF(H170&lt;&gt;"",H170*I170,"")</f>
        <v>581400</v>
      </c>
      <c r="K170" s="26">
        <v>3</v>
      </c>
      <c r="L170" s="19" t="str">
        <f>IFERROR(VLOOKUP(K170,Referencias!$H$7:$I$9,2,FALSE),"")</f>
        <v>Zoom</v>
      </c>
      <c r="M170" s="143">
        <v>50</v>
      </c>
      <c r="N170" s="152">
        <v>650</v>
      </c>
      <c r="O170" s="20">
        <f>IF(M170&lt;&gt;"",M170*N170,"")</f>
        <v>32500</v>
      </c>
      <c r="P170" s="21">
        <f t="shared" ref="P170:P394" si="9">IF(J170&lt;&gt;"",J170+O170,"")</f>
        <v>613900</v>
      </c>
      <c r="R170" s="112">
        <v>0</v>
      </c>
      <c r="S170" s="112">
        <v>0</v>
      </c>
      <c r="T170" s="113">
        <f t="shared" si="8"/>
        <v>160</v>
      </c>
      <c r="U170" s="132"/>
    </row>
    <row r="171" spans="2:21" x14ac:dyDescent="0.25">
      <c r="B171" s="23">
        <v>45962</v>
      </c>
      <c r="C171" s="91">
        <v>3</v>
      </c>
      <c r="D171" s="18" t="str">
        <f>IFERROR(VLOOKUP(Trabajos!C171,Referencias!$E$7:$F$30,2,FALSE),"")</f>
        <v>Aplicación de cebos</v>
      </c>
      <c r="E171" s="91">
        <v>33</v>
      </c>
      <c r="F171" s="18" t="str">
        <f>IFERROR(VLOOKUP(Trabajos!$E171,Clientes,2,FALSE),"")</f>
        <v>Espartina S.A.</v>
      </c>
      <c r="G171" s="91" t="s">
        <v>347</v>
      </c>
      <c r="H171" s="142">
        <v>75</v>
      </c>
      <c r="I171" s="138">
        <v>7250</v>
      </c>
      <c r="J171" s="19">
        <f>IF(H171&lt;&gt;"",H171*I171,"")</f>
        <v>543750</v>
      </c>
      <c r="K171" s="26">
        <v>2</v>
      </c>
      <c r="L171" s="19" t="str">
        <f>IFERROR(VLOOKUP(K171,Referencias!$H$7:$I$9,2,FALSE),"")</f>
        <v>Paco</v>
      </c>
      <c r="M171" s="143">
        <v>112</v>
      </c>
      <c r="N171" s="138">
        <v>633.85</v>
      </c>
      <c r="O171" s="20">
        <f>IF(M171&lt;&gt;"",M171*N171,"")</f>
        <v>70991.199999999997</v>
      </c>
      <c r="P171" s="21">
        <f t="shared" si="9"/>
        <v>614741.19999999995</v>
      </c>
      <c r="R171" s="112">
        <v>0</v>
      </c>
      <c r="S171" s="112">
        <v>0</v>
      </c>
      <c r="T171" s="113">
        <f t="shared" si="8"/>
        <v>75</v>
      </c>
      <c r="U171" s="132"/>
    </row>
    <row r="172" spans="2:21" x14ac:dyDescent="0.25">
      <c r="B172" s="23">
        <v>45962</v>
      </c>
      <c r="C172" s="91">
        <v>3</v>
      </c>
      <c r="D172" s="18" t="str">
        <f>IFERROR(VLOOKUP(Trabajos!C172,Referencias!$E$7:$F$30,2,FALSE),"")</f>
        <v>Aplicación de cebos</v>
      </c>
      <c r="E172" s="91">
        <v>33</v>
      </c>
      <c r="F172" s="18" t="str">
        <f>IFERROR(VLOOKUP(Trabajos!$E172,Clientes,2,FALSE),"")</f>
        <v>Espartina S.A.</v>
      </c>
      <c r="G172" s="91" t="s">
        <v>291</v>
      </c>
      <c r="H172" s="142">
        <v>30</v>
      </c>
      <c r="I172" s="138">
        <v>7250</v>
      </c>
      <c r="J172" s="19">
        <f>IF(H172&lt;&gt;"",H172*I172,"")</f>
        <v>217500</v>
      </c>
      <c r="K172" s="26">
        <v>2</v>
      </c>
      <c r="L172" s="19" t="str">
        <f>IFERROR(VLOOKUP(K172,Referencias!$H$7:$I$9,2,FALSE),"")</f>
        <v>Paco</v>
      </c>
      <c r="M172" s="143">
        <v>112</v>
      </c>
      <c r="N172" s="138">
        <v>633.85</v>
      </c>
      <c r="O172" s="20">
        <f>IF(M172&lt;&gt;"",M172*N172,"")</f>
        <v>70991.199999999997</v>
      </c>
      <c r="P172" s="21">
        <f t="shared" si="9"/>
        <v>288491.2</v>
      </c>
      <c r="R172" s="112">
        <v>0</v>
      </c>
      <c r="S172" s="112">
        <v>0</v>
      </c>
      <c r="T172" s="113">
        <f t="shared" si="8"/>
        <v>30</v>
      </c>
      <c r="U172" s="132"/>
    </row>
    <row r="173" spans="2:21" x14ac:dyDescent="0.25">
      <c r="B173" s="23">
        <v>45962</v>
      </c>
      <c r="C173" s="91">
        <v>3</v>
      </c>
      <c r="D173" s="18" t="str">
        <f>IFERROR(VLOOKUP(Trabajos!C173,Referencias!$E$7:$F$30,2,FALSE),"")</f>
        <v>Aplicación de cebos</v>
      </c>
      <c r="E173" s="91">
        <v>33</v>
      </c>
      <c r="F173" s="18" t="str">
        <f>IFERROR(VLOOKUP(Trabajos!$E173,Clientes,2,FALSE),"")</f>
        <v>Espartina S.A.</v>
      </c>
      <c r="G173" s="91" t="s">
        <v>286</v>
      </c>
      <c r="H173" s="142">
        <v>120</v>
      </c>
      <c r="I173" s="138">
        <v>7250</v>
      </c>
      <c r="J173" s="19">
        <f>IF(H173&lt;&gt;"",H173*I173,"")</f>
        <v>870000</v>
      </c>
      <c r="K173" s="26">
        <v>2</v>
      </c>
      <c r="L173" s="19" t="str">
        <f>IFERROR(VLOOKUP(K173,Referencias!$H$7:$I$9,2,FALSE),"")</f>
        <v>Paco</v>
      </c>
      <c r="M173" s="143">
        <v>112</v>
      </c>
      <c r="N173" s="138">
        <v>633.85</v>
      </c>
      <c r="O173" s="20">
        <f>IF(M173&lt;&gt;"",M173*N173,"")</f>
        <v>70991.199999999997</v>
      </c>
      <c r="P173" s="21">
        <f t="shared" si="9"/>
        <v>940991.2</v>
      </c>
      <c r="R173" s="112">
        <v>80</v>
      </c>
      <c r="S173" s="112">
        <v>0</v>
      </c>
      <c r="T173" s="113">
        <f t="shared" si="8"/>
        <v>40</v>
      </c>
      <c r="U173" s="132"/>
    </row>
    <row r="174" spans="2:21" x14ac:dyDescent="0.25">
      <c r="B174" s="23">
        <v>45962</v>
      </c>
      <c r="C174" s="91">
        <v>3</v>
      </c>
      <c r="D174" s="18" t="str">
        <f>IFERROR(VLOOKUP(Trabajos!C174,Referencias!$E$7:$F$30,2,FALSE),"")</f>
        <v>Aplicación de cebos</v>
      </c>
      <c r="E174" s="91">
        <v>121</v>
      </c>
      <c r="F174" s="18" t="str">
        <f>IFERROR(VLOOKUP(Trabajos!$E174,Clientes,2,FALSE),"")</f>
        <v>Ignacio Loscalzo</v>
      </c>
      <c r="G174" s="91" t="s">
        <v>377</v>
      </c>
      <c r="H174" s="142">
        <v>71</v>
      </c>
      <c r="I174" s="138">
        <v>6935</v>
      </c>
      <c r="J174" s="19">
        <f>IF(H174&lt;&gt;"",H174*I174,"")</f>
        <v>492385</v>
      </c>
      <c r="K174" s="26">
        <v>1</v>
      </c>
      <c r="L174" s="19" t="str">
        <f>IFERROR(VLOOKUP(K174,Referencias!$H$7:$I$9,2,FALSE),"")</f>
        <v>Tomas</v>
      </c>
      <c r="M174" s="143">
        <v>26</v>
      </c>
      <c r="N174" s="152">
        <v>650</v>
      </c>
      <c r="O174" s="20">
        <f>IF(M174&lt;&gt;"",M174*N174,"")</f>
        <v>16900</v>
      </c>
      <c r="P174" s="21">
        <f t="shared" si="9"/>
        <v>509285</v>
      </c>
      <c r="R174" s="112">
        <v>0</v>
      </c>
      <c r="S174" s="136">
        <v>71</v>
      </c>
      <c r="T174" s="113">
        <f t="shared" si="8"/>
        <v>0</v>
      </c>
      <c r="U174" s="132"/>
    </row>
    <row r="175" spans="2:21" x14ac:dyDescent="0.25">
      <c r="B175" s="23">
        <v>45962</v>
      </c>
      <c r="C175" s="91">
        <v>3</v>
      </c>
      <c r="D175" s="18" t="str">
        <f>IFERROR(VLOOKUP(Trabajos!C175,Referencias!$E$7:$F$30,2,FALSE),"")</f>
        <v>Aplicación de cebos</v>
      </c>
      <c r="E175" s="91">
        <v>33</v>
      </c>
      <c r="F175" s="18" t="str">
        <f>IFERROR(VLOOKUP(Trabajos!$E175,Clientes,2,FALSE),"")</f>
        <v>Espartina S.A.</v>
      </c>
      <c r="G175" s="91" t="s">
        <v>266</v>
      </c>
      <c r="H175" s="142">
        <v>20</v>
      </c>
      <c r="I175" s="138">
        <v>7267.5</v>
      </c>
      <c r="J175" s="19">
        <f t="shared" si="4"/>
        <v>145350</v>
      </c>
      <c r="K175" s="26">
        <v>1</v>
      </c>
      <c r="L175" s="19" t="str">
        <f>IFERROR(VLOOKUP(K175,Referencias!$H$7:$I$9,2,FALSE),"")</f>
        <v>Tomas</v>
      </c>
      <c r="M175" s="143">
        <v>164</v>
      </c>
      <c r="N175" s="152">
        <v>633.85</v>
      </c>
      <c r="O175" s="20">
        <f t="shared" si="5"/>
        <v>103951.40000000001</v>
      </c>
      <c r="P175" s="21">
        <f t="shared" si="9"/>
        <v>249301.40000000002</v>
      </c>
      <c r="R175" s="112">
        <v>0</v>
      </c>
      <c r="S175" s="136">
        <v>9</v>
      </c>
      <c r="T175" s="113">
        <f t="shared" si="8"/>
        <v>11</v>
      </c>
      <c r="U175" s="132"/>
    </row>
    <row r="176" spans="2:21" x14ac:dyDescent="0.25">
      <c r="B176" s="23">
        <v>45962</v>
      </c>
      <c r="C176" s="91">
        <v>2</v>
      </c>
      <c r="D176" s="18" t="str">
        <f>IFERROR(VLOOKUP(Trabajos!C176,Referencias!$E$7:$F$30,2,FALSE),"")</f>
        <v>Monitoreo de bb y bab</v>
      </c>
      <c r="E176" s="91">
        <v>33</v>
      </c>
      <c r="F176" s="18" t="str">
        <f>IFERROR(VLOOKUP(Trabajos!$E176,Clientes,2,FALSE),"")</f>
        <v>Espartina S.A.</v>
      </c>
      <c r="G176" s="91" t="s">
        <v>379</v>
      </c>
      <c r="H176" s="142">
        <v>250</v>
      </c>
      <c r="I176" s="138">
        <v>3262.5</v>
      </c>
      <c r="J176" s="19">
        <f t="shared" si="4"/>
        <v>815625</v>
      </c>
      <c r="K176" s="26">
        <v>3</v>
      </c>
      <c r="L176" s="19" t="str">
        <f>IFERROR(VLOOKUP(K176,Referencias!$H$7:$I$9,2,FALSE),"")</f>
        <v>Zoom</v>
      </c>
      <c r="M176" s="143">
        <v>328</v>
      </c>
      <c r="N176" s="138">
        <v>633.85</v>
      </c>
      <c r="O176" s="20">
        <f t="shared" si="5"/>
        <v>207902.80000000002</v>
      </c>
      <c r="P176" s="21">
        <f t="shared" si="9"/>
        <v>1023527.8</v>
      </c>
      <c r="R176" s="112">
        <v>0</v>
      </c>
      <c r="S176" s="112">
        <v>0</v>
      </c>
      <c r="T176" s="113">
        <f t="shared" si="8"/>
        <v>250</v>
      </c>
      <c r="U176" s="132"/>
    </row>
    <row r="177" spans="2:21" x14ac:dyDescent="0.25">
      <c r="B177" s="23">
        <v>45963</v>
      </c>
      <c r="C177" s="91">
        <v>3</v>
      </c>
      <c r="D177" s="18" t="str">
        <f>IFERROR(VLOOKUP(Trabajos!C177,Referencias!$E$7:$F$30,2,FALSE),"")</f>
        <v>Aplicación de cebos</v>
      </c>
      <c r="E177" s="91">
        <v>33</v>
      </c>
      <c r="F177" s="18" t="str">
        <f>IFERROR(VLOOKUP(Trabajos!$E177,Clientes,2,FALSE),"")</f>
        <v>Espartina S.A.</v>
      </c>
      <c r="G177" s="91" t="s">
        <v>286</v>
      </c>
      <c r="H177" s="142">
        <v>238</v>
      </c>
      <c r="I177" s="138">
        <v>7250</v>
      </c>
      <c r="J177" s="19">
        <f t="shared" si="4"/>
        <v>1725500</v>
      </c>
      <c r="K177" s="26">
        <v>2</v>
      </c>
      <c r="L177" s="19" t="str">
        <f>IFERROR(VLOOKUP(K177,Referencias!$H$7:$I$9,2,FALSE),"")</f>
        <v>Paco</v>
      </c>
      <c r="M177" s="143">
        <v>240</v>
      </c>
      <c r="N177" s="138">
        <v>633.85</v>
      </c>
      <c r="O177" s="20">
        <f t="shared" si="5"/>
        <v>152124</v>
      </c>
      <c r="P177" s="21">
        <f t="shared" si="9"/>
        <v>1877624</v>
      </c>
      <c r="R177" s="112">
        <v>80</v>
      </c>
      <c r="S177" s="112">
        <v>0</v>
      </c>
      <c r="T177" s="113">
        <f t="shared" si="8"/>
        <v>158</v>
      </c>
      <c r="U177" s="132"/>
    </row>
    <row r="178" spans="2:21" x14ac:dyDescent="0.25">
      <c r="B178" s="23">
        <v>45963</v>
      </c>
      <c r="C178" s="91">
        <v>3</v>
      </c>
      <c r="D178" s="18" t="str">
        <f>IFERROR(VLOOKUP(Trabajos!C178,Referencias!$E$7:$F$30,2,FALSE),"")</f>
        <v>Aplicación de cebos</v>
      </c>
      <c r="E178" s="91">
        <v>8</v>
      </c>
      <c r="F178" s="18" t="str">
        <f>IFERROR(VLOOKUP(Trabajos!$E178,Clientes,2,FALSE),"")</f>
        <v>Baltan Agropecuaria</v>
      </c>
      <c r="G178" s="91" t="s">
        <v>373</v>
      </c>
      <c r="H178" s="119">
        <v>39</v>
      </c>
      <c r="I178" s="152">
        <v>7237.5</v>
      </c>
      <c r="J178" s="19">
        <f t="shared" si="4"/>
        <v>282262.5</v>
      </c>
      <c r="K178" s="26">
        <v>1</v>
      </c>
      <c r="L178" s="19" t="str">
        <f>IFERROR(VLOOKUP(K178,Referencias!$H$7:$I$9,2,FALSE),"")</f>
        <v>Tomas</v>
      </c>
      <c r="M178" s="143">
        <v>36</v>
      </c>
      <c r="N178" s="152">
        <v>650</v>
      </c>
      <c r="O178" s="20">
        <f t="shared" si="5"/>
        <v>23400</v>
      </c>
      <c r="P178" s="21">
        <f t="shared" si="9"/>
        <v>305662.5</v>
      </c>
      <c r="R178" s="112">
        <v>0</v>
      </c>
      <c r="S178" s="112">
        <v>4</v>
      </c>
      <c r="T178" s="113">
        <f t="shared" si="8"/>
        <v>35</v>
      </c>
      <c r="U178" s="132"/>
    </row>
    <row r="179" spans="2:21" x14ac:dyDescent="0.25">
      <c r="B179" s="23">
        <v>45963</v>
      </c>
      <c r="C179" s="91">
        <v>3</v>
      </c>
      <c r="D179" s="18" t="str">
        <f>IFERROR(VLOOKUP(Trabajos!C179,Referencias!$E$7:$F$30,2,FALSE),"")</f>
        <v>Aplicación de cebos</v>
      </c>
      <c r="E179" s="91">
        <v>40</v>
      </c>
      <c r="F179" s="18" t="str">
        <f>IFERROR(VLOOKUP(Trabajos!$E179,Clientes,2,FALSE),"")</f>
        <v>Cía. de Tierras Sud Argentino S.A.</v>
      </c>
      <c r="G179" s="91" t="s">
        <v>296</v>
      </c>
      <c r="H179" s="119">
        <v>81</v>
      </c>
      <c r="I179" s="152">
        <v>7267.5</v>
      </c>
      <c r="J179" s="19">
        <f t="shared" si="4"/>
        <v>588667.5</v>
      </c>
      <c r="K179" s="26">
        <v>1</v>
      </c>
      <c r="L179" s="19" t="str">
        <f>IFERROR(VLOOKUP(K179,Referencias!$H$7:$I$9,2,FALSE),"")</f>
        <v>Tomas</v>
      </c>
      <c r="M179" s="143">
        <v>50</v>
      </c>
      <c r="N179" s="152">
        <v>650</v>
      </c>
      <c r="O179" s="20">
        <f t="shared" si="5"/>
        <v>32500</v>
      </c>
      <c r="P179" s="21">
        <f t="shared" si="9"/>
        <v>621167.5</v>
      </c>
      <c r="Q179" s="22" t="s">
        <v>4</v>
      </c>
      <c r="R179" s="112">
        <v>0</v>
      </c>
      <c r="S179" s="112">
        <v>80</v>
      </c>
      <c r="T179" s="113">
        <f t="shared" si="8"/>
        <v>1</v>
      </c>
      <c r="U179" s="132"/>
    </row>
    <row r="180" spans="2:21" x14ac:dyDescent="0.25">
      <c r="B180" s="23">
        <v>45963</v>
      </c>
      <c r="C180" s="91">
        <v>3</v>
      </c>
      <c r="D180" s="18" t="str">
        <f>IFERROR(VLOOKUP(Trabajos!C180,Referencias!$E$7:$F$30,2,FALSE),"")</f>
        <v>Aplicación de cebos</v>
      </c>
      <c r="E180" s="91">
        <v>33</v>
      </c>
      <c r="F180" s="18" t="str">
        <f>IFERROR(VLOOKUP(Trabajos!$E180,Clientes,2,FALSE),"")</f>
        <v>Espartina S.A.</v>
      </c>
      <c r="G180" s="91" t="s">
        <v>342</v>
      </c>
      <c r="H180" s="142">
        <v>100</v>
      </c>
      <c r="I180" s="138">
        <v>7250</v>
      </c>
      <c r="J180" s="19">
        <f t="shared" si="4"/>
        <v>725000</v>
      </c>
      <c r="K180" s="26">
        <v>3</v>
      </c>
      <c r="L180" s="19" t="str">
        <f>IFERROR(VLOOKUP(K180,Referencias!$H$7:$I$9,2,FALSE),"")</f>
        <v>Zoom</v>
      </c>
      <c r="M180" s="143">
        <v>240</v>
      </c>
      <c r="N180" s="138">
        <v>633.85</v>
      </c>
      <c r="O180" s="20">
        <f t="shared" si="5"/>
        <v>152124</v>
      </c>
      <c r="P180" s="21">
        <f t="shared" si="9"/>
        <v>877124</v>
      </c>
      <c r="R180" s="136">
        <v>0</v>
      </c>
      <c r="S180" s="136">
        <v>0</v>
      </c>
      <c r="T180" s="113">
        <f t="shared" si="8"/>
        <v>100</v>
      </c>
      <c r="U180" s="132"/>
    </row>
    <row r="181" spans="2:21" x14ac:dyDescent="0.25">
      <c r="B181" s="23">
        <v>45964</v>
      </c>
      <c r="C181" s="91">
        <v>3</v>
      </c>
      <c r="D181" s="18" t="str">
        <f>IFERROR(VLOOKUP(Trabajos!C181,Referencias!$E$7:$F$30,2,FALSE),"")</f>
        <v>Aplicación de cebos</v>
      </c>
      <c r="E181" s="91">
        <v>33</v>
      </c>
      <c r="F181" s="18" t="str">
        <f>IFERROR(VLOOKUP(Trabajos!$E181,Clientes,2,FALSE),"")</f>
        <v>Espartina S.A.</v>
      </c>
      <c r="G181" s="91" t="s">
        <v>308</v>
      </c>
      <c r="H181" s="142">
        <v>107</v>
      </c>
      <c r="I181" s="138">
        <v>7250</v>
      </c>
      <c r="J181" s="19">
        <f t="shared" si="4"/>
        <v>775750</v>
      </c>
      <c r="K181" s="26">
        <v>2</v>
      </c>
      <c r="L181" s="19" t="str">
        <f>IFERROR(VLOOKUP(K181,Referencias!$H$7:$I$9,2,FALSE),"")</f>
        <v>Paco</v>
      </c>
      <c r="M181" s="143">
        <v>186</v>
      </c>
      <c r="N181" s="138">
        <v>633.85</v>
      </c>
      <c r="O181" s="20">
        <f t="shared" si="5"/>
        <v>117896.1</v>
      </c>
      <c r="P181" s="21">
        <f t="shared" si="9"/>
        <v>893646.1</v>
      </c>
      <c r="R181" s="112">
        <v>80</v>
      </c>
      <c r="S181" s="112">
        <v>0</v>
      </c>
      <c r="T181" s="113">
        <f t="shared" si="8"/>
        <v>27</v>
      </c>
      <c r="U181" s="132"/>
    </row>
    <row r="182" spans="2:21" x14ac:dyDescent="0.25">
      <c r="B182" s="23">
        <v>45964</v>
      </c>
      <c r="C182" s="91">
        <v>2</v>
      </c>
      <c r="D182" s="18" t="str">
        <f>IFERROR(VLOOKUP(Trabajos!C182,Referencias!$E$7:$F$30,2,FALSE),"")</f>
        <v>Monitoreo de bb y bab</v>
      </c>
      <c r="E182" s="91">
        <v>40</v>
      </c>
      <c r="F182" s="18" t="str">
        <f>IFERROR(VLOOKUP(Trabajos!$E182,Clientes,2,FALSE),"")</f>
        <v>Cía. de Tierras Sud Argentino S.A.</v>
      </c>
      <c r="G182" s="91" t="s">
        <v>296</v>
      </c>
      <c r="H182" s="119">
        <v>307</v>
      </c>
      <c r="I182" s="152">
        <v>3633.75</v>
      </c>
      <c r="J182" s="19">
        <f t="shared" si="4"/>
        <v>1115561.25</v>
      </c>
      <c r="K182" s="26">
        <v>3</v>
      </c>
      <c r="L182" s="19" t="str">
        <f>IFERROR(VLOOKUP(K182,Referencias!$H$7:$I$9,2,FALSE),"")</f>
        <v>Zoom</v>
      </c>
      <c r="M182" s="143">
        <v>50</v>
      </c>
      <c r="N182" s="152">
        <v>650</v>
      </c>
      <c r="O182" s="20">
        <f t="shared" si="5"/>
        <v>32500</v>
      </c>
      <c r="P182" s="21">
        <f t="shared" si="9"/>
        <v>1148061.25</v>
      </c>
      <c r="Q182" s="22" t="s">
        <v>4</v>
      </c>
      <c r="R182" s="112">
        <v>0</v>
      </c>
      <c r="S182" s="112">
        <v>0</v>
      </c>
      <c r="T182" s="113">
        <f t="shared" si="8"/>
        <v>307</v>
      </c>
      <c r="U182" s="132"/>
    </row>
    <row r="183" spans="2:21" x14ac:dyDescent="0.25">
      <c r="B183" s="23">
        <v>45964</v>
      </c>
      <c r="C183" s="91">
        <v>2</v>
      </c>
      <c r="D183" s="18" t="str">
        <f>IFERROR(VLOOKUP(Trabajos!C183,Referencias!$E$7:$F$30,2,FALSE),"")</f>
        <v>Monitoreo de bb y bab</v>
      </c>
      <c r="E183" s="91">
        <v>33</v>
      </c>
      <c r="F183" s="18" t="str">
        <f>IFERROR(VLOOKUP(Trabajos!$E183,Clientes,2,FALSE),"")</f>
        <v>Espartina S.A.</v>
      </c>
      <c r="G183" s="91" t="s">
        <v>382</v>
      </c>
      <c r="H183" s="142">
        <v>287</v>
      </c>
      <c r="I183" s="138">
        <v>3262.5</v>
      </c>
      <c r="J183" s="19">
        <f t="shared" si="4"/>
        <v>936337.5</v>
      </c>
      <c r="K183" s="26">
        <v>3</v>
      </c>
      <c r="L183" s="19" t="str">
        <f>IFERROR(VLOOKUP(K183,Referencias!$H$7:$I$9,2,FALSE),"")</f>
        <v>Zoom</v>
      </c>
      <c r="M183" s="143">
        <v>270</v>
      </c>
      <c r="N183" s="138">
        <v>633.85</v>
      </c>
      <c r="O183" s="20">
        <f t="shared" si="5"/>
        <v>171139.5</v>
      </c>
      <c r="P183" s="21">
        <f t="shared" si="9"/>
        <v>1107477</v>
      </c>
      <c r="R183" s="112">
        <v>0</v>
      </c>
      <c r="S183" s="112">
        <v>0</v>
      </c>
      <c r="T183" s="113">
        <f t="shared" si="8"/>
        <v>287</v>
      </c>
      <c r="U183" s="132"/>
    </row>
    <row r="184" spans="2:21" x14ac:dyDescent="0.25">
      <c r="B184" s="23">
        <v>45966</v>
      </c>
      <c r="C184" s="91">
        <v>3</v>
      </c>
      <c r="D184" s="18" t="str">
        <f>IFERROR(VLOOKUP(Trabajos!C184,Referencias!$E$7:$F$30,2,FALSE),"")</f>
        <v>Aplicación de cebos</v>
      </c>
      <c r="E184" s="91">
        <v>33</v>
      </c>
      <c r="F184" s="18" t="str">
        <f>IFERROR(VLOOKUP(Trabajos!$E184,Clientes,2,FALSE),"")</f>
        <v>Espartina S.A.</v>
      </c>
      <c r="G184" s="91" t="s">
        <v>233</v>
      </c>
      <c r="H184" s="142">
        <v>118</v>
      </c>
      <c r="I184" s="138">
        <v>7267.5</v>
      </c>
      <c r="J184" s="19">
        <f t="shared" si="4"/>
        <v>857565</v>
      </c>
      <c r="K184" s="26">
        <v>3</v>
      </c>
      <c r="L184" s="19" t="str">
        <f>IFERROR(VLOOKUP(K184,Referencias!$H$7:$I$9,2,FALSE),"")</f>
        <v>Zoom</v>
      </c>
      <c r="M184" s="143">
        <v>176</v>
      </c>
      <c r="N184" s="152">
        <v>633.85</v>
      </c>
      <c r="O184" s="20">
        <f t="shared" si="5"/>
        <v>111557.6</v>
      </c>
      <c r="P184" s="21">
        <f t="shared" si="9"/>
        <v>969122.6</v>
      </c>
      <c r="R184" s="112">
        <v>0</v>
      </c>
      <c r="S184" s="112">
        <v>0</v>
      </c>
      <c r="T184" s="113">
        <f t="shared" si="8"/>
        <v>118</v>
      </c>
      <c r="U184" s="132"/>
    </row>
    <row r="185" spans="2:21" x14ac:dyDescent="0.25">
      <c r="B185" s="23">
        <v>45966</v>
      </c>
      <c r="C185" s="91">
        <v>2</v>
      </c>
      <c r="D185" s="18" t="str">
        <f>IFERROR(VLOOKUP(Trabajos!C185,Referencias!$E$7:$F$30,2,FALSE),"")</f>
        <v>Monitoreo de bb y bab</v>
      </c>
      <c r="E185" s="91">
        <v>40</v>
      </c>
      <c r="F185" s="18" t="str">
        <f>IFERROR(VLOOKUP(Trabajos!$E185,Clientes,2,FALSE),"")</f>
        <v>Cía. de Tierras Sud Argentino S.A.</v>
      </c>
      <c r="G185" s="91" t="s">
        <v>296</v>
      </c>
      <c r="H185" s="119">
        <v>335</v>
      </c>
      <c r="I185" s="152">
        <v>3633.75</v>
      </c>
      <c r="J185" s="19">
        <f t="shared" si="4"/>
        <v>1217306.25</v>
      </c>
      <c r="K185" s="26">
        <v>3</v>
      </c>
      <c r="L185" s="19" t="str">
        <f>IFERROR(VLOOKUP(K185,Referencias!$H$7:$I$9,2,FALSE),"")</f>
        <v>Zoom</v>
      </c>
      <c r="M185" s="143">
        <v>50</v>
      </c>
      <c r="N185" s="152">
        <v>650</v>
      </c>
      <c r="O185" s="20">
        <f t="shared" si="5"/>
        <v>32500</v>
      </c>
      <c r="P185" s="21">
        <f t="shared" si="9"/>
        <v>1249806.25</v>
      </c>
      <c r="R185" s="112">
        <v>0</v>
      </c>
      <c r="S185" s="112">
        <v>0</v>
      </c>
      <c r="T185" s="113">
        <f t="shared" si="8"/>
        <v>335</v>
      </c>
      <c r="U185" s="132"/>
    </row>
    <row r="186" spans="2:21" x14ac:dyDescent="0.25">
      <c r="B186" s="23">
        <v>45966</v>
      </c>
      <c r="C186" s="91">
        <v>2</v>
      </c>
      <c r="D186" s="18" t="str">
        <f>IFERROR(VLOOKUP(Trabajos!C186,Referencias!$E$7:$F$30,2,FALSE),"")</f>
        <v>Monitoreo de bb y bab</v>
      </c>
      <c r="E186" s="91">
        <v>33</v>
      </c>
      <c r="F186" s="18" t="str">
        <f>IFERROR(VLOOKUP(Trabajos!$E186,Clientes,2,FALSE),"")</f>
        <v>Espartina S.A.</v>
      </c>
      <c r="G186" s="91" t="s">
        <v>383</v>
      </c>
      <c r="H186" s="142">
        <v>268</v>
      </c>
      <c r="I186" s="138">
        <v>3270.37</v>
      </c>
      <c r="J186" s="19">
        <f t="shared" si="4"/>
        <v>876459.15999999992</v>
      </c>
      <c r="K186" s="26">
        <v>3</v>
      </c>
      <c r="L186" s="19" t="str">
        <f>IFERROR(VLOOKUP(K186,Referencias!$H$7:$I$9,2,FALSE),"")</f>
        <v>Zoom</v>
      </c>
      <c r="M186" s="143">
        <v>117</v>
      </c>
      <c r="N186" s="152">
        <v>633.85</v>
      </c>
      <c r="O186" s="20">
        <f t="shared" si="5"/>
        <v>74160.45</v>
      </c>
      <c r="P186" s="21">
        <f t="shared" si="9"/>
        <v>950619.60999999987</v>
      </c>
      <c r="R186" s="112">
        <v>0</v>
      </c>
      <c r="S186" s="112">
        <v>0</v>
      </c>
      <c r="T186" s="113">
        <f t="shared" si="8"/>
        <v>268</v>
      </c>
      <c r="U186" s="132"/>
    </row>
    <row r="187" spans="2:21" x14ac:dyDescent="0.25">
      <c r="B187" s="23">
        <v>45966</v>
      </c>
      <c r="C187" s="91">
        <v>2</v>
      </c>
      <c r="D187" s="18" t="str">
        <f>IFERROR(VLOOKUP(Trabajos!C187,Referencias!$E$7:$F$30,2,FALSE),"")</f>
        <v>Monitoreo de bb y bab</v>
      </c>
      <c r="E187" s="91">
        <v>11</v>
      </c>
      <c r="F187" s="18" t="str">
        <f>IFERROR(VLOOKUP(Trabajos!$E187,Clientes,2,FALSE),"")</f>
        <v>Carlos Fernando Fuertes</v>
      </c>
      <c r="G187" s="91" t="s">
        <v>230</v>
      </c>
      <c r="H187" s="142">
        <v>187</v>
      </c>
      <c r="I187" s="229">
        <v>3660</v>
      </c>
      <c r="J187" s="19">
        <f t="shared" si="4"/>
        <v>684420</v>
      </c>
      <c r="K187" s="26">
        <v>3</v>
      </c>
      <c r="L187" s="19" t="str">
        <f>IFERROR(VLOOKUP(K187,Referencias!$H$7:$I$9,2,FALSE),"")</f>
        <v>Zoom</v>
      </c>
      <c r="M187" s="143">
        <v>120</v>
      </c>
      <c r="N187" s="152">
        <v>650</v>
      </c>
      <c r="O187" s="20">
        <f t="shared" si="5"/>
        <v>78000</v>
      </c>
      <c r="P187" s="21">
        <f t="shared" si="9"/>
        <v>762420</v>
      </c>
      <c r="R187" s="136">
        <v>0</v>
      </c>
      <c r="S187" s="112">
        <v>0</v>
      </c>
      <c r="T187" s="113">
        <f t="shared" si="8"/>
        <v>187</v>
      </c>
      <c r="U187" s="132"/>
    </row>
    <row r="188" spans="2:21" x14ac:dyDescent="0.25">
      <c r="B188" s="23">
        <v>45967</v>
      </c>
      <c r="C188" s="91">
        <v>3</v>
      </c>
      <c r="D188" s="18" t="str">
        <f>IFERROR(VLOOKUP(Trabajos!C188,Referencias!$E$7:$F$30,2,FALSE),"")</f>
        <v>Aplicación de cebos</v>
      </c>
      <c r="E188" s="91">
        <v>33</v>
      </c>
      <c r="F188" s="18" t="str">
        <f>IFERROR(VLOOKUP(Trabajos!$E188,Clientes,2,FALSE),"")</f>
        <v>Espartina S.A.</v>
      </c>
      <c r="G188" s="91" t="s">
        <v>313</v>
      </c>
      <c r="H188" s="142">
        <v>68</v>
      </c>
      <c r="I188" s="138">
        <v>7250</v>
      </c>
      <c r="J188" s="19">
        <f t="shared" si="4"/>
        <v>493000</v>
      </c>
      <c r="K188" s="26">
        <v>2</v>
      </c>
      <c r="L188" s="19" t="str">
        <f>IFERROR(VLOOKUP(K188,Referencias!$H$7:$I$9,2,FALSE),"")</f>
        <v>Paco</v>
      </c>
      <c r="M188" s="143">
        <v>137</v>
      </c>
      <c r="N188" s="138">
        <v>633.85</v>
      </c>
      <c r="O188" s="20">
        <f t="shared" si="5"/>
        <v>86837.45</v>
      </c>
      <c r="P188" s="21">
        <f t="shared" si="9"/>
        <v>579837.44999999995</v>
      </c>
      <c r="R188" s="112">
        <v>68</v>
      </c>
      <c r="S188" s="112">
        <v>0</v>
      </c>
      <c r="T188" s="113">
        <f t="shared" ref="T188:T394" si="10">H188-R188-S188</f>
        <v>0</v>
      </c>
      <c r="U188" s="132"/>
    </row>
    <row r="189" spans="2:21" x14ac:dyDescent="0.25">
      <c r="B189" s="23">
        <v>45967</v>
      </c>
      <c r="C189" s="91">
        <v>2</v>
      </c>
      <c r="D189" s="18" t="str">
        <f>IFERROR(VLOOKUP(Trabajos!C189,Referencias!$E$7:$F$30,2,FALSE),"")</f>
        <v>Monitoreo de bb y bab</v>
      </c>
      <c r="E189" s="91">
        <v>98</v>
      </c>
      <c r="F189" s="18" t="str">
        <f>IFERROR(VLOOKUP(Trabajos!$E189,Clientes,2,FALSE),"")</f>
        <v>Inalco</v>
      </c>
      <c r="G189" s="91" t="s">
        <v>207</v>
      </c>
      <c r="H189" s="142">
        <v>165</v>
      </c>
      <c r="I189" s="152">
        <v>3610</v>
      </c>
      <c r="J189" s="19">
        <f t="shared" si="4"/>
        <v>595650</v>
      </c>
      <c r="K189" s="26">
        <v>3</v>
      </c>
      <c r="L189" s="19" t="str">
        <f>IFERROR(VLOOKUP(K189,Referencias!$H$7:$I$9,2,FALSE),"")</f>
        <v>Zoom</v>
      </c>
      <c r="M189" s="143">
        <v>0</v>
      </c>
      <c r="N189" s="152">
        <v>650</v>
      </c>
      <c r="O189" s="20">
        <f t="shared" si="5"/>
        <v>0</v>
      </c>
      <c r="P189" s="21">
        <f t="shared" si="9"/>
        <v>595650</v>
      </c>
      <c r="R189" s="112">
        <v>0</v>
      </c>
      <c r="S189" s="112">
        <v>0</v>
      </c>
      <c r="T189" s="113">
        <f t="shared" si="10"/>
        <v>165</v>
      </c>
      <c r="U189" s="132"/>
    </row>
    <row r="190" spans="2:21" x14ac:dyDescent="0.25">
      <c r="B190" s="23">
        <v>45967</v>
      </c>
      <c r="C190" s="91">
        <v>2</v>
      </c>
      <c r="D190" s="18" t="str">
        <f>IFERROR(VLOOKUP(Trabajos!C190,Referencias!$E$7:$F$30,2,FALSE),"")</f>
        <v>Monitoreo de bb y bab</v>
      </c>
      <c r="E190" s="91">
        <v>99</v>
      </c>
      <c r="F190" s="18" t="str">
        <f>IFERROR(VLOOKUP(Trabajos!$E190,Clientes,2,FALSE),"")</f>
        <v>San Vicente</v>
      </c>
      <c r="G190" s="91" t="s">
        <v>208</v>
      </c>
      <c r="H190" s="142">
        <v>213</v>
      </c>
      <c r="I190" s="152">
        <v>3467.5</v>
      </c>
      <c r="J190" s="19">
        <f t="shared" si="4"/>
        <v>738577.5</v>
      </c>
      <c r="K190" s="26">
        <v>3</v>
      </c>
      <c r="L190" s="19" t="str">
        <f>IFERROR(VLOOKUP(K190,Referencias!$H$7:$I$9,2,FALSE),"")</f>
        <v>Zoom</v>
      </c>
      <c r="M190" s="143">
        <v>186</v>
      </c>
      <c r="N190" s="152">
        <v>650</v>
      </c>
      <c r="O190" s="20">
        <f t="shared" si="5"/>
        <v>120900</v>
      </c>
      <c r="P190" s="21">
        <f t="shared" si="9"/>
        <v>859477.5</v>
      </c>
      <c r="R190" s="112">
        <v>0</v>
      </c>
      <c r="S190" s="112">
        <v>0</v>
      </c>
      <c r="T190" s="113">
        <f t="shared" si="10"/>
        <v>213</v>
      </c>
      <c r="U190" s="132"/>
    </row>
    <row r="191" spans="2:21" x14ac:dyDescent="0.25">
      <c r="B191" s="23">
        <v>45967</v>
      </c>
      <c r="C191" s="91">
        <v>2</v>
      </c>
      <c r="D191" s="18" t="str">
        <f>IFERROR(VLOOKUP(Trabajos!C191,Referencias!$E$7:$F$30,2,FALSE),"")</f>
        <v>Monitoreo de bb y bab</v>
      </c>
      <c r="E191" s="91">
        <v>40</v>
      </c>
      <c r="F191" s="18" t="str">
        <f>IFERROR(VLOOKUP(Trabajos!$E191,Clientes,2,FALSE),"")</f>
        <v>Cía. de Tierras Sud Argentino S.A.</v>
      </c>
      <c r="G191" s="91" t="s">
        <v>296</v>
      </c>
      <c r="H191" s="119">
        <v>365</v>
      </c>
      <c r="I191" s="152">
        <v>3633.75</v>
      </c>
      <c r="J191" s="19">
        <f t="shared" si="4"/>
        <v>1326318.75</v>
      </c>
      <c r="K191" s="26">
        <v>3</v>
      </c>
      <c r="L191" s="19" t="str">
        <f>IFERROR(VLOOKUP(K191,Referencias!$H$7:$I$9,2,FALSE),"")</f>
        <v>Zoom</v>
      </c>
      <c r="M191" s="143">
        <v>50</v>
      </c>
      <c r="N191" s="152">
        <v>650</v>
      </c>
      <c r="O191" s="20">
        <f t="shared" si="5"/>
        <v>32500</v>
      </c>
      <c r="P191" s="21">
        <f t="shared" si="9"/>
        <v>1358818.75</v>
      </c>
      <c r="R191" s="112">
        <v>0</v>
      </c>
      <c r="S191" s="112">
        <v>0</v>
      </c>
      <c r="T191" s="113">
        <f t="shared" si="10"/>
        <v>365</v>
      </c>
      <c r="U191" s="132"/>
    </row>
    <row r="192" spans="2:21" x14ac:dyDescent="0.25">
      <c r="B192" s="23">
        <v>45967</v>
      </c>
      <c r="C192" s="91">
        <v>3</v>
      </c>
      <c r="D192" s="18" t="str">
        <f>IFERROR(VLOOKUP(Trabajos!C192,Referencias!$E$7:$F$30,2,FALSE),"")</f>
        <v>Aplicación de cebos</v>
      </c>
      <c r="E192" s="91">
        <v>33</v>
      </c>
      <c r="F192" s="18" t="str">
        <f>IFERROR(VLOOKUP(Trabajos!$E192,Clientes,2,FALSE),"")</f>
        <v>Espartina S.A.</v>
      </c>
      <c r="G192" s="91" t="s">
        <v>289</v>
      </c>
      <c r="H192" s="142">
        <v>169</v>
      </c>
      <c r="I192" s="138">
        <v>7250</v>
      </c>
      <c r="J192" s="19">
        <f t="shared" si="4"/>
        <v>1225250</v>
      </c>
      <c r="K192" s="26">
        <v>3</v>
      </c>
      <c r="L192" s="19" t="str">
        <f>IFERROR(VLOOKUP(K192,Referencias!$H$7:$I$9,2,FALSE),"")</f>
        <v>Zoom</v>
      </c>
      <c r="M192" s="143">
        <v>137</v>
      </c>
      <c r="N192" s="138">
        <v>633.85</v>
      </c>
      <c r="O192" s="20">
        <f t="shared" si="5"/>
        <v>86837.45</v>
      </c>
      <c r="P192" s="21">
        <f t="shared" si="9"/>
        <v>1312087.45</v>
      </c>
      <c r="R192" s="112">
        <v>0</v>
      </c>
      <c r="S192" s="112">
        <v>0</v>
      </c>
      <c r="T192" s="113">
        <f t="shared" si="10"/>
        <v>169</v>
      </c>
      <c r="U192" s="132"/>
    </row>
    <row r="193" spans="1:21" x14ac:dyDescent="0.25">
      <c r="B193" s="23">
        <v>45967</v>
      </c>
      <c r="C193" s="91">
        <v>3</v>
      </c>
      <c r="D193" s="18" t="str">
        <f>IFERROR(VLOOKUP(Trabajos!C193,Referencias!$E$7:$F$30,2,FALSE),"")</f>
        <v>Aplicación de cebos</v>
      </c>
      <c r="E193" s="91">
        <v>84</v>
      </c>
      <c r="F193" s="18" t="str">
        <f>IFERROR(VLOOKUP(Trabajos!$E193,Clientes,2,FALSE),"")</f>
        <v>Domingo y Nestor Scioli</v>
      </c>
      <c r="G193" s="91" t="s">
        <v>328</v>
      </c>
      <c r="H193" s="119">
        <v>98</v>
      </c>
      <c r="I193" s="152">
        <v>7267.5</v>
      </c>
      <c r="J193" s="19">
        <f t="shared" si="4"/>
        <v>712215</v>
      </c>
      <c r="K193" s="26">
        <v>3</v>
      </c>
      <c r="L193" s="19" t="str">
        <f>IFERROR(VLOOKUP(K193,Referencias!$H$7:$I$9,2,FALSE),"")</f>
        <v>Zoom</v>
      </c>
      <c r="M193" s="143">
        <v>220</v>
      </c>
      <c r="N193" s="152">
        <v>650</v>
      </c>
      <c r="O193" s="20">
        <f t="shared" si="5"/>
        <v>143000</v>
      </c>
      <c r="P193" s="21">
        <f t="shared" si="9"/>
        <v>855215</v>
      </c>
      <c r="R193" s="112">
        <v>0</v>
      </c>
      <c r="S193" s="112">
        <v>0</v>
      </c>
      <c r="T193" s="113">
        <f t="shared" si="10"/>
        <v>98</v>
      </c>
      <c r="U193" s="132"/>
    </row>
    <row r="194" spans="1:21" x14ac:dyDescent="0.25">
      <c r="B194" s="23">
        <v>45955</v>
      </c>
      <c r="C194" s="91">
        <v>3</v>
      </c>
      <c r="D194" s="18" t="str">
        <f>IFERROR(VLOOKUP(Trabajos!C194,Referencias!$E$7:$F$30,2,FALSE),"")</f>
        <v>Aplicación de cebos</v>
      </c>
      <c r="E194" s="91">
        <v>33</v>
      </c>
      <c r="F194" s="18" t="str">
        <f>IFERROR(VLOOKUP(Trabajos!$E194,Clientes,2,FALSE),"")</f>
        <v>Espartina S.A.</v>
      </c>
      <c r="G194" s="91" t="s">
        <v>267</v>
      </c>
      <c r="H194" s="142">
        <v>45</v>
      </c>
      <c r="I194" s="138">
        <v>7250</v>
      </c>
      <c r="J194" s="19">
        <f t="shared" si="4"/>
        <v>326250</v>
      </c>
      <c r="K194" s="26">
        <v>3</v>
      </c>
      <c r="L194" s="19" t="str">
        <f>IFERROR(VLOOKUP(K194,Referencias!$H$7:$I$9,2,FALSE),"")</f>
        <v>Zoom</v>
      </c>
      <c r="M194" s="143">
        <v>180</v>
      </c>
      <c r="N194" s="138">
        <v>633.85</v>
      </c>
      <c r="O194" s="20">
        <f t="shared" si="5"/>
        <v>114093</v>
      </c>
      <c r="P194" s="21">
        <f t="shared" si="9"/>
        <v>440343</v>
      </c>
      <c r="R194" s="112">
        <v>0</v>
      </c>
      <c r="S194" s="112">
        <v>0</v>
      </c>
      <c r="T194" s="113">
        <f t="shared" si="10"/>
        <v>45</v>
      </c>
      <c r="U194" s="132"/>
    </row>
    <row r="195" spans="1:21" x14ac:dyDescent="0.25">
      <c r="B195" s="23">
        <v>45957</v>
      </c>
      <c r="C195" s="91">
        <v>3</v>
      </c>
      <c r="D195" s="18" t="str">
        <f>IFERROR(VLOOKUP(Trabajos!C195,Referencias!$E$7:$F$30,2,FALSE),"")</f>
        <v>Aplicación de cebos</v>
      </c>
      <c r="E195" s="91">
        <v>33</v>
      </c>
      <c r="F195" s="18" t="str">
        <f>IFERROR(VLOOKUP(Trabajos!$E195,Clientes,2,FALSE),"")</f>
        <v>Espartina S.A.</v>
      </c>
      <c r="G195" s="91" t="s">
        <v>267</v>
      </c>
      <c r="H195" s="142">
        <v>41</v>
      </c>
      <c r="I195" s="138">
        <v>7250</v>
      </c>
      <c r="J195" s="19">
        <f t="shared" si="4"/>
        <v>297250</v>
      </c>
      <c r="K195" s="26">
        <v>3</v>
      </c>
      <c r="L195" s="19" t="str">
        <f>IFERROR(VLOOKUP(K195,Referencias!$H$7:$I$9,2,FALSE),"")</f>
        <v>Zoom</v>
      </c>
      <c r="M195" s="143">
        <v>180</v>
      </c>
      <c r="N195" s="138">
        <v>633.85</v>
      </c>
      <c r="O195" s="20">
        <f t="shared" si="5"/>
        <v>114093</v>
      </c>
      <c r="P195" s="21">
        <f t="shared" si="9"/>
        <v>411343</v>
      </c>
      <c r="R195" s="112">
        <v>0</v>
      </c>
      <c r="S195" s="112">
        <v>0</v>
      </c>
      <c r="T195" s="113">
        <f t="shared" si="10"/>
        <v>41</v>
      </c>
      <c r="U195" s="132"/>
    </row>
    <row r="196" spans="1:21" x14ac:dyDescent="0.25">
      <c r="B196" s="23">
        <v>45958</v>
      </c>
      <c r="C196" s="91">
        <v>2</v>
      </c>
      <c r="D196" s="18" t="str">
        <f>IFERROR(VLOOKUP(Trabajos!C196,Referencias!$E$7:$F$30,2,FALSE),"")</f>
        <v>Monitoreo de bb y bab</v>
      </c>
      <c r="E196" s="91">
        <v>107</v>
      </c>
      <c r="F196" s="18" t="str">
        <f>IFERROR(VLOOKUP(Trabajos!$E196,Clientes,2,FALSE),"")</f>
        <v>Omar Piaggio</v>
      </c>
      <c r="G196" s="91" t="s">
        <v>242</v>
      </c>
      <c r="H196" s="119">
        <v>90</v>
      </c>
      <c r="I196" s="152">
        <v>0</v>
      </c>
      <c r="J196" s="19">
        <f t="shared" si="4"/>
        <v>0</v>
      </c>
      <c r="K196" s="26">
        <v>3</v>
      </c>
      <c r="L196" s="19" t="str">
        <f>IFERROR(VLOOKUP(K196,Referencias!$H$7:$I$9,2,FALSE),"")</f>
        <v>Zoom</v>
      </c>
      <c r="M196" s="143">
        <v>0</v>
      </c>
      <c r="N196" s="152">
        <v>588</v>
      </c>
      <c r="O196" s="20">
        <f t="shared" si="5"/>
        <v>0</v>
      </c>
      <c r="P196" s="21">
        <f t="shared" si="9"/>
        <v>0</v>
      </c>
      <c r="Q196" s="22" t="s">
        <v>4</v>
      </c>
      <c r="R196" s="112">
        <v>0</v>
      </c>
      <c r="S196" s="112">
        <v>0</v>
      </c>
      <c r="T196" s="113">
        <f t="shared" si="10"/>
        <v>90</v>
      </c>
      <c r="U196" s="132"/>
    </row>
    <row r="197" spans="1:21" x14ac:dyDescent="0.25">
      <c r="B197" s="23">
        <v>45959</v>
      </c>
      <c r="C197" s="91">
        <v>3</v>
      </c>
      <c r="D197" s="18" t="str">
        <f>IFERROR(VLOOKUP(Trabajos!C197,Referencias!$E$7:$F$30,2,FALSE),"")</f>
        <v>Aplicación de cebos</v>
      </c>
      <c r="E197" s="91">
        <v>33</v>
      </c>
      <c r="F197" s="18" t="str">
        <f>IFERROR(VLOOKUP(Trabajos!$E197,Clientes,2,FALSE),"")</f>
        <v>Espartina S.A.</v>
      </c>
      <c r="G197" s="91" t="s">
        <v>291</v>
      </c>
      <c r="H197" s="142">
        <v>79</v>
      </c>
      <c r="I197" s="138">
        <v>7250</v>
      </c>
      <c r="J197" s="19">
        <f t="shared" si="4"/>
        <v>572750</v>
      </c>
      <c r="K197" s="26">
        <v>3</v>
      </c>
      <c r="L197" s="19" t="str">
        <f>IFERROR(VLOOKUP(K197,Referencias!$H$7:$I$9,2,FALSE),"")</f>
        <v>Zoom</v>
      </c>
      <c r="M197" s="143">
        <v>294</v>
      </c>
      <c r="N197" s="138">
        <v>633.85</v>
      </c>
      <c r="O197" s="20">
        <f t="shared" si="5"/>
        <v>186351.9</v>
      </c>
      <c r="P197" s="21">
        <f t="shared" si="9"/>
        <v>759101.9</v>
      </c>
      <c r="Q197" s="22" t="s">
        <v>4</v>
      </c>
      <c r="R197" s="112">
        <v>0</v>
      </c>
      <c r="S197" s="112">
        <v>0</v>
      </c>
      <c r="T197" s="113">
        <f t="shared" si="10"/>
        <v>79</v>
      </c>
      <c r="U197" s="132"/>
    </row>
    <row r="198" spans="1:21" x14ac:dyDescent="0.25">
      <c r="B198" s="23">
        <v>45964</v>
      </c>
      <c r="C198" s="91">
        <v>3</v>
      </c>
      <c r="D198" s="18" t="str">
        <f>IFERROR(VLOOKUP(Trabajos!C198,Referencias!$E$7:$F$30,2,FALSE),"")</f>
        <v>Aplicación de cebos</v>
      </c>
      <c r="E198" s="91">
        <v>33</v>
      </c>
      <c r="F198" s="18" t="str">
        <f>IFERROR(VLOOKUP(Trabajos!$E198,Clientes,2,FALSE),"")</f>
        <v>Espartina S.A.</v>
      </c>
      <c r="G198" s="91" t="s">
        <v>252</v>
      </c>
      <c r="H198" s="142">
        <v>130</v>
      </c>
      <c r="I198" s="138">
        <v>7267.5</v>
      </c>
      <c r="J198" s="19">
        <f t="shared" si="4"/>
        <v>944775</v>
      </c>
      <c r="K198" s="26">
        <v>3</v>
      </c>
      <c r="L198" s="19" t="str">
        <f>IFERROR(VLOOKUP(K198,Referencias!$H$7:$I$9,2,FALSE),"")</f>
        <v>Zoom</v>
      </c>
      <c r="M198" s="143">
        <v>208</v>
      </c>
      <c r="N198" s="152">
        <v>633.85</v>
      </c>
      <c r="O198" s="20">
        <f t="shared" si="5"/>
        <v>131840.80000000002</v>
      </c>
      <c r="P198" s="21">
        <f t="shared" si="9"/>
        <v>1076615.8</v>
      </c>
      <c r="Q198" s="22" t="s">
        <v>4</v>
      </c>
      <c r="R198" s="112">
        <v>0</v>
      </c>
      <c r="S198" s="112">
        <v>0</v>
      </c>
      <c r="T198" s="113">
        <f t="shared" si="10"/>
        <v>130</v>
      </c>
      <c r="U198" s="132"/>
    </row>
    <row r="199" spans="1:21" x14ac:dyDescent="0.25">
      <c r="A199" s="22" t="s">
        <v>4</v>
      </c>
      <c r="B199" s="206">
        <v>45962</v>
      </c>
      <c r="C199" s="91">
        <v>3</v>
      </c>
      <c r="D199" s="18" t="str">
        <f>IFERROR(VLOOKUP(Trabajos!C199,Referencias!$E$7:$F$30,2,FALSE),"")</f>
        <v>Aplicación de cebos</v>
      </c>
      <c r="E199" s="91">
        <v>33</v>
      </c>
      <c r="F199" s="18" t="str">
        <f>IFERROR(VLOOKUP(Trabajos!$E199,Clientes,2,FALSE),"")</f>
        <v>Espartina S.A.</v>
      </c>
      <c r="G199" s="91" t="s">
        <v>307</v>
      </c>
      <c r="H199" s="142">
        <v>225</v>
      </c>
      <c r="I199" s="138">
        <v>7250</v>
      </c>
      <c r="J199" s="19">
        <f t="shared" si="4"/>
        <v>1631250</v>
      </c>
      <c r="K199" s="26">
        <v>3</v>
      </c>
      <c r="L199" s="19" t="str">
        <f>IFERROR(VLOOKUP(K199,Referencias!$H$7:$I$9,2,FALSE),"")</f>
        <v>Zoom</v>
      </c>
      <c r="M199" s="143">
        <v>210</v>
      </c>
      <c r="N199" s="138">
        <v>633.85</v>
      </c>
      <c r="O199" s="20">
        <f t="shared" si="5"/>
        <v>133108.5</v>
      </c>
      <c r="P199" s="21">
        <f t="shared" si="9"/>
        <v>1764358.5</v>
      </c>
      <c r="R199" s="112">
        <v>0</v>
      </c>
      <c r="S199" s="112">
        <v>0</v>
      </c>
      <c r="T199" s="113">
        <f t="shared" si="10"/>
        <v>225</v>
      </c>
      <c r="U199" s="132"/>
    </row>
    <row r="200" spans="1:21" x14ac:dyDescent="0.25">
      <c r="B200" s="206">
        <v>45963</v>
      </c>
      <c r="C200" s="91">
        <v>3</v>
      </c>
      <c r="D200" s="18" t="str">
        <f>IFERROR(VLOOKUP(Trabajos!C200,Referencias!$E$7:$F$30,2,FALSE),"")</f>
        <v>Aplicación de cebos</v>
      </c>
      <c r="E200" s="91">
        <v>33</v>
      </c>
      <c r="F200" s="18" t="str">
        <f>IFERROR(VLOOKUP(Trabajos!$E200,Clientes,2,FALSE),"")</f>
        <v>Espartina S.A.</v>
      </c>
      <c r="G200" s="91" t="s">
        <v>308</v>
      </c>
      <c r="H200" s="212">
        <v>128</v>
      </c>
      <c r="I200" s="138">
        <v>7250</v>
      </c>
      <c r="J200" s="19">
        <f t="shared" si="4"/>
        <v>928000</v>
      </c>
      <c r="K200" s="26">
        <v>3</v>
      </c>
      <c r="L200" s="19" t="str">
        <f>IFERROR(VLOOKUP(K200,Referencias!$H$7:$I$9,2,FALSE),"")</f>
        <v>Zoom</v>
      </c>
      <c r="M200" s="143">
        <v>186</v>
      </c>
      <c r="N200" s="138">
        <v>633.85</v>
      </c>
      <c r="O200" s="20">
        <f t="shared" si="5"/>
        <v>117896.1</v>
      </c>
      <c r="P200" s="21">
        <f t="shared" si="9"/>
        <v>1045896.1</v>
      </c>
      <c r="R200" s="112">
        <v>0</v>
      </c>
      <c r="S200" s="112">
        <v>0</v>
      </c>
      <c r="T200" s="113">
        <f t="shared" si="10"/>
        <v>128</v>
      </c>
      <c r="U200" s="132"/>
    </row>
    <row r="201" spans="1:21" x14ac:dyDescent="0.25">
      <c r="B201" s="206">
        <v>45964</v>
      </c>
      <c r="C201" s="91">
        <v>3</v>
      </c>
      <c r="D201" s="18" t="str">
        <f>IFERROR(VLOOKUP(Trabajos!C201,Referencias!$E$7:$F$30,2,FALSE),"")</f>
        <v>Aplicación de cebos</v>
      </c>
      <c r="E201" s="91">
        <v>33</v>
      </c>
      <c r="F201" s="18" t="str">
        <f>IFERROR(VLOOKUP(Trabajos!$E201,Clientes,2,FALSE),"")</f>
        <v>Espartina S.A.</v>
      </c>
      <c r="G201" s="91" t="s">
        <v>366</v>
      </c>
      <c r="H201" s="142">
        <v>174</v>
      </c>
      <c r="I201" s="138">
        <v>7250</v>
      </c>
      <c r="J201" s="19">
        <f t="shared" si="4"/>
        <v>1261500</v>
      </c>
      <c r="K201" s="26">
        <v>3</v>
      </c>
      <c r="L201" s="19" t="str">
        <f>IFERROR(VLOOKUP(K201,Referencias!$H$7:$I$9,2,FALSE),"")</f>
        <v>Zoom</v>
      </c>
      <c r="M201" s="143">
        <v>208</v>
      </c>
      <c r="N201" s="138">
        <v>633.85</v>
      </c>
      <c r="O201" s="20">
        <f t="shared" si="5"/>
        <v>131840.80000000002</v>
      </c>
      <c r="P201" s="21">
        <f t="shared" si="9"/>
        <v>1393340.8</v>
      </c>
      <c r="Q201" s="22" t="s">
        <v>4</v>
      </c>
      <c r="R201" s="112">
        <v>0</v>
      </c>
      <c r="S201" s="112">
        <v>0</v>
      </c>
      <c r="T201" s="113">
        <f t="shared" si="10"/>
        <v>174</v>
      </c>
      <c r="U201" s="132"/>
    </row>
    <row r="202" spans="1:21" x14ac:dyDescent="0.25">
      <c r="B202" s="206">
        <v>45975</v>
      </c>
      <c r="C202" s="91">
        <v>3</v>
      </c>
      <c r="D202" s="18" t="str">
        <f>IFERROR(VLOOKUP(Trabajos!C202,Referencias!$E$7:$F$30,2,FALSE),"")</f>
        <v>Aplicación de cebos</v>
      </c>
      <c r="E202" s="91">
        <v>33</v>
      </c>
      <c r="F202" s="18" t="str">
        <f>IFERROR(VLOOKUP(Trabajos!$E202,Clientes,2,FALSE),"")</f>
        <v>Espartina S.A.</v>
      </c>
      <c r="G202" s="91" t="s">
        <v>387</v>
      </c>
      <c r="H202" s="212">
        <v>108</v>
      </c>
      <c r="I202" s="138">
        <v>7250</v>
      </c>
      <c r="J202" s="19">
        <f t="shared" si="4"/>
        <v>783000</v>
      </c>
      <c r="K202" s="26">
        <v>3</v>
      </c>
      <c r="L202" s="19" t="str">
        <f>IFERROR(VLOOKUP(K202,Referencias!$H$7:$I$9,2,FALSE),"")</f>
        <v>Zoom</v>
      </c>
      <c r="M202" s="143">
        <v>186</v>
      </c>
      <c r="N202" s="138">
        <v>633.85</v>
      </c>
      <c r="O202" s="20">
        <f t="shared" si="5"/>
        <v>117896.1</v>
      </c>
      <c r="P202" s="21">
        <f t="shared" si="9"/>
        <v>900896.1</v>
      </c>
      <c r="R202" s="112">
        <v>0</v>
      </c>
      <c r="S202" s="112">
        <v>0</v>
      </c>
      <c r="T202" s="113">
        <f t="shared" si="10"/>
        <v>108</v>
      </c>
      <c r="U202" s="132"/>
    </row>
    <row r="203" spans="1:21" x14ac:dyDescent="0.25">
      <c r="B203" s="206">
        <v>45962</v>
      </c>
      <c r="C203" s="91">
        <v>2</v>
      </c>
      <c r="D203" s="18" t="str">
        <f>IFERROR(VLOOKUP(Trabajos!C203,Referencias!$E$7:$F$30,2,FALSE),"")</f>
        <v>Monitoreo de bb y bab</v>
      </c>
      <c r="E203" s="91">
        <v>120</v>
      </c>
      <c r="F203" s="18" t="str">
        <f>IFERROR(VLOOKUP(Trabajos!$E203,Clientes,2,FALSE),"")</f>
        <v xml:space="preserve">EDM </v>
      </c>
      <c r="G203" s="91" t="s">
        <v>386</v>
      </c>
      <c r="H203" s="142">
        <v>95</v>
      </c>
      <c r="I203" s="152">
        <v>3625</v>
      </c>
      <c r="J203" s="19">
        <f t="shared" si="4"/>
        <v>344375</v>
      </c>
      <c r="K203" s="26">
        <v>3</v>
      </c>
      <c r="L203" s="19" t="str">
        <f>IFERROR(VLOOKUP(K203,Referencias!$H$7:$I$9,2,FALSE),"")</f>
        <v>Zoom</v>
      </c>
      <c r="M203" s="143">
        <v>222</v>
      </c>
      <c r="N203" s="152">
        <v>650</v>
      </c>
      <c r="O203" s="20">
        <f t="shared" si="5"/>
        <v>144300</v>
      </c>
      <c r="P203" s="21">
        <f t="shared" si="9"/>
        <v>488675</v>
      </c>
      <c r="R203" s="112">
        <v>0</v>
      </c>
      <c r="S203" s="112">
        <v>0</v>
      </c>
      <c r="T203" s="113">
        <f t="shared" si="10"/>
        <v>95</v>
      </c>
      <c r="U203" s="132"/>
    </row>
    <row r="204" spans="1:21" x14ac:dyDescent="0.25">
      <c r="B204" s="23">
        <v>45968</v>
      </c>
      <c r="C204" s="91">
        <v>3</v>
      </c>
      <c r="D204" s="18" t="str">
        <f>IFERROR(VLOOKUP(Trabajos!C204,Referencias!$E$7:$F$30,2,FALSE),"")</f>
        <v>Aplicación de cebos</v>
      </c>
      <c r="E204" s="91">
        <v>33</v>
      </c>
      <c r="F204" s="18" t="str">
        <f>IFERROR(VLOOKUP(Trabajos!$E204,Clientes,2,FALSE),"")</f>
        <v>Espartina S.A.</v>
      </c>
      <c r="G204" s="91" t="s">
        <v>313</v>
      </c>
      <c r="H204" s="142">
        <v>91</v>
      </c>
      <c r="I204" s="138">
        <v>7250</v>
      </c>
      <c r="J204" s="19">
        <f t="shared" si="4"/>
        <v>659750</v>
      </c>
      <c r="K204" s="26">
        <v>2</v>
      </c>
      <c r="L204" s="19" t="str">
        <f>IFERROR(VLOOKUP(K204,Referencias!$H$7:$I$9,2,FALSE),"")</f>
        <v>Paco</v>
      </c>
      <c r="M204" s="143">
        <v>274</v>
      </c>
      <c r="N204" s="138">
        <v>633.85</v>
      </c>
      <c r="O204" s="20">
        <f t="shared" si="5"/>
        <v>173674.9</v>
      </c>
      <c r="P204" s="21">
        <f t="shared" si="9"/>
        <v>833424.9</v>
      </c>
      <c r="Q204" s="22" t="s">
        <v>4</v>
      </c>
      <c r="R204" s="112">
        <v>80</v>
      </c>
      <c r="S204" s="112">
        <v>0</v>
      </c>
      <c r="T204" s="113">
        <f t="shared" si="10"/>
        <v>11</v>
      </c>
      <c r="U204" s="132"/>
    </row>
    <row r="205" spans="1:21" x14ac:dyDescent="0.25">
      <c r="B205" s="23">
        <v>45968</v>
      </c>
      <c r="C205" s="91">
        <v>3</v>
      </c>
      <c r="D205" s="18" t="str">
        <f>IFERROR(VLOOKUP(Trabajos!C205,Referencias!$E$7:$F$30,2,FALSE),"")</f>
        <v>Aplicación de cebos</v>
      </c>
      <c r="E205" s="91">
        <v>123</v>
      </c>
      <c r="F205" s="18" t="str">
        <f>IFERROR(VLOOKUP(Trabajos!$E205,Clientes,2,FALSE),"")</f>
        <v>Agustin Odriozola</v>
      </c>
      <c r="G205" s="91" t="s">
        <v>390</v>
      </c>
      <c r="H205" s="142">
        <v>74</v>
      </c>
      <c r="I205" s="152">
        <v>6935</v>
      </c>
      <c r="J205" s="19">
        <f t="shared" si="4"/>
        <v>513190</v>
      </c>
      <c r="K205" s="26">
        <v>1</v>
      </c>
      <c r="L205" s="19" t="str">
        <f>IFERROR(VLOOKUP(K205,Referencias!$H$7:$I$9,2,FALSE),"")</f>
        <v>Tomas</v>
      </c>
      <c r="M205" s="143">
        <v>0</v>
      </c>
      <c r="N205" s="152">
        <v>650</v>
      </c>
      <c r="O205" s="20">
        <f t="shared" si="5"/>
        <v>0</v>
      </c>
      <c r="P205" s="21">
        <f t="shared" si="9"/>
        <v>513190</v>
      </c>
      <c r="R205" s="112">
        <v>0</v>
      </c>
      <c r="S205" s="112">
        <v>74</v>
      </c>
      <c r="T205" s="113">
        <f t="shared" si="10"/>
        <v>0</v>
      </c>
      <c r="U205" s="132"/>
    </row>
    <row r="206" spans="1:21" x14ac:dyDescent="0.25">
      <c r="B206" s="23">
        <v>45968</v>
      </c>
      <c r="C206" s="91">
        <v>3</v>
      </c>
      <c r="D206" s="18" t="str">
        <f>IFERROR(VLOOKUP(Trabajos!C206,Referencias!$E$7:$F$30,2,FALSE),"")</f>
        <v>Aplicación de cebos</v>
      </c>
      <c r="E206" s="91">
        <v>122</v>
      </c>
      <c r="F206" s="18" t="str">
        <f>IFERROR(VLOOKUP(Trabajos!$E206,Clientes,2,FALSE),"")</f>
        <v>Martin Juarez</v>
      </c>
      <c r="G206" s="91" t="s">
        <v>316</v>
      </c>
      <c r="H206" s="119">
        <v>37</v>
      </c>
      <c r="I206" s="152">
        <v>7267.5</v>
      </c>
      <c r="J206" s="19">
        <f t="shared" si="4"/>
        <v>268897.5</v>
      </c>
      <c r="K206" s="26">
        <v>1</v>
      </c>
      <c r="L206" s="19" t="str">
        <f>IFERROR(VLOOKUP(K206,Referencias!$H$7:$I$9,2,FALSE),"")</f>
        <v>Tomas</v>
      </c>
      <c r="M206" s="143">
        <v>54</v>
      </c>
      <c r="N206" s="152">
        <v>650</v>
      </c>
      <c r="O206" s="20">
        <f t="shared" si="5"/>
        <v>35100</v>
      </c>
      <c r="P206" s="21">
        <f t="shared" si="9"/>
        <v>303997.5</v>
      </c>
      <c r="R206" s="112">
        <v>0</v>
      </c>
      <c r="S206" s="112">
        <v>6</v>
      </c>
      <c r="T206" s="113">
        <f t="shared" si="10"/>
        <v>31</v>
      </c>
      <c r="U206" s="132"/>
    </row>
    <row r="207" spans="1:21" x14ac:dyDescent="0.25">
      <c r="B207" s="23">
        <v>45968</v>
      </c>
      <c r="C207" s="91">
        <v>3</v>
      </c>
      <c r="D207" s="18" t="str">
        <f>IFERROR(VLOOKUP(Trabajos!C207,Referencias!$E$7:$F$30,2,FALSE),"")</f>
        <v>Aplicación de cebos</v>
      </c>
      <c r="E207" s="91">
        <v>33</v>
      </c>
      <c r="F207" s="18" t="str">
        <f>IFERROR(VLOOKUP(Trabajos!$E207,Clientes,2,FALSE),"")</f>
        <v>Espartina S.A.</v>
      </c>
      <c r="G207" s="91" t="s">
        <v>382</v>
      </c>
      <c r="H207" s="142">
        <v>115</v>
      </c>
      <c r="I207" s="138">
        <v>7250</v>
      </c>
      <c r="J207" s="19">
        <f t="shared" si="4"/>
        <v>833750</v>
      </c>
      <c r="K207" s="26">
        <v>3</v>
      </c>
      <c r="L207" s="19" t="str">
        <f>IFERROR(VLOOKUP(K207,Referencias!$H$7:$I$9,2,FALSE),"")</f>
        <v>Zoom</v>
      </c>
      <c r="M207" s="143">
        <v>270</v>
      </c>
      <c r="N207" s="138">
        <v>633.85</v>
      </c>
      <c r="O207" s="20">
        <f t="shared" si="5"/>
        <v>171139.5</v>
      </c>
      <c r="P207" s="21">
        <f t="shared" si="9"/>
        <v>1004889.5</v>
      </c>
      <c r="Q207" s="22" t="s">
        <v>4</v>
      </c>
      <c r="R207" s="112">
        <v>0</v>
      </c>
      <c r="S207" s="112">
        <v>0</v>
      </c>
      <c r="T207" s="113">
        <f t="shared" si="10"/>
        <v>115</v>
      </c>
      <c r="U207" s="132"/>
    </row>
    <row r="208" spans="1:21" x14ac:dyDescent="0.25">
      <c r="B208" s="23">
        <v>45968</v>
      </c>
      <c r="C208" s="91">
        <v>2</v>
      </c>
      <c r="D208" s="18" t="str">
        <f>IFERROR(VLOOKUP(Trabajos!C208,Referencias!$E$7:$F$30,2,FALSE),"")</f>
        <v>Monitoreo de bb y bab</v>
      </c>
      <c r="E208" s="91">
        <v>33</v>
      </c>
      <c r="F208" s="18" t="str">
        <f>IFERROR(VLOOKUP(Trabajos!$E208,Clientes,2,FALSE),"")</f>
        <v>Espartina S.A.</v>
      </c>
      <c r="G208" s="91" t="s">
        <v>391</v>
      </c>
      <c r="H208" s="142">
        <v>442</v>
      </c>
      <c r="I208" s="138">
        <v>3270.37</v>
      </c>
      <c r="J208" s="19">
        <f t="shared" si="4"/>
        <v>1445503.54</v>
      </c>
      <c r="K208" s="26">
        <v>3</v>
      </c>
      <c r="L208" s="19" t="str">
        <f>IFERROR(VLOOKUP(K208,Referencias!$H$7:$I$9,2,FALSE),"")</f>
        <v>Zoom</v>
      </c>
      <c r="M208" s="143">
        <v>190</v>
      </c>
      <c r="N208" s="152">
        <v>633.85</v>
      </c>
      <c r="O208" s="20">
        <f t="shared" si="5"/>
        <v>120431.5</v>
      </c>
      <c r="P208" s="21">
        <f t="shared" si="9"/>
        <v>1565935.04</v>
      </c>
      <c r="R208" s="112">
        <v>0</v>
      </c>
      <c r="S208" s="112">
        <v>0</v>
      </c>
      <c r="T208" s="113">
        <f t="shared" si="10"/>
        <v>442</v>
      </c>
      <c r="U208" s="132"/>
    </row>
    <row r="209" spans="2:21" x14ac:dyDescent="0.25">
      <c r="B209" s="23">
        <v>45968</v>
      </c>
      <c r="C209" s="91">
        <v>1</v>
      </c>
      <c r="D209" s="18" t="str">
        <f>IFERROR(VLOOKUP(Trabajos!C209,Referencias!$E$7:$F$30,2,FALSE),"")</f>
        <v>Muestreo de suelos</v>
      </c>
      <c r="E209" s="91">
        <v>33</v>
      </c>
      <c r="F209" s="18" t="str">
        <f>IFERROR(VLOOKUP(Trabajos!$E209,Clientes,2,FALSE),"")</f>
        <v>Espartina S.A.</v>
      </c>
      <c r="G209" s="91" t="s">
        <v>391</v>
      </c>
      <c r="H209" s="142">
        <v>80</v>
      </c>
      <c r="I209" s="138">
        <v>947.70673076900005</v>
      </c>
      <c r="J209" s="19">
        <f t="shared" si="4"/>
        <v>75816.538461520002</v>
      </c>
      <c r="K209" s="26">
        <v>3</v>
      </c>
      <c r="L209" s="19" t="str">
        <f>IFERROR(VLOOKUP(K209,Referencias!$H$7:$I$9,2,FALSE),"")</f>
        <v>Zoom</v>
      </c>
      <c r="M209" s="143">
        <v>0</v>
      </c>
      <c r="N209" s="152">
        <v>588</v>
      </c>
      <c r="O209" s="20">
        <f t="shared" si="5"/>
        <v>0</v>
      </c>
      <c r="P209" s="21">
        <f t="shared" si="9"/>
        <v>75816.538461520002</v>
      </c>
      <c r="R209" s="112">
        <v>0</v>
      </c>
      <c r="S209" s="112">
        <v>0</v>
      </c>
      <c r="T209" s="113">
        <f t="shared" si="10"/>
        <v>80</v>
      </c>
      <c r="U209" s="132"/>
    </row>
    <row r="210" spans="2:21" x14ac:dyDescent="0.25">
      <c r="B210" s="23">
        <v>45968</v>
      </c>
      <c r="C210" s="91">
        <v>2</v>
      </c>
      <c r="D210" s="18" t="str">
        <f>IFERROR(VLOOKUP(Trabajos!C210,Referencias!$E$7:$F$30,2,FALSE),"")</f>
        <v>Monitoreo de bb y bab</v>
      </c>
      <c r="E210" s="91">
        <v>84</v>
      </c>
      <c r="F210" s="18" t="str">
        <f>IFERROR(VLOOKUP(Trabajos!$E210,Clientes,2,FALSE),"")</f>
        <v>Domingo y Nestor Scioli</v>
      </c>
      <c r="G210" s="91" t="s">
        <v>377</v>
      </c>
      <c r="H210" s="119">
        <v>102</v>
      </c>
      <c r="I210" s="152">
        <v>3633.75</v>
      </c>
      <c r="J210" s="19">
        <f t="shared" si="4"/>
        <v>370642.5</v>
      </c>
      <c r="K210" s="26">
        <v>3</v>
      </c>
      <c r="L210" s="19" t="str">
        <f>IFERROR(VLOOKUP(K210,Referencias!$H$7:$I$9,2,FALSE),"")</f>
        <v>Zoom</v>
      </c>
      <c r="M210" s="143">
        <v>32</v>
      </c>
      <c r="N210" s="152">
        <v>650</v>
      </c>
      <c r="O210" s="20">
        <f t="shared" si="5"/>
        <v>20800</v>
      </c>
      <c r="P210" s="21">
        <f t="shared" si="9"/>
        <v>391442.5</v>
      </c>
      <c r="R210" s="112">
        <v>0</v>
      </c>
      <c r="S210" s="112">
        <v>0</v>
      </c>
      <c r="T210" s="113">
        <f t="shared" si="10"/>
        <v>102</v>
      </c>
      <c r="U210" s="132"/>
    </row>
    <row r="211" spans="2:21" x14ac:dyDescent="0.25">
      <c r="B211" s="23">
        <v>45968</v>
      </c>
      <c r="C211" s="91">
        <v>2</v>
      </c>
      <c r="D211" s="18" t="str">
        <f>IFERROR(VLOOKUP(Trabajos!C211,Referencias!$E$7:$F$30,2,FALSE),"")</f>
        <v>Monitoreo de bb y bab</v>
      </c>
      <c r="E211" s="91">
        <v>33</v>
      </c>
      <c r="F211" s="18" t="str">
        <f>IFERROR(VLOOKUP(Trabajos!$E211,Clientes,2,FALSE),"")</f>
        <v>Espartina S.A.</v>
      </c>
      <c r="G211" s="91" t="s">
        <v>392</v>
      </c>
      <c r="H211" s="142">
        <v>221</v>
      </c>
      <c r="I211" s="138">
        <v>3262.5</v>
      </c>
      <c r="J211" s="19">
        <f t="shared" si="4"/>
        <v>721012.5</v>
      </c>
      <c r="K211" s="26">
        <v>3</v>
      </c>
      <c r="L211" s="19" t="str">
        <f>IFERROR(VLOOKUP(K211,Referencias!$H$7:$I$9,2,FALSE),"")</f>
        <v>Zoom</v>
      </c>
      <c r="M211" s="143">
        <v>212</v>
      </c>
      <c r="N211" s="138">
        <v>633.85</v>
      </c>
      <c r="O211" s="20">
        <f t="shared" si="5"/>
        <v>134376.20000000001</v>
      </c>
      <c r="P211" s="21">
        <f t="shared" si="9"/>
        <v>855388.7</v>
      </c>
      <c r="R211" s="112">
        <v>0</v>
      </c>
      <c r="S211" s="112">
        <v>0</v>
      </c>
      <c r="T211" s="113">
        <f t="shared" si="10"/>
        <v>221</v>
      </c>
      <c r="U211" s="132"/>
    </row>
    <row r="212" spans="2:21" x14ac:dyDescent="0.25">
      <c r="B212" s="23">
        <v>45969</v>
      </c>
      <c r="C212" s="91">
        <v>3</v>
      </c>
      <c r="D212" s="18" t="str">
        <f>IFERROR(VLOOKUP(Trabajos!C212,Referencias!$E$7:$F$30,2,FALSE),"")</f>
        <v>Aplicación de cebos</v>
      </c>
      <c r="E212" s="91">
        <v>33</v>
      </c>
      <c r="F212" s="18" t="str">
        <f>IFERROR(VLOOKUP(Trabajos!$E212,Clientes,2,FALSE),"")</f>
        <v>Espartina S.A.</v>
      </c>
      <c r="G212" s="91" t="s">
        <v>251</v>
      </c>
      <c r="H212" s="142">
        <v>60</v>
      </c>
      <c r="I212" s="138">
        <v>7250</v>
      </c>
      <c r="J212" s="19">
        <f t="shared" si="4"/>
        <v>435000</v>
      </c>
      <c r="K212" s="26">
        <v>2</v>
      </c>
      <c r="L212" s="19" t="str">
        <f>IFERROR(VLOOKUP(K212,Referencias!$H$7:$I$9,2,FALSE),"")</f>
        <v>Paco</v>
      </c>
      <c r="M212" s="143">
        <v>230</v>
      </c>
      <c r="N212" s="138">
        <v>633.85</v>
      </c>
      <c r="O212" s="20">
        <f t="shared" si="5"/>
        <v>145785.5</v>
      </c>
      <c r="P212" s="21">
        <f t="shared" si="9"/>
        <v>580785.5</v>
      </c>
      <c r="R212" s="112">
        <v>60</v>
      </c>
      <c r="S212" s="112">
        <v>0</v>
      </c>
      <c r="T212" s="113">
        <f t="shared" si="10"/>
        <v>0</v>
      </c>
      <c r="U212" s="132"/>
    </row>
    <row r="213" spans="2:21" x14ac:dyDescent="0.25">
      <c r="B213" s="23">
        <v>45969</v>
      </c>
      <c r="C213" s="91">
        <v>3</v>
      </c>
      <c r="D213" s="18" t="str">
        <f>IFERROR(VLOOKUP(Trabajos!C213,Referencias!$E$7:$F$30,2,FALSE),"")</f>
        <v>Aplicación de cebos</v>
      </c>
      <c r="E213" s="91">
        <v>6</v>
      </c>
      <c r="F213" s="18" t="str">
        <f>IFERROR(VLOOKUP(Trabajos!$E213,Clientes,2,FALSE),"")</f>
        <v>La Nany S.A.</v>
      </c>
      <c r="G213" s="91" t="s">
        <v>321</v>
      </c>
      <c r="H213" s="142">
        <v>82</v>
      </c>
      <c r="I213" s="138">
        <v>7237.5</v>
      </c>
      <c r="J213" s="19">
        <f t="shared" si="4"/>
        <v>593475</v>
      </c>
      <c r="K213" s="26">
        <v>1</v>
      </c>
      <c r="L213" s="19" t="str">
        <f>IFERROR(VLOOKUP(K213,Referencias!$H$7:$I$9,2,FALSE),"")</f>
        <v>Tomas</v>
      </c>
      <c r="M213" s="143">
        <v>88</v>
      </c>
      <c r="N213" s="152">
        <v>650</v>
      </c>
      <c r="O213" s="20">
        <f t="shared" si="5"/>
        <v>57200</v>
      </c>
      <c r="P213" s="21">
        <f t="shared" si="9"/>
        <v>650675</v>
      </c>
      <c r="R213" s="112">
        <v>0</v>
      </c>
      <c r="S213" s="112">
        <v>80</v>
      </c>
      <c r="T213" s="113">
        <f t="shared" si="10"/>
        <v>2</v>
      </c>
      <c r="U213" s="132"/>
    </row>
    <row r="214" spans="2:21" x14ac:dyDescent="0.25">
      <c r="B214" s="23">
        <v>45969</v>
      </c>
      <c r="C214" s="91">
        <v>3</v>
      </c>
      <c r="D214" s="18" t="str">
        <f>IFERROR(VLOOKUP(Trabajos!C214,Referencias!$E$7:$F$30,2,FALSE),"")</f>
        <v>Aplicación de cebos</v>
      </c>
      <c r="E214" s="91">
        <v>5</v>
      </c>
      <c r="F214" s="18" t="str">
        <f>IFERROR(VLOOKUP(Trabajos!$E214,Clientes,2,FALSE),"")</f>
        <v>Cofina Agro</v>
      </c>
      <c r="G214" s="91" t="s">
        <v>375</v>
      </c>
      <c r="H214" s="119">
        <v>35</v>
      </c>
      <c r="I214" s="152">
        <v>7262.5</v>
      </c>
      <c r="J214" s="19">
        <f t="shared" si="4"/>
        <v>254187.5</v>
      </c>
      <c r="K214" s="26">
        <v>3</v>
      </c>
      <c r="L214" s="19" t="str">
        <f>IFERROR(VLOOKUP(K214,Referencias!$H$7:$I$9,2,FALSE),"")</f>
        <v>Zoom</v>
      </c>
      <c r="M214" s="143">
        <v>110</v>
      </c>
      <c r="N214" s="138">
        <v>650</v>
      </c>
      <c r="O214" s="20">
        <f t="shared" si="5"/>
        <v>71500</v>
      </c>
      <c r="P214" s="21">
        <f t="shared" si="9"/>
        <v>325687.5</v>
      </c>
      <c r="R214" s="112">
        <v>0</v>
      </c>
      <c r="S214" s="112">
        <v>0</v>
      </c>
      <c r="T214" s="113">
        <f t="shared" si="10"/>
        <v>35</v>
      </c>
      <c r="U214" s="132"/>
    </row>
    <row r="215" spans="2:21" x14ac:dyDescent="0.25">
      <c r="B215" s="23">
        <v>45969</v>
      </c>
      <c r="C215" s="91">
        <v>2</v>
      </c>
      <c r="D215" s="18" t="str">
        <f>IFERROR(VLOOKUP(Trabajos!C215,Referencias!$E$7:$F$30,2,FALSE),"")</f>
        <v>Monitoreo de bb y bab</v>
      </c>
      <c r="E215" s="91">
        <v>5</v>
      </c>
      <c r="F215" s="18" t="str">
        <f>IFERROR(VLOOKUP(Trabajos!$E215,Clientes,2,FALSE),"")</f>
        <v>Cofina Agro</v>
      </c>
      <c r="G215" s="91" t="s">
        <v>375</v>
      </c>
      <c r="H215" s="213">
        <v>50</v>
      </c>
      <c r="I215" s="152">
        <v>3631.25</v>
      </c>
      <c r="J215" s="19">
        <f t="shared" si="4"/>
        <v>181562.5</v>
      </c>
      <c r="K215" s="26">
        <v>3</v>
      </c>
      <c r="L215" s="19" t="str">
        <f>IFERROR(VLOOKUP(K215,Referencias!$H$7:$I$9,2,FALSE),"")</f>
        <v>Zoom</v>
      </c>
      <c r="M215" s="143">
        <v>0</v>
      </c>
      <c r="N215" s="138">
        <v>650</v>
      </c>
      <c r="O215" s="20">
        <f t="shared" si="5"/>
        <v>0</v>
      </c>
      <c r="P215" s="21">
        <f t="shared" si="9"/>
        <v>181562.5</v>
      </c>
      <c r="R215" s="112">
        <v>0</v>
      </c>
      <c r="S215" s="112">
        <v>0</v>
      </c>
      <c r="T215" s="113">
        <f t="shared" si="10"/>
        <v>50</v>
      </c>
      <c r="U215" s="132"/>
    </row>
    <row r="216" spans="2:21" x14ac:dyDescent="0.25">
      <c r="B216" s="23">
        <v>45969</v>
      </c>
      <c r="C216" s="91">
        <v>3</v>
      </c>
      <c r="D216" s="18" t="str">
        <f>IFERROR(VLOOKUP(Trabajos!C216,Referencias!$E$7:$F$30,2,FALSE),"")</f>
        <v>Aplicación de cebos</v>
      </c>
      <c r="E216" s="91">
        <v>33</v>
      </c>
      <c r="F216" s="18" t="str">
        <f>IFERROR(VLOOKUP(Trabajos!$E216,Clientes,2,FALSE),"")</f>
        <v>Espartina S.A.</v>
      </c>
      <c r="G216" s="91" t="s">
        <v>409</v>
      </c>
      <c r="H216" s="142">
        <v>231</v>
      </c>
      <c r="I216" s="138">
        <v>7250</v>
      </c>
      <c r="J216" s="19">
        <f t="shared" si="4"/>
        <v>1674750</v>
      </c>
      <c r="K216" s="26">
        <v>3</v>
      </c>
      <c r="L216" s="19" t="str">
        <f>IFERROR(VLOOKUP(K216,Referencias!$H$7:$I$9,2,FALSE),"")</f>
        <v>Zoom</v>
      </c>
      <c r="M216" s="143">
        <v>82</v>
      </c>
      <c r="N216" s="138">
        <v>633.85</v>
      </c>
      <c r="O216" s="20">
        <f t="shared" si="5"/>
        <v>51975.700000000004</v>
      </c>
      <c r="P216" s="21">
        <f t="shared" si="9"/>
        <v>1726725.7</v>
      </c>
      <c r="R216" s="112">
        <v>0</v>
      </c>
      <c r="S216" s="112">
        <v>0</v>
      </c>
      <c r="T216" s="113">
        <f t="shared" si="10"/>
        <v>231</v>
      </c>
      <c r="U216" s="132"/>
    </row>
    <row r="217" spans="2:21" x14ac:dyDescent="0.25">
      <c r="B217" s="23">
        <v>45969</v>
      </c>
      <c r="C217" s="91">
        <v>3</v>
      </c>
      <c r="D217" s="18" t="str">
        <f>IFERROR(VLOOKUP(Trabajos!C217,Referencias!$E$7:$F$30,2,FALSE),"")</f>
        <v>Aplicación de cebos</v>
      </c>
      <c r="E217" s="91">
        <v>33</v>
      </c>
      <c r="F217" s="18" t="str">
        <f>IFERROR(VLOOKUP(Trabajos!$E217,Clientes,2,FALSE),"")</f>
        <v>Espartina S.A.</v>
      </c>
      <c r="G217" s="91" t="s">
        <v>349</v>
      </c>
      <c r="H217" s="142">
        <v>37</v>
      </c>
      <c r="I217" s="138">
        <v>7250</v>
      </c>
      <c r="J217" s="19">
        <f t="shared" si="4"/>
        <v>268250</v>
      </c>
      <c r="K217" s="26">
        <v>3</v>
      </c>
      <c r="L217" s="19" t="str">
        <f>IFERROR(VLOOKUP(K217,Referencias!$H$7:$I$9,2,FALSE),"")</f>
        <v>Zoom</v>
      </c>
      <c r="M217" s="143">
        <v>82</v>
      </c>
      <c r="N217" s="138">
        <v>633.85</v>
      </c>
      <c r="O217" s="20">
        <f t="shared" si="5"/>
        <v>51975.700000000004</v>
      </c>
      <c r="P217" s="21">
        <f t="shared" si="9"/>
        <v>320225.7</v>
      </c>
      <c r="R217" s="112">
        <v>0</v>
      </c>
      <c r="S217" s="112">
        <v>0</v>
      </c>
      <c r="T217" s="113">
        <f t="shared" si="10"/>
        <v>37</v>
      </c>
      <c r="U217" s="132"/>
    </row>
    <row r="218" spans="2:21" x14ac:dyDescent="0.25">
      <c r="B218" s="23">
        <v>45969</v>
      </c>
      <c r="C218" s="91">
        <v>3</v>
      </c>
      <c r="D218" s="18" t="str">
        <f>IFERROR(VLOOKUP(Trabajos!C218,Referencias!$E$7:$F$30,2,FALSE),"")</f>
        <v>Aplicación de cebos</v>
      </c>
      <c r="E218" s="91">
        <v>33</v>
      </c>
      <c r="F218" s="18" t="str">
        <f>IFERROR(VLOOKUP(Trabajos!$E218,Clientes,2,FALSE),"")</f>
        <v>Espartina S.A.</v>
      </c>
      <c r="G218" s="91" t="s">
        <v>290</v>
      </c>
      <c r="H218" s="142">
        <v>160</v>
      </c>
      <c r="I218" s="138">
        <v>7250</v>
      </c>
      <c r="J218" s="19">
        <f t="shared" si="4"/>
        <v>1160000</v>
      </c>
      <c r="K218" s="26">
        <v>3</v>
      </c>
      <c r="L218" s="19" t="str">
        <f>IFERROR(VLOOKUP(K218,Referencias!$H$7:$I$9,2,FALSE),"")</f>
        <v>Zoom</v>
      </c>
      <c r="M218" s="143">
        <v>236</v>
      </c>
      <c r="N218" s="138">
        <v>633.85</v>
      </c>
      <c r="O218" s="20">
        <f t="shared" si="5"/>
        <v>149588.6</v>
      </c>
      <c r="P218" s="21">
        <f t="shared" si="9"/>
        <v>1309588.6000000001</v>
      </c>
      <c r="R218" s="112">
        <v>0</v>
      </c>
      <c r="S218" s="112">
        <v>0</v>
      </c>
      <c r="T218" s="113">
        <f t="shared" si="10"/>
        <v>160</v>
      </c>
      <c r="U218" s="132"/>
    </row>
    <row r="219" spans="2:21" x14ac:dyDescent="0.25">
      <c r="B219" s="23">
        <v>45969</v>
      </c>
      <c r="C219" s="91">
        <v>3</v>
      </c>
      <c r="D219" s="18" t="str">
        <f>IFERROR(VLOOKUP(Trabajos!C219,Referencias!$E$7:$F$30,2,FALSE),"")</f>
        <v>Aplicación de cebos</v>
      </c>
      <c r="E219" s="91">
        <v>72</v>
      </c>
      <c r="F219" s="18" t="str">
        <f>IFERROR(VLOOKUP(Trabajos!$E219,Clientes,2,FALSE),"")</f>
        <v>La Mylucha</v>
      </c>
      <c r="G219" s="91" t="s">
        <v>170</v>
      </c>
      <c r="H219" s="119">
        <v>54</v>
      </c>
      <c r="I219" s="152">
        <v>0</v>
      </c>
      <c r="J219" s="19">
        <f t="shared" si="4"/>
        <v>0</v>
      </c>
      <c r="K219" s="26">
        <v>3</v>
      </c>
      <c r="L219" s="19" t="str">
        <f>IFERROR(VLOOKUP(K219,Referencias!$H$7:$I$9,2,FALSE),"")</f>
        <v>Zoom</v>
      </c>
      <c r="M219" s="143">
        <v>40</v>
      </c>
      <c r="N219" s="152">
        <v>0</v>
      </c>
      <c r="O219" s="20">
        <f t="shared" si="5"/>
        <v>0</v>
      </c>
      <c r="P219" s="21">
        <f t="shared" si="9"/>
        <v>0</v>
      </c>
      <c r="R219" s="112">
        <v>0</v>
      </c>
      <c r="S219" s="112">
        <v>0</v>
      </c>
      <c r="T219" s="113">
        <f t="shared" si="10"/>
        <v>54</v>
      </c>
      <c r="U219" s="132"/>
    </row>
    <row r="220" spans="2:21" x14ac:dyDescent="0.25">
      <c r="B220" s="23">
        <v>45969</v>
      </c>
      <c r="C220" s="91">
        <v>2</v>
      </c>
      <c r="D220" s="18" t="str">
        <f>IFERROR(VLOOKUP(Trabajos!C220,Referencias!$E$7:$F$30,2,FALSE),"")</f>
        <v>Monitoreo de bb y bab</v>
      </c>
      <c r="E220" s="91">
        <v>84</v>
      </c>
      <c r="F220" s="18" t="str">
        <f>IFERROR(VLOOKUP(Trabajos!$E220,Clientes,2,FALSE),"")</f>
        <v>Domingo y Nestor Scioli</v>
      </c>
      <c r="G220" s="91" t="s">
        <v>394</v>
      </c>
      <c r="H220" s="119">
        <v>139</v>
      </c>
      <c r="I220" s="152">
        <v>3633.75</v>
      </c>
      <c r="J220" s="19">
        <f t="shared" si="4"/>
        <v>505091.25</v>
      </c>
      <c r="K220" s="26">
        <v>3</v>
      </c>
      <c r="L220" s="19" t="str">
        <f>IFERROR(VLOOKUP(K220,Referencias!$H$7:$I$9,2,FALSE),"")</f>
        <v>Zoom</v>
      </c>
      <c r="M220" s="143">
        <v>50</v>
      </c>
      <c r="N220" s="152">
        <v>650</v>
      </c>
      <c r="O220" s="20">
        <f t="shared" si="5"/>
        <v>32500</v>
      </c>
      <c r="P220" s="21">
        <f t="shared" si="9"/>
        <v>537591.25</v>
      </c>
      <c r="R220" s="112">
        <v>0</v>
      </c>
      <c r="S220" s="112">
        <v>0</v>
      </c>
      <c r="T220" s="113">
        <v>0</v>
      </c>
      <c r="U220" s="132"/>
    </row>
    <row r="221" spans="2:21" x14ac:dyDescent="0.25">
      <c r="B221" s="23">
        <v>45969</v>
      </c>
      <c r="C221" s="91">
        <v>2</v>
      </c>
      <c r="D221" s="18" t="str">
        <f>IFERROR(VLOOKUP(Trabajos!C221,Referencias!$E$7:$F$30,2,FALSE),"")</f>
        <v>Monitoreo de bb y bab</v>
      </c>
      <c r="E221" s="91">
        <v>72</v>
      </c>
      <c r="F221" s="18" t="str">
        <f>IFERROR(VLOOKUP(Trabajos!$E221,Clientes,2,FALSE),"")</f>
        <v>La Mylucha</v>
      </c>
      <c r="G221" s="91" t="s">
        <v>170</v>
      </c>
      <c r="H221" s="119">
        <v>60</v>
      </c>
      <c r="I221" s="152">
        <v>3628.75</v>
      </c>
      <c r="J221" s="19">
        <f t="shared" si="4"/>
        <v>217725</v>
      </c>
      <c r="K221" s="26">
        <v>3</v>
      </c>
      <c r="L221" s="19" t="str">
        <f>IFERROR(VLOOKUP(K221,Referencias!$H$7:$I$9,2,FALSE),"")</f>
        <v>Zoom</v>
      </c>
      <c r="M221" s="143">
        <v>40</v>
      </c>
      <c r="N221" s="152">
        <v>650</v>
      </c>
      <c r="O221" s="20">
        <f t="shared" si="5"/>
        <v>26000</v>
      </c>
      <c r="P221" s="21">
        <f t="shared" si="9"/>
        <v>243725</v>
      </c>
      <c r="R221" s="112">
        <v>0</v>
      </c>
      <c r="S221" s="112">
        <v>0</v>
      </c>
      <c r="T221" s="113">
        <f t="shared" si="10"/>
        <v>60</v>
      </c>
      <c r="U221" s="132"/>
    </row>
    <row r="222" spans="2:21" x14ac:dyDescent="0.25">
      <c r="B222" s="23">
        <v>45969</v>
      </c>
      <c r="C222" s="91">
        <v>2</v>
      </c>
      <c r="D222" s="18" t="str">
        <f>IFERROR(VLOOKUP(Trabajos!C222,Referencias!$E$7:$F$30,2,FALSE),"")</f>
        <v>Monitoreo de bb y bab</v>
      </c>
      <c r="E222" s="91">
        <v>37</v>
      </c>
      <c r="F222" s="18" t="str">
        <f>IFERROR(VLOOKUP(Trabajos!$E222,Clientes,2,FALSE),"")</f>
        <v>Sebastian Martos</v>
      </c>
      <c r="G222" s="91" t="s">
        <v>395</v>
      </c>
      <c r="H222" s="119">
        <v>26</v>
      </c>
      <c r="I222" s="152">
        <v>3628.75</v>
      </c>
      <c r="J222" s="19">
        <f t="shared" si="4"/>
        <v>94347.5</v>
      </c>
      <c r="K222" s="26">
        <v>3</v>
      </c>
      <c r="L222" s="19" t="str">
        <f>IFERROR(VLOOKUP(K222,Referencias!$H$7:$I$9,2,FALSE),"")</f>
        <v>Zoom</v>
      </c>
      <c r="M222" s="143">
        <v>24</v>
      </c>
      <c r="N222" s="152">
        <v>650</v>
      </c>
      <c r="O222" s="20">
        <f t="shared" si="5"/>
        <v>15600</v>
      </c>
      <c r="P222" s="21">
        <f t="shared" si="9"/>
        <v>109947.5</v>
      </c>
      <c r="R222" s="112">
        <v>0</v>
      </c>
      <c r="S222" s="112">
        <v>0</v>
      </c>
      <c r="T222" s="113">
        <f t="shared" si="10"/>
        <v>26</v>
      </c>
      <c r="U222" s="132"/>
    </row>
    <row r="223" spans="2:21" x14ac:dyDescent="0.25">
      <c r="B223" s="23">
        <v>45969</v>
      </c>
      <c r="C223" s="91">
        <v>2</v>
      </c>
      <c r="D223" s="18" t="str">
        <f>IFERROR(VLOOKUP(Trabajos!C223,Referencias!$E$7:$F$30,2,FALSE),"")</f>
        <v>Monitoreo de bb y bab</v>
      </c>
      <c r="E223" s="91">
        <v>90</v>
      </c>
      <c r="F223" s="18" t="str">
        <f>IFERROR(VLOOKUP(Trabajos!$E223,Clientes,2,FALSE),"")</f>
        <v>Walter Ingenieri</v>
      </c>
      <c r="G223" s="91" t="s">
        <v>299</v>
      </c>
      <c r="H223" s="119">
        <v>70</v>
      </c>
      <c r="I223" s="152">
        <v>3675</v>
      </c>
      <c r="J223" s="19">
        <f t="shared" si="4"/>
        <v>257250</v>
      </c>
      <c r="K223" s="26">
        <v>3</v>
      </c>
      <c r="L223" s="19" t="str">
        <f>IFERROR(VLOOKUP(K223,Referencias!$H$7:$I$9,2,FALSE),"")</f>
        <v>Zoom</v>
      </c>
      <c r="M223" s="143">
        <v>59</v>
      </c>
      <c r="N223" s="152">
        <v>650</v>
      </c>
      <c r="O223" s="20">
        <f t="shared" si="5"/>
        <v>38350</v>
      </c>
      <c r="P223" s="21">
        <f t="shared" si="9"/>
        <v>295600</v>
      </c>
      <c r="R223" s="112">
        <v>0</v>
      </c>
      <c r="S223" s="112">
        <v>0</v>
      </c>
      <c r="T223" s="113">
        <f t="shared" si="10"/>
        <v>70</v>
      </c>
      <c r="U223" s="132"/>
    </row>
    <row r="224" spans="2:21" x14ac:dyDescent="0.25">
      <c r="B224" s="23">
        <v>45969</v>
      </c>
      <c r="C224" s="91">
        <v>2</v>
      </c>
      <c r="D224" s="18" t="str">
        <f>IFERROR(VLOOKUP(Trabajos!C224,Referencias!$E$7:$F$30,2,FALSE),"")</f>
        <v>Monitoreo de bb y bab</v>
      </c>
      <c r="E224" s="91">
        <v>37</v>
      </c>
      <c r="F224" s="18" t="str">
        <f>IFERROR(VLOOKUP(Trabajos!$E224,Clientes,2,FALSE),"")</f>
        <v>Sebastian Martos</v>
      </c>
      <c r="G224" s="91" t="s">
        <v>396</v>
      </c>
      <c r="H224" s="119">
        <v>115</v>
      </c>
      <c r="I224" s="152">
        <v>3628.75</v>
      </c>
      <c r="J224" s="19">
        <f t="shared" si="4"/>
        <v>417306.25</v>
      </c>
      <c r="K224" s="26">
        <v>3</v>
      </c>
      <c r="L224" s="19" t="str">
        <f>IFERROR(VLOOKUP(K224,Referencias!$H$7:$I$9,2,FALSE),"")</f>
        <v>Zoom</v>
      </c>
      <c r="M224" s="143">
        <v>64</v>
      </c>
      <c r="N224" s="152">
        <v>650</v>
      </c>
      <c r="O224" s="20">
        <f t="shared" si="5"/>
        <v>41600</v>
      </c>
      <c r="P224" s="21">
        <f t="shared" si="9"/>
        <v>458906.25</v>
      </c>
      <c r="R224" s="112">
        <v>0</v>
      </c>
      <c r="S224" s="112">
        <v>0</v>
      </c>
      <c r="T224" s="113">
        <f t="shared" si="10"/>
        <v>115</v>
      </c>
      <c r="U224" s="132"/>
    </row>
    <row r="225" spans="2:21" x14ac:dyDescent="0.25">
      <c r="B225" s="23">
        <v>45969</v>
      </c>
      <c r="C225" s="91">
        <v>2</v>
      </c>
      <c r="D225" s="18" t="str">
        <f>IFERROR(VLOOKUP(Trabajos!C225,Referencias!$E$7:$F$30,2,FALSE),"")</f>
        <v>Monitoreo de bb y bab</v>
      </c>
      <c r="E225" s="91">
        <v>124</v>
      </c>
      <c r="F225" s="18" t="str">
        <f>IFERROR(VLOOKUP(Trabajos!$E225,Clientes,2,FALSE),"")</f>
        <v>Cristian Perez Maraviglia</v>
      </c>
      <c r="G225" s="91" t="s">
        <v>397</v>
      </c>
      <c r="H225" s="119">
        <v>59</v>
      </c>
      <c r="I225" s="152">
        <v>3467.5</v>
      </c>
      <c r="J225" s="19">
        <f t="shared" si="4"/>
        <v>204582.5</v>
      </c>
      <c r="K225" s="26">
        <v>3</v>
      </c>
      <c r="L225" s="19" t="str">
        <f>IFERROR(VLOOKUP(K225,Referencias!$H$7:$I$9,2,FALSE),"")</f>
        <v>Zoom</v>
      </c>
      <c r="M225" s="143">
        <v>90</v>
      </c>
      <c r="N225" s="152">
        <v>650</v>
      </c>
      <c r="O225" s="20">
        <f t="shared" si="5"/>
        <v>58500</v>
      </c>
      <c r="P225" s="21">
        <f t="shared" si="9"/>
        <v>263082.5</v>
      </c>
      <c r="R225" s="112">
        <v>0</v>
      </c>
      <c r="S225" s="112">
        <v>0</v>
      </c>
      <c r="T225" s="113">
        <f t="shared" si="10"/>
        <v>59</v>
      </c>
      <c r="U225" s="132"/>
    </row>
    <row r="226" spans="2:21" x14ac:dyDescent="0.25">
      <c r="B226" s="23">
        <v>45970</v>
      </c>
      <c r="C226" s="91">
        <v>3</v>
      </c>
      <c r="D226" s="18" t="str">
        <f>IFERROR(VLOOKUP(Trabajos!C226,Referencias!$E$7:$F$30,2,FALSE),"")</f>
        <v>Aplicación de cebos</v>
      </c>
      <c r="E226" s="91">
        <v>33</v>
      </c>
      <c r="F226" s="18" t="str">
        <f>IFERROR(VLOOKUP(Trabajos!$E226,Clientes,2,FALSE),"")</f>
        <v>Espartina S.A.</v>
      </c>
      <c r="G226" s="91" t="s">
        <v>251</v>
      </c>
      <c r="H226" s="142">
        <v>60</v>
      </c>
      <c r="I226" s="138">
        <v>7250</v>
      </c>
      <c r="J226" s="19">
        <f t="shared" si="4"/>
        <v>435000</v>
      </c>
      <c r="K226" s="26">
        <v>2</v>
      </c>
      <c r="L226" s="19" t="str">
        <f>IFERROR(VLOOKUP(K226,Referencias!$H$7:$I$9,2,FALSE),"")</f>
        <v>Paco</v>
      </c>
      <c r="M226" s="143">
        <v>230</v>
      </c>
      <c r="N226" s="138">
        <v>633.85</v>
      </c>
      <c r="O226" s="20">
        <f t="shared" si="5"/>
        <v>145785.5</v>
      </c>
      <c r="P226" s="21">
        <f t="shared" si="9"/>
        <v>580785.5</v>
      </c>
      <c r="R226" s="112">
        <v>60</v>
      </c>
      <c r="S226" s="112">
        <v>0</v>
      </c>
      <c r="T226" s="113">
        <f t="shared" si="10"/>
        <v>0</v>
      </c>
      <c r="U226" s="132"/>
    </row>
    <row r="227" spans="2:21" x14ac:dyDescent="0.25">
      <c r="B227" s="23">
        <v>45970</v>
      </c>
      <c r="C227" s="91">
        <v>3</v>
      </c>
      <c r="D227" s="18" t="str">
        <f>IFERROR(VLOOKUP(Trabajos!C227,Referencias!$E$7:$F$30,2,FALSE),"")</f>
        <v>Aplicación de cebos</v>
      </c>
      <c r="E227" s="91">
        <v>33</v>
      </c>
      <c r="F227" s="18" t="str">
        <f>IFERROR(VLOOKUP(Trabajos!$E227,Clientes,2,FALSE),"")</f>
        <v>Espartina S.A.</v>
      </c>
      <c r="G227" s="91" t="s">
        <v>290</v>
      </c>
      <c r="H227" s="142">
        <v>37</v>
      </c>
      <c r="I227" s="138">
        <v>7250</v>
      </c>
      <c r="J227" s="19">
        <f t="shared" si="4"/>
        <v>268250</v>
      </c>
      <c r="K227" s="26">
        <v>2</v>
      </c>
      <c r="L227" s="19" t="str">
        <f>IFERROR(VLOOKUP(K227,Referencias!$H$7:$I$9,2,FALSE),"")</f>
        <v>Paco</v>
      </c>
      <c r="M227" s="143">
        <v>236</v>
      </c>
      <c r="N227" s="138">
        <v>633.85</v>
      </c>
      <c r="O227" s="20">
        <f t="shared" si="5"/>
        <v>149588.6</v>
      </c>
      <c r="P227" s="21">
        <f t="shared" si="9"/>
        <v>417838.6</v>
      </c>
      <c r="R227" s="112">
        <v>20</v>
      </c>
      <c r="S227" s="112">
        <v>0</v>
      </c>
      <c r="T227" s="113">
        <f t="shared" si="10"/>
        <v>17</v>
      </c>
      <c r="U227" s="132"/>
    </row>
    <row r="228" spans="2:21" x14ac:dyDescent="0.25">
      <c r="B228" s="23">
        <v>45969</v>
      </c>
      <c r="C228" s="91">
        <v>3</v>
      </c>
      <c r="D228" s="18" t="str">
        <f>IFERROR(VLOOKUP(Trabajos!C228,Referencias!$E$7:$F$30,2,FALSE),"")</f>
        <v>Aplicación de cebos</v>
      </c>
      <c r="E228" s="91">
        <v>33</v>
      </c>
      <c r="F228" s="18" t="str">
        <f>IFERROR(VLOOKUP(Trabajos!$E228,Clientes,2,FALSE),"")</f>
        <v>Espartina S.A.</v>
      </c>
      <c r="G228" s="91" t="s">
        <v>252</v>
      </c>
      <c r="H228" s="142">
        <v>100</v>
      </c>
      <c r="I228" s="138">
        <v>7267.5</v>
      </c>
      <c r="J228" s="19">
        <f t="shared" si="4"/>
        <v>726750</v>
      </c>
      <c r="K228" s="26">
        <v>1</v>
      </c>
      <c r="L228" s="19" t="str">
        <f>IFERROR(VLOOKUP(K228,Referencias!$H$7:$I$9,2,FALSE),"")</f>
        <v>Tomas</v>
      </c>
      <c r="M228" s="143">
        <v>208</v>
      </c>
      <c r="N228" s="152">
        <v>633.85</v>
      </c>
      <c r="O228" s="20">
        <f t="shared" si="5"/>
        <v>131840.80000000002</v>
      </c>
      <c r="P228" s="21">
        <f t="shared" si="9"/>
        <v>858590.8</v>
      </c>
      <c r="R228" s="112">
        <v>0</v>
      </c>
      <c r="S228" s="112">
        <v>80</v>
      </c>
      <c r="T228" s="113">
        <f t="shared" si="10"/>
        <v>20</v>
      </c>
      <c r="U228" s="132"/>
    </row>
    <row r="229" spans="2:21" x14ac:dyDescent="0.25">
      <c r="B229" s="23">
        <v>45970</v>
      </c>
      <c r="C229" s="91">
        <v>3</v>
      </c>
      <c r="D229" s="18" t="str">
        <f>IFERROR(VLOOKUP(Trabajos!C229,Referencias!$E$7:$F$30,2,FALSE),"")</f>
        <v>Aplicación de cebos</v>
      </c>
      <c r="E229" s="91">
        <v>40</v>
      </c>
      <c r="F229" s="18" t="str">
        <f>IFERROR(VLOOKUP(Trabajos!$E229,Clientes,2,FALSE),"")</f>
        <v>Cía. de Tierras Sud Argentino S.A.</v>
      </c>
      <c r="G229" s="91" t="s">
        <v>296</v>
      </c>
      <c r="H229" s="119">
        <v>40</v>
      </c>
      <c r="I229" s="152">
        <v>7267.5</v>
      </c>
      <c r="J229" s="19">
        <f t="shared" si="4"/>
        <v>290700</v>
      </c>
      <c r="K229" s="26">
        <v>3</v>
      </c>
      <c r="L229" s="19" t="str">
        <f>IFERROR(VLOOKUP(K229,Referencias!$H$7:$I$9,2,FALSE),"")</f>
        <v>Zoom</v>
      </c>
      <c r="M229" s="143">
        <v>50</v>
      </c>
      <c r="N229" s="152">
        <v>650</v>
      </c>
      <c r="O229" s="20">
        <f t="shared" si="5"/>
        <v>32500</v>
      </c>
      <c r="P229" s="21">
        <f t="shared" si="9"/>
        <v>323200</v>
      </c>
      <c r="R229" s="112">
        <v>0</v>
      </c>
      <c r="S229" s="112">
        <v>0</v>
      </c>
      <c r="T229" s="113">
        <f t="shared" si="10"/>
        <v>40</v>
      </c>
      <c r="U229" s="132"/>
    </row>
    <row r="230" spans="2:21" x14ac:dyDescent="0.25">
      <c r="B230" s="23">
        <v>45970</v>
      </c>
      <c r="C230" s="91">
        <v>3</v>
      </c>
      <c r="D230" s="18" t="str">
        <f>IFERROR(VLOOKUP(Trabajos!C230,Referencias!$E$7:$F$30,2,FALSE),"")</f>
        <v>Aplicación de cebos</v>
      </c>
      <c r="E230" s="91">
        <v>33</v>
      </c>
      <c r="F230" s="18" t="str">
        <f>IFERROR(VLOOKUP(Trabajos!$E230,Clientes,2,FALSE),"")</f>
        <v>Espartina S.A.</v>
      </c>
      <c r="G230" s="91" t="s">
        <v>252</v>
      </c>
      <c r="H230" s="142">
        <v>120</v>
      </c>
      <c r="I230" s="138">
        <v>7267.5</v>
      </c>
      <c r="J230" s="19">
        <f t="shared" si="4"/>
        <v>872100</v>
      </c>
      <c r="K230" s="26">
        <v>3</v>
      </c>
      <c r="L230" s="19" t="str">
        <f>IFERROR(VLOOKUP(K230,Referencias!$H$7:$I$9,2,FALSE),"")</f>
        <v>Zoom</v>
      </c>
      <c r="M230" s="143">
        <v>208</v>
      </c>
      <c r="N230" s="152">
        <v>633.85</v>
      </c>
      <c r="O230" s="20">
        <f t="shared" si="5"/>
        <v>131840.80000000002</v>
      </c>
      <c r="P230" s="21">
        <f t="shared" si="9"/>
        <v>1003940.8</v>
      </c>
      <c r="R230" s="112">
        <v>0</v>
      </c>
      <c r="S230" s="112">
        <v>0</v>
      </c>
      <c r="T230" s="113">
        <v>0</v>
      </c>
      <c r="U230" s="132"/>
    </row>
    <row r="231" spans="2:21" x14ac:dyDescent="0.25">
      <c r="B231" s="23">
        <v>45970</v>
      </c>
      <c r="C231" s="91">
        <v>2</v>
      </c>
      <c r="D231" s="18" t="str">
        <f>IFERROR(VLOOKUP(Trabajos!C231,Referencias!$E$7:$F$30,2,FALSE),"")</f>
        <v>Monitoreo de bb y bab</v>
      </c>
      <c r="E231" s="91">
        <v>21</v>
      </c>
      <c r="F231" s="18" t="str">
        <f>IFERROR(VLOOKUP(Trabajos!$E231,Clientes,2,FALSE),"")</f>
        <v>Piray Mini</v>
      </c>
      <c r="G231" s="91" t="s">
        <v>400</v>
      </c>
      <c r="H231" s="119">
        <v>250</v>
      </c>
      <c r="I231" s="152">
        <v>3628.75</v>
      </c>
      <c r="J231" s="19">
        <f t="shared" si="4"/>
        <v>907187.5</v>
      </c>
      <c r="K231" s="26">
        <v>3</v>
      </c>
      <c r="L231" s="19" t="str">
        <f>IFERROR(VLOOKUP(K231,Referencias!$H$7:$I$9,2,FALSE),"")</f>
        <v>Zoom</v>
      </c>
      <c r="M231" s="143">
        <v>72</v>
      </c>
      <c r="N231" s="152">
        <v>650</v>
      </c>
      <c r="O231" s="20">
        <f t="shared" si="5"/>
        <v>46800</v>
      </c>
      <c r="P231" s="21">
        <f t="shared" si="9"/>
        <v>953987.5</v>
      </c>
      <c r="R231" s="112">
        <v>0</v>
      </c>
      <c r="S231" s="112">
        <v>0</v>
      </c>
      <c r="T231" s="113">
        <f t="shared" si="10"/>
        <v>250</v>
      </c>
      <c r="U231" s="132"/>
    </row>
    <row r="232" spans="2:21" x14ac:dyDescent="0.25">
      <c r="B232" s="23">
        <v>45971</v>
      </c>
      <c r="C232" s="91">
        <v>3</v>
      </c>
      <c r="D232" s="18" t="str">
        <f>IFERROR(VLOOKUP(Trabajos!C232,Referencias!$E$7:$F$30,2,FALSE),"")</f>
        <v>Aplicación de cebos</v>
      </c>
      <c r="E232" s="91">
        <v>33</v>
      </c>
      <c r="F232" s="18" t="str">
        <f>IFERROR(VLOOKUP(Trabajos!$E232,Clientes,2,FALSE),"")</f>
        <v>Espartina S.A.</v>
      </c>
      <c r="G232" s="91" t="s">
        <v>325</v>
      </c>
      <c r="H232" s="142">
        <v>110</v>
      </c>
      <c r="I232" s="138">
        <v>7250</v>
      </c>
      <c r="J232" s="19">
        <f t="shared" si="4"/>
        <v>797500</v>
      </c>
      <c r="K232" s="26">
        <v>2</v>
      </c>
      <c r="L232" s="19" t="str">
        <f>IFERROR(VLOOKUP(K232,Referencias!$H$7:$I$9,2,FALSE),"")</f>
        <v>Paco</v>
      </c>
      <c r="M232" s="143">
        <v>164</v>
      </c>
      <c r="N232" s="138">
        <v>633.85</v>
      </c>
      <c r="O232" s="20">
        <f t="shared" si="5"/>
        <v>103951.40000000001</v>
      </c>
      <c r="P232" s="21">
        <f t="shared" si="9"/>
        <v>901451.4</v>
      </c>
      <c r="R232" s="112">
        <v>80</v>
      </c>
      <c r="S232" s="112">
        <v>0</v>
      </c>
      <c r="T232" s="113">
        <f t="shared" si="10"/>
        <v>30</v>
      </c>
      <c r="U232" s="132"/>
    </row>
    <row r="233" spans="2:21" x14ac:dyDescent="0.25">
      <c r="B233" s="23">
        <v>45971</v>
      </c>
      <c r="C233" s="91">
        <v>3</v>
      </c>
      <c r="D233" s="18" t="str">
        <f>IFERROR(VLOOKUP(Trabajos!C233,Referencias!$E$7:$F$30,2,FALSE),"")</f>
        <v>Aplicación de cebos</v>
      </c>
      <c r="E233" s="91">
        <v>33</v>
      </c>
      <c r="F233" s="18" t="str">
        <f>IFERROR(VLOOKUP(Trabajos!$E233,Clientes,2,FALSE),"")</f>
        <v>Espartina S.A.</v>
      </c>
      <c r="G233" s="91" t="s">
        <v>383</v>
      </c>
      <c r="H233" s="142">
        <v>121</v>
      </c>
      <c r="I233" s="138">
        <v>7267.5</v>
      </c>
      <c r="J233" s="19">
        <f t="shared" si="4"/>
        <v>879367.5</v>
      </c>
      <c r="K233" s="26">
        <v>1</v>
      </c>
      <c r="L233" s="19" t="str">
        <f>IFERROR(VLOOKUP(K233,Referencias!$H$7:$I$9,2,FALSE),"")</f>
        <v>Tomas</v>
      </c>
      <c r="M233" s="143">
        <v>117</v>
      </c>
      <c r="N233" s="152">
        <v>633.85</v>
      </c>
      <c r="O233" s="20">
        <f t="shared" si="5"/>
        <v>74160.45</v>
      </c>
      <c r="P233" s="21">
        <f t="shared" si="9"/>
        <v>953527.95</v>
      </c>
      <c r="R233" s="112">
        <v>0</v>
      </c>
      <c r="S233" s="112">
        <v>80</v>
      </c>
      <c r="T233" s="113">
        <f t="shared" si="10"/>
        <v>41</v>
      </c>
      <c r="U233" s="132"/>
    </row>
    <row r="234" spans="2:21" x14ac:dyDescent="0.25">
      <c r="B234" s="23">
        <v>45971</v>
      </c>
      <c r="C234" s="91">
        <v>2</v>
      </c>
      <c r="D234" s="18" t="str">
        <f>IFERROR(VLOOKUP(Trabajos!C234,Referencias!$E$7:$F$30,2,FALSE),"")</f>
        <v>Monitoreo de bb y bab</v>
      </c>
      <c r="E234" s="91">
        <v>33</v>
      </c>
      <c r="F234" s="18" t="str">
        <f>IFERROR(VLOOKUP(Trabajos!$E234,Clientes,2,FALSE),"")</f>
        <v>Espartina S.A.</v>
      </c>
      <c r="G234" s="91" t="s">
        <v>379</v>
      </c>
      <c r="H234" s="142">
        <v>220</v>
      </c>
      <c r="I234" s="138">
        <v>3262.5</v>
      </c>
      <c r="J234" s="19">
        <f t="shared" si="4"/>
        <v>717750</v>
      </c>
      <c r="K234" s="26">
        <v>3</v>
      </c>
      <c r="L234" s="19" t="str">
        <f>IFERROR(VLOOKUP(K234,Referencias!$H$7:$I$9,2,FALSE),"")</f>
        <v>Zoom</v>
      </c>
      <c r="M234" s="143">
        <v>328</v>
      </c>
      <c r="N234" s="138">
        <v>633.85</v>
      </c>
      <c r="O234" s="20">
        <f t="shared" si="5"/>
        <v>207902.80000000002</v>
      </c>
      <c r="P234" s="21">
        <f t="shared" si="9"/>
        <v>925652.8</v>
      </c>
      <c r="R234" s="112">
        <v>0</v>
      </c>
      <c r="S234" s="112">
        <v>0</v>
      </c>
      <c r="T234" s="113">
        <f t="shared" si="10"/>
        <v>220</v>
      </c>
      <c r="U234" s="132"/>
    </row>
    <row r="235" spans="2:21" x14ac:dyDescent="0.25">
      <c r="B235" s="23">
        <v>45971</v>
      </c>
      <c r="C235" s="91">
        <v>2</v>
      </c>
      <c r="D235" s="18" t="str">
        <f>IFERROR(VLOOKUP(Trabajos!C235,Referencias!$E$7:$F$30,2,FALSE),"")</f>
        <v>Monitoreo de bb y bab</v>
      </c>
      <c r="E235" s="91">
        <v>33</v>
      </c>
      <c r="F235" s="18" t="str">
        <f>IFERROR(VLOOKUP(Trabajos!$E235,Clientes,2,FALSE),"")</f>
        <v>Espartina S.A.</v>
      </c>
      <c r="G235" s="91" t="s">
        <v>379</v>
      </c>
      <c r="H235" s="142">
        <v>180</v>
      </c>
      <c r="I235" s="138">
        <v>3262.5</v>
      </c>
      <c r="J235" s="19">
        <f t="shared" si="4"/>
        <v>587250</v>
      </c>
      <c r="K235" s="26">
        <v>3</v>
      </c>
      <c r="L235" s="19" t="str">
        <f>IFERROR(VLOOKUP(K235,Referencias!$H$7:$I$9,2,FALSE),"")</f>
        <v>Zoom</v>
      </c>
      <c r="M235" s="143">
        <v>328</v>
      </c>
      <c r="N235" s="138">
        <v>633.85</v>
      </c>
      <c r="O235" s="20">
        <f t="shared" si="5"/>
        <v>207902.80000000002</v>
      </c>
      <c r="P235" s="21">
        <f t="shared" si="9"/>
        <v>795152.8</v>
      </c>
      <c r="R235" s="112">
        <v>0</v>
      </c>
      <c r="S235" s="112">
        <v>0</v>
      </c>
      <c r="T235" s="113">
        <f t="shared" si="10"/>
        <v>180</v>
      </c>
      <c r="U235" s="132"/>
    </row>
    <row r="236" spans="2:21" x14ac:dyDescent="0.25">
      <c r="B236" s="23">
        <v>45972</v>
      </c>
      <c r="C236" s="91">
        <v>2</v>
      </c>
      <c r="D236" s="18" t="str">
        <f>IFERROR(VLOOKUP(Trabajos!C236,Referencias!$E$7:$F$30,2,FALSE),"")</f>
        <v>Monitoreo de bb y bab</v>
      </c>
      <c r="E236" s="91">
        <v>33</v>
      </c>
      <c r="F236" s="18" t="str">
        <f>IFERROR(VLOOKUP(Trabajos!$E236,Clientes,2,FALSE),"")</f>
        <v>Espartina S.A.</v>
      </c>
      <c r="G236" s="91" t="s">
        <v>387</v>
      </c>
      <c r="H236" s="142">
        <v>108</v>
      </c>
      <c r="I236" s="138">
        <v>3262.5</v>
      </c>
      <c r="J236" s="19">
        <f t="shared" si="4"/>
        <v>352350</v>
      </c>
      <c r="K236" s="26">
        <v>2</v>
      </c>
      <c r="L236" s="19" t="str">
        <f>IFERROR(VLOOKUP(K236,Referencias!$H$7:$I$9,2,FALSE),"")</f>
        <v>Paco</v>
      </c>
      <c r="M236" s="143">
        <v>186</v>
      </c>
      <c r="N236" s="138">
        <v>633.85</v>
      </c>
      <c r="O236" s="20">
        <f t="shared" si="5"/>
        <v>117896.1</v>
      </c>
      <c r="P236" s="21">
        <f t="shared" si="9"/>
        <v>470246.1</v>
      </c>
      <c r="R236" s="112">
        <v>54</v>
      </c>
      <c r="S236" s="112">
        <v>0</v>
      </c>
      <c r="T236" s="113">
        <f t="shared" si="10"/>
        <v>54</v>
      </c>
      <c r="U236" s="132"/>
    </row>
    <row r="237" spans="2:21" x14ac:dyDescent="0.25">
      <c r="B237" s="23">
        <v>45972</v>
      </c>
      <c r="C237" s="91">
        <v>3</v>
      </c>
      <c r="D237" s="18" t="str">
        <f>IFERROR(VLOOKUP(Trabajos!C237,Referencias!$E$7:$F$30,2,FALSE),"")</f>
        <v>Aplicación de cebos</v>
      </c>
      <c r="E237" s="91">
        <v>72</v>
      </c>
      <c r="F237" s="18" t="str">
        <f>IFERROR(VLOOKUP(Trabajos!$E237,Clientes,2,FALSE),"")</f>
        <v>La Mylucha</v>
      </c>
      <c r="G237" s="91" t="s">
        <v>170</v>
      </c>
      <c r="H237" s="119">
        <v>22</v>
      </c>
      <c r="I237" s="152">
        <v>7257.5</v>
      </c>
      <c r="J237" s="19">
        <f t="shared" si="4"/>
        <v>159665</v>
      </c>
      <c r="K237" s="26">
        <v>1</v>
      </c>
      <c r="L237" s="19" t="str">
        <f>IFERROR(VLOOKUP(K237,Referencias!$H$7:$I$9,2,FALSE),"")</f>
        <v>Tomas</v>
      </c>
      <c r="M237" s="143">
        <v>40</v>
      </c>
      <c r="N237" s="152">
        <v>650</v>
      </c>
      <c r="O237" s="20">
        <f t="shared" si="5"/>
        <v>26000</v>
      </c>
      <c r="P237" s="21">
        <f t="shared" si="9"/>
        <v>185665</v>
      </c>
      <c r="R237" s="112">
        <v>0</v>
      </c>
      <c r="S237" s="112">
        <v>22</v>
      </c>
      <c r="T237" s="113">
        <f t="shared" si="10"/>
        <v>0</v>
      </c>
      <c r="U237" s="132"/>
    </row>
    <row r="238" spans="2:21" x14ac:dyDescent="0.25">
      <c r="B238" s="23">
        <v>45972</v>
      </c>
      <c r="C238" s="91">
        <v>2</v>
      </c>
      <c r="D238" s="18" t="str">
        <f>IFERROR(VLOOKUP(Trabajos!C238,Referencias!$E$7:$F$30,2,FALSE),"")</f>
        <v>Monitoreo de bb y bab</v>
      </c>
      <c r="E238" s="91">
        <v>125</v>
      </c>
      <c r="F238" s="18" t="str">
        <f>IFERROR(VLOOKUP(Trabajos!$E238,Clientes,2,FALSE),"")</f>
        <v>Soledad Gutierrez</v>
      </c>
      <c r="G238" s="91" t="s">
        <v>402</v>
      </c>
      <c r="H238" s="119">
        <v>96</v>
      </c>
      <c r="I238" s="152">
        <v>3500</v>
      </c>
      <c r="J238" s="19">
        <f t="shared" si="4"/>
        <v>336000</v>
      </c>
      <c r="K238" s="26">
        <v>3</v>
      </c>
      <c r="L238" s="19" t="str">
        <f>IFERROR(VLOOKUP(K238,Referencias!$H$7:$I$9,2,FALSE),"")</f>
        <v>Zoom</v>
      </c>
      <c r="M238" s="143">
        <v>104</v>
      </c>
      <c r="N238" s="152">
        <v>650</v>
      </c>
      <c r="O238" s="20">
        <f t="shared" si="5"/>
        <v>67600</v>
      </c>
      <c r="P238" s="21">
        <f t="shared" si="9"/>
        <v>403600</v>
      </c>
      <c r="R238" s="112">
        <v>0</v>
      </c>
      <c r="S238" s="112">
        <v>0</v>
      </c>
      <c r="T238" s="113">
        <f t="shared" si="10"/>
        <v>96</v>
      </c>
      <c r="U238" s="132"/>
    </row>
    <row r="239" spans="2:21" x14ac:dyDescent="0.25">
      <c r="B239" s="23">
        <v>45972</v>
      </c>
      <c r="C239" s="91">
        <v>2</v>
      </c>
      <c r="D239" s="18" t="str">
        <f>IFERROR(VLOOKUP(Trabajos!C239,Referencias!$E$7:$F$30,2,FALSE),"")</f>
        <v>Monitoreo de bb y bab</v>
      </c>
      <c r="E239" s="91">
        <v>125</v>
      </c>
      <c r="F239" s="18" t="str">
        <f>IFERROR(VLOOKUP(Trabajos!$E239,Clientes,2,FALSE),"")</f>
        <v>Soledad Gutierrez</v>
      </c>
      <c r="G239" s="91" t="s">
        <v>403</v>
      </c>
      <c r="H239" s="119">
        <v>52</v>
      </c>
      <c r="I239" s="152">
        <v>3500</v>
      </c>
      <c r="J239" s="19">
        <f t="shared" si="4"/>
        <v>182000</v>
      </c>
      <c r="K239" s="26">
        <v>3</v>
      </c>
      <c r="L239" s="19" t="str">
        <f>IFERROR(VLOOKUP(K239,Referencias!$H$7:$I$9,2,FALSE),"")</f>
        <v>Zoom</v>
      </c>
      <c r="M239" s="143">
        <v>0</v>
      </c>
      <c r="N239" s="152">
        <v>650</v>
      </c>
      <c r="O239" s="20">
        <f t="shared" si="5"/>
        <v>0</v>
      </c>
      <c r="P239" s="21">
        <f t="shared" si="9"/>
        <v>182000</v>
      </c>
      <c r="R239" s="112">
        <v>0</v>
      </c>
      <c r="S239" s="112">
        <v>0</v>
      </c>
      <c r="T239" s="113">
        <f t="shared" si="10"/>
        <v>52</v>
      </c>
      <c r="U239" s="132"/>
    </row>
    <row r="240" spans="2:21" x14ac:dyDescent="0.25">
      <c r="B240" s="23">
        <v>45972</v>
      </c>
      <c r="C240" s="91">
        <v>2</v>
      </c>
      <c r="D240" s="18" t="str">
        <f>IFERROR(VLOOKUP(Trabajos!C240,Referencias!$E$7:$F$30,2,FALSE),"")</f>
        <v>Monitoreo de bb y bab</v>
      </c>
      <c r="E240" s="91">
        <v>37</v>
      </c>
      <c r="F240" s="18" t="str">
        <f>IFERROR(VLOOKUP(Trabajos!$E240,Clientes,2,FALSE),"")</f>
        <v>Sebastian Martos</v>
      </c>
      <c r="G240" s="91" t="s">
        <v>390</v>
      </c>
      <c r="H240" s="119">
        <v>73</v>
      </c>
      <c r="I240" s="152">
        <v>3628.75</v>
      </c>
      <c r="J240" s="19">
        <f t="shared" si="4"/>
        <v>264898.75</v>
      </c>
      <c r="K240" s="26">
        <v>3</v>
      </c>
      <c r="L240" s="19" t="str">
        <f>IFERROR(VLOOKUP(K240,Referencias!$H$7:$I$9,2,FALSE),"")</f>
        <v>Zoom</v>
      </c>
      <c r="M240" s="143">
        <v>28</v>
      </c>
      <c r="N240" s="152">
        <v>650</v>
      </c>
      <c r="O240" s="20">
        <f t="shared" si="5"/>
        <v>18200</v>
      </c>
      <c r="P240" s="21">
        <f t="shared" si="9"/>
        <v>283098.75</v>
      </c>
      <c r="R240" s="112">
        <v>0</v>
      </c>
      <c r="S240" s="112">
        <v>0</v>
      </c>
      <c r="T240" s="113">
        <f t="shared" si="10"/>
        <v>73</v>
      </c>
      <c r="U240" s="132"/>
    </row>
    <row r="241" spans="2:21" x14ac:dyDescent="0.25">
      <c r="B241" s="23">
        <v>45973</v>
      </c>
      <c r="C241" s="91">
        <v>3</v>
      </c>
      <c r="D241" s="18" t="str">
        <f>IFERROR(VLOOKUP(Trabajos!C241,Referencias!$E$7:$F$30,2,FALSE),"")</f>
        <v>Aplicación de cebos</v>
      </c>
      <c r="E241" s="91">
        <v>119</v>
      </c>
      <c r="F241" s="18" t="str">
        <f>IFERROR(VLOOKUP(Trabajos!$E241,Clientes,2,FALSE),"")</f>
        <v>Juan Rodriguez Rivas</v>
      </c>
      <c r="G241" s="91" t="s">
        <v>361</v>
      </c>
      <c r="H241" s="119">
        <v>195</v>
      </c>
      <c r="I241" s="152">
        <v>7032.5</v>
      </c>
      <c r="J241" s="19">
        <f t="shared" si="4"/>
        <v>1371337.5</v>
      </c>
      <c r="K241" s="26">
        <v>2</v>
      </c>
      <c r="L241" s="19" t="str">
        <f>IFERROR(VLOOKUP(K241,Referencias!$H$7:$I$9,2,FALSE),"")</f>
        <v>Paco</v>
      </c>
      <c r="M241" s="143">
        <v>246</v>
      </c>
      <c r="N241" s="152">
        <v>650</v>
      </c>
      <c r="O241" s="20">
        <f t="shared" si="5"/>
        <v>159900</v>
      </c>
      <c r="P241" s="21">
        <f t="shared" si="9"/>
        <v>1531237.5</v>
      </c>
      <c r="R241" s="112">
        <v>80</v>
      </c>
      <c r="S241" s="112">
        <v>0</v>
      </c>
      <c r="T241" s="113">
        <f t="shared" si="10"/>
        <v>115</v>
      </c>
      <c r="U241" s="132"/>
    </row>
    <row r="242" spans="2:21" x14ac:dyDescent="0.25">
      <c r="B242" s="23">
        <v>45973</v>
      </c>
      <c r="C242" s="91">
        <v>3</v>
      </c>
      <c r="D242" s="18" t="str">
        <f>IFERROR(VLOOKUP(Trabajos!C242,Referencias!$E$7:$F$30,2,FALSE),"")</f>
        <v>Aplicación de cebos</v>
      </c>
      <c r="E242" s="91">
        <v>37</v>
      </c>
      <c r="F242" s="18" t="str">
        <f>IFERROR(VLOOKUP(Trabajos!$E242,Clientes,2,FALSE),"")</f>
        <v>Sebastian Martos</v>
      </c>
      <c r="G242" s="91" t="s">
        <v>395</v>
      </c>
      <c r="H242" s="119">
        <v>26</v>
      </c>
      <c r="I242" s="152">
        <v>7257.5</v>
      </c>
      <c r="J242" s="19">
        <f t="shared" si="4"/>
        <v>188695</v>
      </c>
      <c r="K242" s="26">
        <v>1</v>
      </c>
      <c r="L242" s="19" t="str">
        <f>IFERROR(VLOOKUP(K242,Referencias!$H$7:$I$9,2,FALSE),"")</f>
        <v>Tomas</v>
      </c>
      <c r="M242" s="143">
        <v>24</v>
      </c>
      <c r="N242" s="152">
        <v>650</v>
      </c>
      <c r="O242" s="20">
        <f t="shared" si="5"/>
        <v>15600</v>
      </c>
      <c r="P242" s="21">
        <f t="shared" si="9"/>
        <v>204295</v>
      </c>
      <c r="R242" s="112">
        <v>0</v>
      </c>
      <c r="S242" s="112">
        <v>24</v>
      </c>
      <c r="T242" s="113">
        <f t="shared" si="10"/>
        <v>2</v>
      </c>
      <c r="U242" s="132"/>
    </row>
    <row r="243" spans="2:21" x14ac:dyDescent="0.25">
      <c r="B243" s="23">
        <v>45973</v>
      </c>
      <c r="C243" s="91">
        <v>3</v>
      </c>
      <c r="D243" s="18" t="str">
        <f>IFERROR(VLOOKUP(Trabajos!C243,Referencias!$E$7:$F$30,2,FALSE),"")</f>
        <v>Aplicación de cebos</v>
      </c>
      <c r="E243" s="91">
        <v>21</v>
      </c>
      <c r="F243" s="18" t="str">
        <f>IFERROR(VLOOKUP(Trabajos!$E243,Clientes,2,FALSE),"")</f>
        <v>Piray Mini</v>
      </c>
      <c r="G243" s="91" t="s">
        <v>400</v>
      </c>
      <c r="H243" s="119">
        <v>44</v>
      </c>
      <c r="I243" s="152">
        <v>7257.5</v>
      </c>
      <c r="J243" s="19">
        <f t="shared" si="4"/>
        <v>319330</v>
      </c>
      <c r="K243" s="26">
        <v>1</v>
      </c>
      <c r="L243" s="19" t="str">
        <f>IFERROR(VLOOKUP(K243,Referencias!$H$7:$I$9,2,FALSE),"")</f>
        <v>Tomas</v>
      </c>
      <c r="M243" s="143">
        <v>72</v>
      </c>
      <c r="N243" s="152">
        <v>650</v>
      </c>
      <c r="O243" s="20">
        <f t="shared" si="5"/>
        <v>46800</v>
      </c>
      <c r="P243" s="21">
        <f t="shared" si="9"/>
        <v>366130</v>
      </c>
      <c r="R243" s="112">
        <v>0</v>
      </c>
      <c r="S243" s="112">
        <v>44</v>
      </c>
      <c r="T243" s="113">
        <f t="shared" si="10"/>
        <v>0</v>
      </c>
      <c r="U243" s="132"/>
    </row>
    <row r="244" spans="2:21" x14ac:dyDescent="0.25">
      <c r="B244" s="23">
        <v>45973</v>
      </c>
      <c r="C244" s="91">
        <v>3</v>
      </c>
      <c r="D244" s="18" t="str">
        <f>IFERROR(VLOOKUP(Trabajos!C244,Referencias!$E$7:$F$30,2,FALSE),"")</f>
        <v>Aplicación de cebos</v>
      </c>
      <c r="E244" s="91">
        <v>126</v>
      </c>
      <c r="F244" s="18" t="str">
        <f>IFERROR(VLOOKUP(Trabajos!$E244,Clientes,2,FALSE),"")</f>
        <v>Patricia Ricci</v>
      </c>
      <c r="G244" s="91" t="s">
        <v>405</v>
      </c>
      <c r="H244" s="119">
        <v>55</v>
      </c>
      <c r="I244" s="152">
        <v>7257.5</v>
      </c>
      <c r="J244" s="19">
        <f t="shared" si="4"/>
        <v>399162.5</v>
      </c>
      <c r="K244" s="26">
        <v>3</v>
      </c>
      <c r="L244" s="19" t="str">
        <f>IFERROR(VLOOKUP(K244,Referencias!$H$7:$I$9,2,FALSE),"")</f>
        <v>Zoom</v>
      </c>
      <c r="M244" s="143">
        <v>170</v>
      </c>
      <c r="N244" s="152">
        <v>650</v>
      </c>
      <c r="O244" s="20">
        <f t="shared" si="5"/>
        <v>110500</v>
      </c>
      <c r="P244" s="21">
        <f t="shared" si="9"/>
        <v>509662.5</v>
      </c>
      <c r="R244" s="112">
        <v>0</v>
      </c>
      <c r="S244" s="112">
        <v>0</v>
      </c>
      <c r="T244" s="113">
        <f t="shared" si="10"/>
        <v>55</v>
      </c>
      <c r="U244" s="132"/>
    </row>
    <row r="245" spans="2:21" x14ac:dyDescent="0.25">
      <c r="B245" s="23">
        <v>45973</v>
      </c>
      <c r="C245" s="91">
        <v>3</v>
      </c>
      <c r="D245" s="18" t="str">
        <f>IFERROR(VLOOKUP(Trabajos!C245,Referencias!$E$7:$F$30,2,FALSE),"")</f>
        <v>Aplicación de cebos</v>
      </c>
      <c r="E245" s="91">
        <v>33</v>
      </c>
      <c r="F245" s="18" t="str">
        <f>IFERROR(VLOOKUP(Trabajos!$E245,Clientes,2,FALSE),"")</f>
        <v>Espartina S.A.</v>
      </c>
      <c r="G245" s="91" t="s">
        <v>317</v>
      </c>
      <c r="H245" s="142">
        <v>104</v>
      </c>
      <c r="I245" s="138">
        <v>7267.5</v>
      </c>
      <c r="J245" s="19">
        <f t="shared" si="4"/>
        <v>755820</v>
      </c>
      <c r="K245" s="26">
        <v>3</v>
      </c>
      <c r="L245" s="19" t="str">
        <f>IFERROR(VLOOKUP(K245,Referencias!$H$7:$I$9,2,FALSE),"")</f>
        <v>Zoom</v>
      </c>
      <c r="M245" s="143">
        <v>185</v>
      </c>
      <c r="N245" s="152">
        <v>633.85</v>
      </c>
      <c r="O245" s="20">
        <f t="shared" si="5"/>
        <v>117262.25</v>
      </c>
      <c r="P245" s="21">
        <f t="shared" si="9"/>
        <v>873082.25</v>
      </c>
      <c r="R245" s="112">
        <v>0</v>
      </c>
      <c r="S245" s="112">
        <v>0</v>
      </c>
      <c r="T245" s="113">
        <f t="shared" si="10"/>
        <v>104</v>
      </c>
      <c r="U245" s="132"/>
    </row>
    <row r="246" spans="2:21" x14ac:dyDescent="0.25">
      <c r="B246" s="23">
        <v>45973</v>
      </c>
      <c r="C246" s="91">
        <v>3</v>
      </c>
      <c r="D246" s="18" t="str">
        <f>IFERROR(VLOOKUP(Trabajos!C246,Referencias!$E$7:$F$30,2,FALSE),"")</f>
        <v>Aplicación de cebos</v>
      </c>
      <c r="E246" s="91">
        <v>33</v>
      </c>
      <c r="F246" s="18" t="str">
        <f>IFERROR(VLOOKUP(Trabajos!$E246,Clientes,2,FALSE),"")</f>
        <v>Espartina S.A.</v>
      </c>
      <c r="G246" s="91" t="s">
        <v>383</v>
      </c>
      <c r="H246" s="142">
        <v>147</v>
      </c>
      <c r="I246" s="138">
        <v>7267.5</v>
      </c>
      <c r="J246" s="19">
        <f t="shared" si="4"/>
        <v>1068322.5</v>
      </c>
      <c r="K246" s="26">
        <v>3</v>
      </c>
      <c r="L246" s="19" t="str">
        <f>IFERROR(VLOOKUP(K246,Referencias!$H$7:$I$9,2,FALSE),"")</f>
        <v>Zoom</v>
      </c>
      <c r="M246" s="143">
        <v>117</v>
      </c>
      <c r="N246" s="152">
        <v>633.85</v>
      </c>
      <c r="O246" s="20">
        <f t="shared" si="5"/>
        <v>74160.45</v>
      </c>
      <c r="P246" s="21">
        <f t="shared" si="9"/>
        <v>1142482.95</v>
      </c>
      <c r="R246" s="112">
        <v>0</v>
      </c>
      <c r="S246" s="112">
        <v>0</v>
      </c>
      <c r="T246" s="113">
        <f t="shared" si="10"/>
        <v>147</v>
      </c>
      <c r="U246" s="132"/>
    </row>
    <row r="247" spans="2:21" x14ac:dyDescent="0.25">
      <c r="B247" s="23">
        <v>45973</v>
      </c>
      <c r="C247" s="91">
        <v>2</v>
      </c>
      <c r="D247" s="18" t="str">
        <f>IFERROR(VLOOKUP(Trabajos!C247,Referencias!$E$7:$F$30,2,FALSE),"")</f>
        <v>Monitoreo de bb y bab</v>
      </c>
      <c r="E247" s="91">
        <v>127</v>
      </c>
      <c r="F247" s="18" t="str">
        <f>IFERROR(VLOOKUP(Trabajos!$E247,Clientes,2,FALSE),"")</f>
        <v>Vitalpor S.A.</v>
      </c>
      <c r="G247" s="91" t="s">
        <v>407</v>
      </c>
      <c r="H247" s="119">
        <v>50</v>
      </c>
      <c r="I247" s="152">
        <v>3467.5</v>
      </c>
      <c r="J247" s="19">
        <f t="shared" si="4"/>
        <v>173375</v>
      </c>
      <c r="K247" s="26">
        <v>3</v>
      </c>
      <c r="L247" s="19" t="str">
        <f>IFERROR(VLOOKUP(K247,Referencias!$H$7:$I$9,2,FALSE),"")</f>
        <v>Zoom</v>
      </c>
      <c r="M247" s="143">
        <v>0</v>
      </c>
      <c r="N247" s="152">
        <v>650</v>
      </c>
      <c r="O247" s="20">
        <f t="shared" si="5"/>
        <v>0</v>
      </c>
      <c r="P247" s="21">
        <f t="shared" si="9"/>
        <v>173375</v>
      </c>
      <c r="R247" s="112">
        <v>0</v>
      </c>
      <c r="S247" s="112">
        <v>0</v>
      </c>
      <c r="T247" s="113">
        <f t="shared" si="10"/>
        <v>50</v>
      </c>
      <c r="U247" s="132"/>
    </row>
    <row r="248" spans="2:21" x14ac:dyDescent="0.25">
      <c r="B248" s="23">
        <v>45973</v>
      </c>
      <c r="C248" s="91">
        <v>2</v>
      </c>
      <c r="D248" s="18" t="str">
        <f>IFERROR(VLOOKUP(Trabajos!C248,Referencias!$E$7:$F$30,2,FALSE),"")</f>
        <v>Monitoreo de bb y bab</v>
      </c>
      <c r="E248" s="91">
        <v>98</v>
      </c>
      <c r="F248" s="18" t="str">
        <f>IFERROR(VLOOKUP(Trabajos!$E248,Clientes,2,FALSE),"")</f>
        <v>Inalco</v>
      </c>
      <c r="G248" s="91" t="s">
        <v>408</v>
      </c>
      <c r="H248" s="119">
        <v>67</v>
      </c>
      <c r="I248" s="152">
        <v>3610</v>
      </c>
      <c r="J248" s="19">
        <f t="shared" si="4"/>
        <v>241870</v>
      </c>
      <c r="K248" s="26">
        <v>3</v>
      </c>
      <c r="L248" s="19" t="str">
        <f>IFERROR(VLOOKUP(K248,Referencias!$H$7:$I$9,2,FALSE),"")</f>
        <v>Zoom</v>
      </c>
      <c r="M248" s="143">
        <v>208</v>
      </c>
      <c r="N248" s="152">
        <v>650</v>
      </c>
      <c r="O248" s="20">
        <f t="shared" si="5"/>
        <v>135200</v>
      </c>
      <c r="P248" s="21">
        <f t="shared" si="9"/>
        <v>377070</v>
      </c>
      <c r="R248" s="112">
        <v>0</v>
      </c>
      <c r="S248" s="112">
        <v>0</v>
      </c>
      <c r="T248" s="113">
        <f t="shared" si="10"/>
        <v>67</v>
      </c>
      <c r="U248" s="132"/>
    </row>
    <row r="249" spans="2:21" x14ac:dyDescent="0.25">
      <c r="B249" s="23">
        <v>45973</v>
      </c>
      <c r="C249" s="91">
        <v>2</v>
      </c>
      <c r="D249" s="18" t="str">
        <f>IFERROR(VLOOKUP(Trabajos!C249,Referencias!$E$7:$F$30,2,FALSE),"")</f>
        <v>Monitoreo de bb y bab</v>
      </c>
      <c r="E249" s="91">
        <v>84</v>
      </c>
      <c r="F249" s="18" t="str">
        <f>IFERROR(VLOOKUP(Trabajos!$E249,Clientes,2,FALSE),"")</f>
        <v>Domingo y Nestor Scioli</v>
      </c>
      <c r="G249" s="91" t="s">
        <v>316</v>
      </c>
      <c r="H249" s="119">
        <v>74</v>
      </c>
      <c r="I249" s="152">
        <v>3633.75</v>
      </c>
      <c r="J249" s="19">
        <f t="shared" si="4"/>
        <v>268897.5</v>
      </c>
      <c r="K249" s="26">
        <v>3</v>
      </c>
      <c r="L249" s="19" t="str">
        <f>IFERROR(VLOOKUP(K249,Referencias!$H$7:$I$9,2,FALSE),"")</f>
        <v>Zoom</v>
      </c>
      <c r="M249" s="143">
        <v>46</v>
      </c>
      <c r="N249" s="152">
        <v>650</v>
      </c>
      <c r="O249" s="20">
        <f t="shared" si="5"/>
        <v>29900</v>
      </c>
      <c r="P249" s="21">
        <f t="shared" si="9"/>
        <v>298797.5</v>
      </c>
      <c r="R249" s="112">
        <v>0</v>
      </c>
      <c r="S249" s="112">
        <v>0</v>
      </c>
      <c r="T249" s="113">
        <f t="shared" si="10"/>
        <v>74</v>
      </c>
      <c r="U249" s="132"/>
    </row>
    <row r="250" spans="2:21" x14ac:dyDescent="0.25">
      <c r="B250" s="23">
        <v>45974</v>
      </c>
      <c r="C250" s="91">
        <v>3</v>
      </c>
      <c r="D250" s="18" t="str">
        <f>IFERROR(VLOOKUP(Trabajos!C250,Referencias!$E$7:$F$30,2,FALSE),"")</f>
        <v>Aplicación de cebos</v>
      </c>
      <c r="E250" s="91">
        <v>33</v>
      </c>
      <c r="F250" s="18" t="str">
        <f>IFERROR(VLOOKUP(Trabajos!$E250,Clientes,2,FALSE),"")</f>
        <v>Espartina S.A.</v>
      </c>
      <c r="G250" s="91" t="s">
        <v>291</v>
      </c>
      <c r="H250" s="142">
        <v>157</v>
      </c>
      <c r="I250" s="138">
        <v>7250</v>
      </c>
      <c r="J250" s="19">
        <f t="shared" si="4"/>
        <v>1138250</v>
      </c>
      <c r="K250" s="26">
        <v>2</v>
      </c>
      <c r="L250" s="19" t="str">
        <f>IFERROR(VLOOKUP(K250,Referencias!$H$7:$I$9,2,FALSE),"")</f>
        <v>Paco</v>
      </c>
      <c r="M250" s="143">
        <v>294</v>
      </c>
      <c r="N250" s="138">
        <v>633.85</v>
      </c>
      <c r="O250" s="20">
        <f t="shared" si="5"/>
        <v>186351.9</v>
      </c>
      <c r="P250" s="21">
        <f t="shared" si="9"/>
        <v>1324601.8999999999</v>
      </c>
      <c r="R250" s="112">
        <v>80</v>
      </c>
      <c r="S250" s="112">
        <v>0</v>
      </c>
      <c r="T250" s="113">
        <f t="shared" si="10"/>
        <v>77</v>
      </c>
      <c r="U250" s="132"/>
    </row>
    <row r="251" spans="2:21" x14ac:dyDescent="0.25">
      <c r="B251" s="23">
        <v>45974</v>
      </c>
      <c r="C251" s="91">
        <v>3</v>
      </c>
      <c r="D251" s="18" t="str">
        <f>IFERROR(VLOOKUP(Trabajos!C251,Referencias!$E$7:$F$30,2,FALSE),"")</f>
        <v>Aplicación de cebos</v>
      </c>
      <c r="E251" s="91">
        <v>33</v>
      </c>
      <c r="F251" s="18" t="str">
        <f>IFERROR(VLOOKUP(Trabajos!$E251,Clientes,2,FALSE),"")</f>
        <v>Espartina S.A.</v>
      </c>
      <c r="G251" s="91" t="s">
        <v>411</v>
      </c>
      <c r="H251" s="142">
        <v>189</v>
      </c>
      <c r="I251" s="138">
        <v>7267.5</v>
      </c>
      <c r="J251" s="19">
        <f t="shared" si="4"/>
        <v>1373557.5</v>
      </c>
      <c r="K251" s="26">
        <v>1</v>
      </c>
      <c r="L251" s="19" t="str">
        <f>IFERROR(VLOOKUP(K251,Referencias!$H$7:$I$9,2,FALSE),"")</f>
        <v>Tomas</v>
      </c>
      <c r="M251" s="143">
        <v>50</v>
      </c>
      <c r="N251" s="152">
        <v>633.85</v>
      </c>
      <c r="O251" s="20">
        <f t="shared" si="5"/>
        <v>31692.5</v>
      </c>
      <c r="P251" s="21">
        <f t="shared" si="9"/>
        <v>1405250</v>
      </c>
      <c r="R251" s="112">
        <v>0</v>
      </c>
      <c r="S251" s="112">
        <v>80</v>
      </c>
      <c r="T251" s="113">
        <f t="shared" si="10"/>
        <v>109</v>
      </c>
      <c r="U251" s="132"/>
    </row>
    <row r="252" spans="2:21" x14ac:dyDescent="0.25">
      <c r="B252" s="23">
        <v>45974</v>
      </c>
      <c r="C252" s="91">
        <v>3</v>
      </c>
      <c r="D252" s="18" t="str">
        <f>IFERROR(VLOOKUP(Trabajos!C252,Referencias!$E$7:$F$30,2,FALSE),"")</f>
        <v>Aplicación de cebos</v>
      </c>
      <c r="E252" s="91">
        <v>33</v>
      </c>
      <c r="F252" s="18" t="str">
        <f>IFERROR(VLOOKUP(Trabajos!$E252,Clientes,2,FALSE),"")</f>
        <v>Espartina S.A.</v>
      </c>
      <c r="G252" s="91" t="s">
        <v>289</v>
      </c>
      <c r="H252" s="142">
        <v>120</v>
      </c>
      <c r="I252" s="138">
        <v>7250</v>
      </c>
      <c r="J252" s="19">
        <f t="shared" si="4"/>
        <v>870000</v>
      </c>
      <c r="K252" s="26">
        <v>3</v>
      </c>
      <c r="L252" s="19" t="str">
        <f>IFERROR(VLOOKUP(K252,Referencias!$H$7:$I$9,2,FALSE),"")</f>
        <v>Zoom</v>
      </c>
      <c r="M252" s="143">
        <v>260</v>
      </c>
      <c r="N252" s="138">
        <v>633.85</v>
      </c>
      <c r="O252" s="20">
        <f t="shared" si="5"/>
        <v>164801</v>
      </c>
      <c r="P252" s="21">
        <f t="shared" si="9"/>
        <v>1034801</v>
      </c>
      <c r="R252" s="112">
        <v>0</v>
      </c>
      <c r="S252" s="112">
        <v>0</v>
      </c>
      <c r="T252" s="113">
        <f t="shared" si="10"/>
        <v>120</v>
      </c>
      <c r="U252" s="132"/>
    </row>
    <row r="253" spans="2:21" x14ac:dyDescent="0.25">
      <c r="B253" s="23">
        <v>45974</v>
      </c>
      <c r="C253" s="91">
        <v>2</v>
      </c>
      <c r="D253" s="18" t="str">
        <f>IFERROR(VLOOKUP(Trabajos!C253,Referencias!$E$7:$F$30,2,FALSE),"")</f>
        <v>Monitoreo de bb y bab</v>
      </c>
      <c r="E253" s="91">
        <v>33</v>
      </c>
      <c r="F253" s="18" t="str">
        <f>IFERROR(VLOOKUP(Trabajos!$E253,Clientes,2,FALSE),"")</f>
        <v>Espartina S.A.</v>
      </c>
      <c r="G253" s="91" t="s">
        <v>412</v>
      </c>
      <c r="H253" s="142">
        <v>540</v>
      </c>
      <c r="I253" s="138">
        <v>3262.5</v>
      </c>
      <c r="J253" s="19">
        <f t="shared" si="4"/>
        <v>1761750</v>
      </c>
      <c r="K253" s="26">
        <v>3</v>
      </c>
      <c r="L253" s="19" t="str">
        <f>IFERROR(VLOOKUP(K253,Referencias!$H$7:$I$9,2,FALSE),"")</f>
        <v>Zoom</v>
      </c>
      <c r="M253" s="143">
        <v>296</v>
      </c>
      <c r="N253" s="138">
        <v>633.85</v>
      </c>
      <c r="O253" s="20">
        <f t="shared" si="5"/>
        <v>187619.6</v>
      </c>
      <c r="P253" s="21">
        <f t="shared" si="9"/>
        <v>1949369.6</v>
      </c>
      <c r="R253" s="112">
        <v>0</v>
      </c>
      <c r="S253" s="112">
        <v>0</v>
      </c>
      <c r="T253" s="113">
        <f t="shared" si="10"/>
        <v>540</v>
      </c>
      <c r="U253" s="132"/>
    </row>
    <row r="254" spans="2:21" x14ac:dyDescent="0.25">
      <c r="B254" s="23">
        <v>45974</v>
      </c>
      <c r="C254" s="91">
        <v>2</v>
      </c>
      <c r="D254" s="18" t="str">
        <f>IFERROR(VLOOKUP(Trabajos!C254,Referencias!$E$7:$F$30,2,FALSE),"")</f>
        <v>Monitoreo de bb y bab</v>
      </c>
      <c r="E254" s="91">
        <v>33</v>
      </c>
      <c r="F254" s="18" t="str">
        <f>IFERROR(VLOOKUP(Trabajos!$E254,Clientes,2,FALSE),"")</f>
        <v>Espartina S.A.</v>
      </c>
      <c r="G254" s="91" t="s">
        <v>325</v>
      </c>
      <c r="H254" s="142">
        <v>129</v>
      </c>
      <c r="I254" s="138">
        <v>3262.5</v>
      </c>
      <c r="J254" s="19">
        <f t="shared" si="4"/>
        <v>420862.5</v>
      </c>
      <c r="K254" s="26">
        <v>3</v>
      </c>
      <c r="L254" s="19" t="str">
        <f>IFERROR(VLOOKUP(K254,Referencias!$H$7:$I$9,2,FALSE),"")</f>
        <v>Zoom</v>
      </c>
      <c r="M254" s="143">
        <v>164</v>
      </c>
      <c r="N254" s="138">
        <v>633.85</v>
      </c>
      <c r="O254" s="20">
        <f t="shared" si="5"/>
        <v>103951.40000000001</v>
      </c>
      <c r="P254" s="21">
        <f t="shared" si="9"/>
        <v>524813.9</v>
      </c>
      <c r="R254" s="112">
        <v>0</v>
      </c>
      <c r="S254" s="112">
        <v>0</v>
      </c>
      <c r="T254" s="113">
        <f t="shared" si="10"/>
        <v>129</v>
      </c>
      <c r="U254" s="132"/>
    </row>
    <row r="255" spans="2:21" x14ac:dyDescent="0.25">
      <c r="B255" s="23">
        <v>45974</v>
      </c>
      <c r="C255" s="91">
        <v>3</v>
      </c>
      <c r="D255" s="18" t="str">
        <f>IFERROR(VLOOKUP(Trabajos!C255,Referencias!$E$7:$F$30,2,FALSE),"")</f>
        <v>Aplicación de cebos</v>
      </c>
      <c r="E255" s="91">
        <v>5</v>
      </c>
      <c r="F255" s="18" t="str">
        <f>IFERROR(VLOOKUP(Trabajos!$E255,Clientes,2,FALSE),"")</f>
        <v>Cofina Agro</v>
      </c>
      <c r="G255" s="91" t="s">
        <v>323</v>
      </c>
      <c r="H255" s="119">
        <v>37</v>
      </c>
      <c r="I255" s="152">
        <v>7262.5</v>
      </c>
      <c r="J255" s="19">
        <f t="shared" si="4"/>
        <v>268712.5</v>
      </c>
      <c r="K255" s="26">
        <v>3</v>
      </c>
      <c r="L255" s="19" t="str">
        <f>IFERROR(VLOOKUP(K255,Referencias!$H$7:$I$9,2,FALSE),"")</f>
        <v>Zoom</v>
      </c>
      <c r="M255" s="143">
        <v>62</v>
      </c>
      <c r="N255" s="138">
        <v>650</v>
      </c>
      <c r="O255" s="20">
        <f t="shared" si="5"/>
        <v>40300</v>
      </c>
      <c r="P255" s="21">
        <f t="shared" si="9"/>
        <v>309012.5</v>
      </c>
      <c r="R255" s="112">
        <v>0</v>
      </c>
      <c r="S255" s="112">
        <v>0</v>
      </c>
      <c r="T255" s="113">
        <f t="shared" si="10"/>
        <v>37</v>
      </c>
      <c r="U255" s="132"/>
    </row>
    <row r="256" spans="2:21" x14ac:dyDescent="0.25">
      <c r="B256" s="23">
        <v>45975</v>
      </c>
      <c r="C256" s="91">
        <v>3</v>
      </c>
      <c r="D256" s="18" t="str">
        <f>IFERROR(VLOOKUP(Trabajos!C256,Referencias!$E$7:$F$30,2,FALSE),"")</f>
        <v>Aplicación de cebos</v>
      </c>
      <c r="E256" s="91">
        <v>33</v>
      </c>
      <c r="F256" s="18" t="str">
        <f>IFERROR(VLOOKUP(Trabajos!$E256,Clientes,2,FALSE),"")</f>
        <v>Espartina S.A.</v>
      </c>
      <c r="G256" s="91" t="s">
        <v>372</v>
      </c>
      <c r="H256" s="142">
        <v>98</v>
      </c>
      <c r="I256" s="138">
        <v>7250</v>
      </c>
      <c r="J256" s="19">
        <f t="shared" si="4"/>
        <v>710500</v>
      </c>
      <c r="K256" s="26">
        <v>2</v>
      </c>
      <c r="L256" s="19" t="str">
        <f>IFERROR(VLOOKUP(K256,Referencias!$H$7:$I$9,2,FALSE),"")</f>
        <v>Paco</v>
      </c>
      <c r="M256" s="143">
        <v>294</v>
      </c>
      <c r="N256" s="138">
        <v>633.85</v>
      </c>
      <c r="O256" s="20">
        <f t="shared" si="5"/>
        <v>186351.9</v>
      </c>
      <c r="P256" s="21">
        <f t="shared" si="9"/>
        <v>896851.9</v>
      </c>
      <c r="R256" s="112">
        <v>80</v>
      </c>
      <c r="S256" s="112">
        <v>0</v>
      </c>
      <c r="T256" s="113">
        <f t="shared" si="10"/>
        <v>18</v>
      </c>
      <c r="U256" s="132"/>
    </row>
    <row r="257" spans="2:21" x14ac:dyDescent="0.25">
      <c r="B257" s="23">
        <v>45975</v>
      </c>
      <c r="C257" s="91">
        <v>3</v>
      </c>
      <c r="D257" s="18" t="str">
        <f>IFERROR(VLOOKUP(Trabajos!C257,Referencias!$E$7:$F$30,2,FALSE),"")</f>
        <v>Aplicación de cebos</v>
      </c>
      <c r="E257" s="91">
        <v>11</v>
      </c>
      <c r="F257" s="18" t="str">
        <f>IFERROR(VLOOKUP(Trabajos!$E257,Clientes,2,FALSE),"")</f>
        <v>Carlos Fernando Fuertes</v>
      </c>
      <c r="G257" s="91" t="s">
        <v>230</v>
      </c>
      <c r="H257" s="119">
        <v>115</v>
      </c>
      <c r="I257" s="152">
        <v>7320</v>
      </c>
      <c r="J257" s="19">
        <f t="shared" si="4"/>
        <v>841800</v>
      </c>
      <c r="K257" s="26">
        <v>1</v>
      </c>
      <c r="L257" s="19" t="str">
        <f>IFERROR(VLOOKUP(K257,Referencias!$H$7:$I$9,2,FALSE),"")</f>
        <v>Tomas</v>
      </c>
      <c r="M257" s="143">
        <v>0</v>
      </c>
      <c r="N257" s="152">
        <v>650</v>
      </c>
      <c r="O257" s="20">
        <f t="shared" si="5"/>
        <v>0</v>
      </c>
      <c r="P257" s="21">
        <f t="shared" si="9"/>
        <v>841800</v>
      </c>
      <c r="R257" s="112">
        <v>0</v>
      </c>
      <c r="S257" s="112">
        <v>80</v>
      </c>
      <c r="T257" s="113">
        <f t="shared" si="10"/>
        <v>35</v>
      </c>
      <c r="U257" s="132"/>
    </row>
    <row r="258" spans="2:21" x14ac:dyDescent="0.25">
      <c r="B258" s="23">
        <v>45975</v>
      </c>
      <c r="C258" s="91">
        <v>3</v>
      </c>
      <c r="D258" s="18" t="str">
        <f>IFERROR(VLOOKUP(Trabajos!C258,Referencias!$E$7:$F$30,2,FALSE),"")</f>
        <v>Aplicación de cebos</v>
      </c>
      <c r="E258" s="91">
        <v>33</v>
      </c>
      <c r="F258" s="18" t="str">
        <f>IFERROR(VLOOKUP(Trabajos!$E258,Clientes,2,FALSE),"")</f>
        <v>Espartina S.A.</v>
      </c>
      <c r="G258" s="91" t="s">
        <v>299</v>
      </c>
      <c r="H258" s="142">
        <v>134</v>
      </c>
      <c r="I258" s="138">
        <v>7250</v>
      </c>
      <c r="J258" s="19">
        <f t="shared" si="4"/>
        <v>971500</v>
      </c>
      <c r="K258" s="26">
        <v>3</v>
      </c>
      <c r="L258" s="19" t="str">
        <f>IFERROR(VLOOKUP(K258,Referencias!$H$7:$I$9,2,FALSE),"")</f>
        <v>Zoom</v>
      </c>
      <c r="M258" s="143">
        <v>120</v>
      </c>
      <c r="N258" s="138">
        <v>633.85</v>
      </c>
      <c r="O258" s="20">
        <f t="shared" si="5"/>
        <v>76062</v>
      </c>
      <c r="P258" s="21">
        <f t="shared" si="9"/>
        <v>1047562</v>
      </c>
      <c r="R258" s="112">
        <v>0</v>
      </c>
      <c r="S258" s="112">
        <v>0</v>
      </c>
      <c r="T258" s="113">
        <f t="shared" si="10"/>
        <v>134</v>
      </c>
      <c r="U258" s="132"/>
    </row>
    <row r="259" spans="2:21" x14ac:dyDescent="0.25">
      <c r="B259" s="23">
        <v>45975</v>
      </c>
      <c r="C259" s="91">
        <v>3</v>
      </c>
      <c r="D259" s="18" t="str">
        <f>IFERROR(VLOOKUP(Trabajos!C259,Referencias!$E$7:$F$30,2,FALSE),"")</f>
        <v>Aplicación de cebos</v>
      </c>
      <c r="E259" s="91">
        <v>33</v>
      </c>
      <c r="F259" s="18" t="str">
        <f>IFERROR(VLOOKUP(Trabajos!$E259,Clientes,2,FALSE),"")</f>
        <v>Espartina S.A.</v>
      </c>
      <c r="G259" s="91" t="s">
        <v>414</v>
      </c>
      <c r="H259" s="142">
        <v>108</v>
      </c>
      <c r="I259" s="138">
        <v>7250</v>
      </c>
      <c r="J259" s="19">
        <f t="shared" si="4"/>
        <v>783000</v>
      </c>
      <c r="K259" s="26">
        <v>3</v>
      </c>
      <c r="L259" s="19" t="str">
        <f>IFERROR(VLOOKUP(K259,Referencias!$H$7:$I$9,2,FALSE),"")</f>
        <v>Zoom</v>
      </c>
      <c r="M259" s="143">
        <v>120</v>
      </c>
      <c r="N259" s="138">
        <v>633.85</v>
      </c>
      <c r="O259" s="20">
        <f t="shared" si="5"/>
        <v>76062</v>
      </c>
      <c r="P259" s="21">
        <f t="shared" si="9"/>
        <v>859062</v>
      </c>
      <c r="R259" s="112">
        <v>0</v>
      </c>
      <c r="S259" s="112">
        <v>0</v>
      </c>
      <c r="T259" s="113">
        <f t="shared" si="10"/>
        <v>108</v>
      </c>
      <c r="U259" s="132"/>
    </row>
    <row r="260" spans="2:21" x14ac:dyDescent="0.25">
      <c r="B260" s="23">
        <v>45975</v>
      </c>
      <c r="C260" s="91">
        <v>3</v>
      </c>
      <c r="D260" s="18" t="str">
        <f>IFERROR(VLOOKUP(Trabajos!C260,Referencias!$E$7:$F$30,2,FALSE),"")</f>
        <v>Aplicación de cebos</v>
      </c>
      <c r="E260" s="91">
        <v>33</v>
      </c>
      <c r="F260" s="18" t="str">
        <f>IFERROR(VLOOKUP(Trabajos!$E260,Clientes,2,FALSE),"")</f>
        <v>Espartina S.A.</v>
      </c>
      <c r="G260" s="91" t="s">
        <v>247</v>
      </c>
      <c r="H260" s="142">
        <v>41</v>
      </c>
      <c r="I260" s="138">
        <v>7267.5</v>
      </c>
      <c r="J260" s="19">
        <f t="shared" si="4"/>
        <v>297967.5</v>
      </c>
      <c r="K260" s="26">
        <v>3</v>
      </c>
      <c r="L260" s="19" t="str">
        <f>IFERROR(VLOOKUP(K260,Referencias!$H$7:$I$9,2,FALSE),"")</f>
        <v>Zoom</v>
      </c>
      <c r="M260" s="143">
        <v>172</v>
      </c>
      <c r="N260" s="152">
        <v>633.85</v>
      </c>
      <c r="O260" s="20">
        <f t="shared" si="5"/>
        <v>109022.2</v>
      </c>
      <c r="P260" s="21">
        <f t="shared" si="9"/>
        <v>406989.7</v>
      </c>
      <c r="R260" s="112">
        <v>0</v>
      </c>
      <c r="S260" s="112">
        <v>0</v>
      </c>
      <c r="T260" s="113">
        <f t="shared" si="10"/>
        <v>41</v>
      </c>
      <c r="U260" s="132"/>
    </row>
    <row r="261" spans="2:21" x14ac:dyDescent="0.25">
      <c r="B261" s="23">
        <v>45975</v>
      </c>
      <c r="C261" s="91">
        <v>3</v>
      </c>
      <c r="D261" s="18" t="str">
        <f>IFERROR(VLOOKUP(Trabajos!C261,Referencias!$E$7:$F$30,2,FALSE),"")</f>
        <v>Aplicación de cebos</v>
      </c>
      <c r="E261" s="91">
        <v>33</v>
      </c>
      <c r="F261" s="18" t="str">
        <f>IFERROR(VLOOKUP(Trabajos!$E261,Clientes,2,FALSE),"")</f>
        <v>Espartina S.A.</v>
      </c>
      <c r="G261" s="91" t="s">
        <v>232</v>
      </c>
      <c r="H261" s="142">
        <v>54</v>
      </c>
      <c r="I261" s="138">
        <v>7267.5</v>
      </c>
      <c r="J261" s="19">
        <f t="shared" si="4"/>
        <v>392445</v>
      </c>
      <c r="K261" s="26">
        <v>3</v>
      </c>
      <c r="L261" s="19" t="str">
        <f>IFERROR(VLOOKUP(K261,Referencias!$H$7:$I$9,2,FALSE),"")</f>
        <v>Zoom</v>
      </c>
      <c r="M261" s="143">
        <v>152</v>
      </c>
      <c r="N261" s="152">
        <v>633.85</v>
      </c>
      <c r="O261" s="20">
        <f t="shared" si="5"/>
        <v>96345.2</v>
      </c>
      <c r="P261" s="21">
        <f t="shared" si="9"/>
        <v>488790.2</v>
      </c>
      <c r="R261" s="112">
        <v>0</v>
      </c>
      <c r="S261" s="112">
        <v>0</v>
      </c>
      <c r="T261" s="113">
        <f t="shared" si="10"/>
        <v>54</v>
      </c>
      <c r="U261" s="132"/>
    </row>
    <row r="262" spans="2:21" x14ac:dyDescent="0.25">
      <c r="B262" s="23">
        <v>45975</v>
      </c>
      <c r="C262" s="91">
        <v>2</v>
      </c>
      <c r="D262" s="18" t="str">
        <f>IFERROR(VLOOKUP(Trabajos!C262,Referencias!$E$7:$F$30,2,FALSE),"")</f>
        <v>Monitoreo de bb y bab</v>
      </c>
      <c r="E262" s="91">
        <v>33</v>
      </c>
      <c r="F262" s="18" t="str">
        <f>IFERROR(VLOOKUP(Trabajos!$E262,Clientes,2,FALSE),"")</f>
        <v>Espartina S.A.</v>
      </c>
      <c r="G262" s="91" t="s">
        <v>391</v>
      </c>
      <c r="H262" s="142">
        <v>224</v>
      </c>
      <c r="I262" s="138">
        <v>3270.37</v>
      </c>
      <c r="J262" s="19">
        <f t="shared" si="4"/>
        <v>732562.88</v>
      </c>
      <c r="K262" s="26">
        <v>3</v>
      </c>
      <c r="L262" s="19" t="str">
        <f>IFERROR(VLOOKUP(K262,Referencias!$H$7:$I$9,2,FALSE),"")</f>
        <v>Zoom</v>
      </c>
      <c r="M262" s="143">
        <v>190</v>
      </c>
      <c r="N262" s="152">
        <v>633.85</v>
      </c>
      <c r="O262" s="20">
        <f t="shared" si="5"/>
        <v>120431.5</v>
      </c>
      <c r="P262" s="21">
        <f t="shared" si="9"/>
        <v>852994.38</v>
      </c>
      <c r="R262" s="112">
        <v>0</v>
      </c>
      <c r="S262" s="112">
        <v>0</v>
      </c>
      <c r="T262" s="113">
        <f t="shared" si="10"/>
        <v>224</v>
      </c>
      <c r="U262" s="132"/>
    </row>
    <row r="263" spans="2:21" x14ac:dyDescent="0.25">
      <c r="B263" s="23">
        <v>45976</v>
      </c>
      <c r="C263" s="91">
        <v>2</v>
      </c>
      <c r="D263" s="18" t="str">
        <f>IFERROR(VLOOKUP(Trabajos!C263,Referencias!$E$7:$F$30,2,FALSE),"")</f>
        <v>Monitoreo de bb y bab</v>
      </c>
      <c r="E263" s="91">
        <v>33</v>
      </c>
      <c r="F263" s="18" t="str">
        <f>IFERROR(VLOOKUP(Trabajos!$E263,Clientes,2,FALSE),"")</f>
        <v>Espartina S.A.</v>
      </c>
      <c r="G263" s="91" t="s">
        <v>416</v>
      </c>
      <c r="H263" s="142">
        <v>69</v>
      </c>
      <c r="I263" s="138">
        <v>3270.37</v>
      </c>
      <c r="J263" s="19">
        <f t="shared" si="4"/>
        <v>225655.53</v>
      </c>
      <c r="K263" s="26">
        <v>3</v>
      </c>
      <c r="L263" s="19" t="str">
        <f>IFERROR(VLOOKUP(K263,Referencias!$H$7:$I$9,2,FALSE),"")</f>
        <v>Zoom</v>
      </c>
      <c r="M263" s="143">
        <v>170</v>
      </c>
      <c r="N263" s="152">
        <v>633.85</v>
      </c>
      <c r="O263" s="20">
        <f t="shared" si="5"/>
        <v>107754.5</v>
      </c>
      <c r="P263" s="21">
        <f t="shared" si="9"/>
        <v>333410.03000000003</v>
      </c>
      <c r="R263" s="112">
        <v>0</v>
      </c>
      <c r="S263" s="112">
        <v>0</v>
      </c>
      <c r="T263" s="113">
        <f t="shared" si="10"/>
        <v>69</v>
      </c>
      <c r="U263" s="132"/>
    </row>
    <row r="264" spans="2:21" x14ac:dyDescent="0.25">
      <c r="B264" s="23">
        <v>45975</v>
      </c>
      <c r="C264" s="91">
        <v>3</v>
      </c>
      <c r="D264" s="18" t="str">
        <f>IFERROR(VLOOKUP(Trabajos!C264,Referencias!$E$7:$F$30,2,FALSE),"")</f>
        <v>Aplicación de cebos</v>
      </c>
      <c r="E264" s="91">
        <v>33</v>
      </c>
      <c r="F264" s="18" t="str">
        <f>IFERROR(VLOOKUP(Trabajos!$E264,Clientes,2,FALSE),"")</f>
        <v>Espartina S.A.</v>
      </c>
      <c r="G264" s="91" t="s">
        <v>379</v>
      </c>
      <c r="H264" s="142">
        <v>14</v>
      </c>
      <c r="I264" s="138">
        <v>7250</v>
      </c>
      <c r="J264" s="19">
        <f t="shared" si="4"/>
        <v>101500</v>
      </c>
      <c r="K264" s="26">
        <v>2</v>
      </c>
      <c r="L264" s="19" t="str">
        <f>IFERROR(VLOOKUP(K264,Referencias!$H$7:$I$9,2,FALSE),"")</f>
        <v>Paco</v>
      </c>
      <c r="M264" s="143">
        <v>328</v>
      </c>
      <c r="N264" s="138">
        <v>633.85</v>
      </c>
      <c r="O264" s="20">
        <f t="shared" si="5"/>
        <v>207902.80000000002</v>
      </c>
      <c r="P264" s="21">
        <f t="shared" si="9"/>
        <v>309402.80000000005</v>
      </c>
      <c r="R264" s="112">
        <v>0</v>
      </c>
      <c r="S264" s="112">
        <v>0</v>
      </c>
      <c r="T264" s="113">
        <f t="shared" si="10"/>
        <v>14</v>
      </c>
      <c r="U264" s="132"/>
    </row>
    <row r="265" spans="2:21" x14ac:dyDescent="0.25">
      <c r="B265" s="23">
        <v>45976</v>
      </c>
      <c r="C265" s="91">
        <v>3</v>
      </c>
      <c r="D265" s="18" t="str">
        <f>IFERROR(VLOOKUP(Trabajos!C265,Referencias!$E$7:$F$30,2,FALSE),"")</f>
        <v>Aplicación de cebos</v>
      </c>
      <c r="E265" s="91">
        <v>33</v>
      </c>
      <c r="F265" s="18" t="str">
        <f>IFERROR(VLOOKUP(Trabajos!$E265,Clientes,2,FALSE),"")</f>
        <v>Espartina S.A.</v>
      </c>
      <c r="G265" s="91" t="s">
        <v>360</v>
      </c>
      <c r="H265" s="142">
        <v>120</v>
      </c>
      <c r="I265" s="138">
        <v>7267.5</v>
      </c>
      <c r="J265" s="19">
        <f t="shared" si="4"/>
        <v>872100</v>
      </c>
      <c r="K265" s="26">
        <v>1</v>
      </c>
      <c r="L265" s="19" t="str">
        <f>IFERROR(VLOOKUP(K265,Referencias!$H$7:$I$9,2,FALSE),"")</f>
        <v>Tomas</v>
      </c>
      <c r="M265" s="143">
        <v>50</v>
      </c>
      <c r="N265" s="152">
        <v>633.85</v>
      </c>
      <c r="O265" s="20">
        <f t="shared" si="5"/>
        <v>31692.5</v>
      </c>
      <c r="P265" s="21">
        <f t="shared" si="9"/>
        <v>903792.5</v>
      </c>
      <c r="R265" s="112">
        <v>0</v>
      </c>
      <c r="S265" s="112">
        <v>80</v>
      </c>
      <c r="T265" s="113">
        <f t="shared" si="10"/>
        <v>40</v>
      </c>
      <c r="U265" s="132"/>
    </row>
    <row r="266" spans="2:21" x14ac:dyDescent="0.25">
      <c r="B266" s="23">
        <v>45976</v>
      </c>
      <c r="C266" s="91">
        <v>3</v>
      </c>
      <c r="D266" s="18" t="str">
        <f>IFERROR(VLOOKUP(Trabajos!C266,Referencias!$E$7:$F$30,2,FALSE),"")</f>
        <v>Aplicación de cebos</v>
      </c>
      <c r="E266" s="91">
        <v>33</v>
      </c>
      <c r="F266" s="18" t="str">
        <f>IFERROR(VLOOKUP(Trabajos!$E266,Clientes,2,FALSE),"")</f>
        <v>Espartina S.A.</v>
      </c>
      <c r="G266" s="91" t="s">
        <v>252</v>
      </c>
      <c r="H266" s="142">
        <v>180</v>
      </c>
      <c r="I266" s="138">
        <v>7267.5</v>
      </c>
      <c r="J266" s="19">
        <f t="shared" si="4"/>
        <v>1308150</v>
      </c>
      <c r="K266" s="26">
        <v>3</v>
      </c>
      <c r="L266" s="19" t="str">
        <f>IFERROR(VLOOKUP(K266,Referencias!$H$7:$I$9,2,FALSE),"")</f>
        <v>Zoom</v>
      </c>
      <c r="M266" s="143">
        <v>208</v>
      </c>
      <c r="N266" s="152">
        <v>633.85</v>
      </c>
      <c r="O266" s="20">
        <f t="shared" si="5"/>
        <v>131840.80000000002</v>
      </c>
      <c r="P266" s="21">
        <f t="shared" si="9"/>
        <v>1439990.8</v>
      </c>
      <c r="R266" s="112">
        <v>0</v>
      </c>
      <c r="S266" s="112">
        <v>0</v>
      </c>
      <c r="T266" s="113">
        <f t="shared" si="10"/>
        <v>180</v>
      </c>
      <c r="U266" s="132"/>
    </row>
    <row r="267" spans="2:21" x14ac:dyDescent="0.25">
      <c r="B267" s="23">
        <v>45976</v>
      </c>
      <c r="C267" s="91">
        <v>2</v>
      </c>
      <c r="D267" s="18" t="str">
        <f>IFERROR(VLOOKUP(Trabajos!C267,Referencias!$E$7:$F$30,2,FALSE),"")</f>
        <v>Monitoreo de bb y bab</v>
      </c>
      <c r="E267" s="91">
        <v>33</v>
      </c>
      <c r="F267" s="18" t="str">
        <f>IFERROR(VLOOKUP(Trabajos!$E267,Clientes,2,FALSE),"")</f>
        <v>Espartina S.A.</v>
      </c>
      <c r="G267" s="91" t="s">
        <v>415</v>
      </c>
      <c r="H267" s="142">
        <v>190</v>
      </c>
      <c r="I267" s="138">
        <v>3262.5</v>
      </c>
      <c r="J267" s="19">
        <f t="shared" si="4"/>
        <v>619875</v>
      </c>
      <c r="K267" s="26">
        <v>3</v>
      </c>
      <c r="L267" s="19" t="str">
        <f>IFERROR(VLOOKUP(K267,Referencias!$H$7:$I$9,2,FALSE),"")</f>
        <v>Zoom</v>
      </c>
      <c r="M267" s="143">
        <v>160</v>
      </c>
      <c r="N267" s="138">
        <v>633.85</v>
      </c>
      <c r="O267" s="20">
        <f t="shared" si="5"/>
        <v>101416</v>
      </c>
      <c r="P267" s="21">
        <f t="shared" si="9"/>
        <v>721291</v>
      </c>
      <c r="R267" s="112">
        <v>0</v>
      </c>
      <c r="S267" s="112">
        <v>0</v>
      </c>
      <c r="T267" s="113">
        <f t="shared" si="10"/>
        <v>190</v>
      </c>
      <c r="U267" s="132"/>
    </row>
    <row r="268" spans="2:21" x14ac:dyDescent="0.25">
      <c r="B268" s="23">
        <v>45976</v>
      </c>
      <c r="C268" s="91">
        <v>2</v>
      </c>
      <c r="D268" s="18" t="str">
        <f>IFERROR(VLOOKUP(Trabajos!C268,Referencias!$E$7:$F$30,2,FALSE),"")</f>
        <v>Monitoreo de bb y bab</v>
      </c>
      <c r="E268" s="91">
        <v>33</v>
      </c>
      <c r="F268" s="18" t="str">
        <f>IFERROR(VLOOKUP(Trabajos!$E268,Clientes,2,FALSE),"")</f>
        <v>Espartina S.A.</v>
      </c>
      <c r="G268" s="91" t="s">
        <v>379</v>
      </c>
      <c r="H268" s="142">
        <v>179</v>
      </c>
      <c r="I268" s="138">
        <v>3262.5</v>
      </c>
      <c r="J268" s="19">
        <f t="shared" si="4"/>
        <v>583987.5</v>
      </c>
      <c r="K268" s="26">
        <v>3</v>
      </c>
      <c r="L268" s="19" t="str">
        <f>IFERROR(VLOOKUP(K268,Referencias!$H$7:$I$9,2,FALSE),"")</f>
        <v>Zoom</v>
      </c>
      <c r="M268" s="143">
        <v>328</v>
      </c>
      <c r="N268" s="138">
        <v>633.85</v>
      </c>
      <c r="O268" s="20">
        <f t="shared" si="5"/>
        <v>207902.80000000002</v>
      </c>
      <c r="P268" s="21">
        <f t="shared" si="9"/>
        <v>791890.3</v>
      </c>
      <c r="R268" s="112">
        <v>0</v>
      </c>
      <c r="S268" s="112">
        <v>0</v>
      </c>
      <c r="T268" s="113">
        <f t="shared" si="10"/>
        <v>179</v>
      </c>
      <c r="U268" s="132"/>
    </row>
    <row r="269" spans="2:21" x14ac:dyDescent="0.25">
      <c r="B269" s="23">
        <v>45978</v>
      </c>
      <c r="C269" s="91">
        <v>3</v>
      </c>
      <c r="D269" s="18" t="str">
        <f>IFERROR(VLOOKUP(Trabajos!C269,Referencias!$E$7:$F$30,2,FALSE),"")</f>
        <v>Aplicación de cebos</v>
      </c>
      <c r="E269" s="91">
        <v>33</v>
      </c>
      <c r="F269" s="18" t="str">
        <f>IFERROR(VLOOKUP(Trabajos!$E269,Clientes,2,FALSE),"")</f>
        <v>Espartina S.A.</v>
      </c>
      <c r="G269" s="91" t="s">
        <v>289</v>
      </c>
      <c r="H269" s="142">
        <v>66</v>
      </c>
      <c r="I269" s="138">
        <v>7250</v>
      </c>
      <c r="J269" s="19">
        <f t="shared" si="4"/>
        <v>478500</v>
      </c>
      <c r="K269" s="26">
        <v>3</v>
      </c>
      <c r="L269" s="19" t="str">
        <f>IFERROR(VLOOKUP(K269,Referencias!$H$7:$I$9,2,FALSE),"")</f>
        <v>Zoom</v>
      </c>
      <c r="M269" s="143">
        <v>260</v>
      </c>
      <c r="N269" s="138">
        <v>633.85</v>
      </c>
      <c r="O269" s="20">
        <f t="shared" si="5"/>
        <v>164801</v>
      </c>
      <c r="P269" s="21">
        <f t="shared" si="9"/>
        <v>643301</v>
      </c>
      <c r="R269" s="112">
        <v>0</v>
      </c>
      <c r="S269" s="112">
        <v>0</v>
      </c>
      <c r="T269" s="113">
        <f t="shared" si="10"/>
        <v>66</v>
      </c>
      <c r="U269" s="132"/>
    </row>
    <row r="270" spans="2:21" x14ac:dyDescent="0.25">
      <c r="B270" s="23">
        <v>45979</v>
      </c>
      <c r="C270" s="91">
        <v>2</v>
      </c>
      <c r="D270" s="18" t="str">
        <f>IFERROR(VLOOKUP(Trabajos!C270,Referencias!$E$7:$F$30,2,FALSE),"")</f>
        <v>Monitoreo de bb y bab</v>
      </c>
      <c r="E270" s="91">
        <v>33</v>
      </c>
      <c r="F270" s="18" t="str">
        <f>IFERROR(VLOOKUP(Trabajos!$E270,Clientes,2,FALSE),"")</f>
        <v>Espartina S.A.</v>
      </c>
      <c r="G270" s="91" t="s">
        <v>383</v>
      </c>
      <c r="H270" s="142">
        <v>278</v>
      </c>
      <c r="I270" s="138">
        <v>3270.37</v>
      </c>
      <c r="J270" s="19">
        <f t="shared" si="4"/>
        <v>909162.86</v>
      </c>
      <c r="K270" s="26">
        <v>3</v>
      </c>
      <c r="L270" s="19" t="str">
        <f>IFERROR(VLOOKUP(K270,Referencias!$H$7:$I$9,2,FALSE),"")</f>
        <v>Zoom</v>
      </c>
      <c r="M270" s="143">
        <v>117</v>
      </c>
      <c r="N270" s="152">
        <v>633.85</v>
      </c>
      <c r="O270" s="20">
        <f t="shared" si="5"/>
        <v>74160.45</v>
      </c>
      <c r="P270" s="21">
        <f t="shared" si="9"/>
        <v>983323.30999999994</v>
      </c>
      <c r="R270" s="112">
        <v>0</v>
      </c>
      <c r="S270" s="112">
        <v>0</v>
      </c>
      <c r="T270" s="113">
        <f t="shared" si="10"/>
        <v>278</v>
      </c>
      <c r="U270" s="132"/>
    </row>
    <row r="271" spans="2:21" x14ac:dyDescent="0.25">
      <c r="B271" s="23">
        <v>45979</v>
      </c>
      <c r="C271" s="91">
        <v>3</v>
      </c>
      <c r="D271" s="18" t="str">
        <f>IFERROR(VLOOKUP(Trabajos!C271,Referencias!$E$7:$F$30,2,FALSE),"")</f>
        <v>Aplicación de cebos</v>
      </c>
      <c r="E271" s="91">
        <v>33</v>
      </c>
      <c r="F271" s="18" t="str">
        <f>IFERROR(VLOOKUP(Trabajos!$E271,Clientes,2,FALSE),"")</f>
        <v>Espartina S.A.</v>
      </c>
      <c r="G271" s="91" t="s">
        <v>292</v>
      </c>
      <c r="H271" s="142">
        <v>176</v>
      </c>
      <c r="I271" s="138">
        <v>7267.5</v>
      </c>
      <c r="J271" s="19">
        <f t="shared" si="4"/>
        <v>1279080</v>
      </c>
      <c r="K271" s="26">
        <v>2</v>
      </c>
      <c r="L271" s="19" t="str">
        <f>IFERROR(VLOOKUP(K271,Referencias!$H$7:$I$9,2,FALSE),"")</f>
        <v>Paco</v>
      </c>
      <c r="M271" s="143">
        <v>60</v>
      </c>
      <c r="N271" s="152">
        <v>633.85</v>
      </c>
      <c r="O271" s="20">
        <f t="shared" si="5"/>
        <v>38031</v>
      </c>
      <c r="P271" s="21">
        <f t="shared" si="9"/>
        <v>1317111</v>
      </c>
      <c r="R271" s="112">
        <v>80</v>
      </c>
      <c r="S271" s="112">
        <v>0</v>
      </c>
      <c r="T271" s="113">
        <f t="shared" si="10"/>
        <v>96</v>
      </c>
      <c r="U271" s="132"/>
    </row>
    <row r="272" spans="2:21" x14ac:dyDescent="0.25">
      <c r="B272" s="23">
        <v>45979</v>
      </c>
      <c r="C272" s="91">
        <v>3</v>
      </c>
      <c r="D272" s="18" t="str">
        <f>IFERROR(VLOOKUP(Trabajos!C272,Referencias!$E$7:$F$30,2,FALSE),"")</f>
        <v>Aplicación de cebos</v>
      </c>
      <c r="E272" s="91">
        <v>40</v>
      </c>
      <c r="F272" s="18" t="str">
        <f>IFERROR(VLOOKUP(Trabajos!$E272,Clientes,2,FALSE),"")</f>
        <v>Cía. de Tierras Sud Argentino S.A.</v>
      </c>
      <c r="G272" s="91" t="s">
        <v>296</v>
      </c>
      <c r="H272" s="119">
        <v>195</v>
      </c>
      <c r="I272" s="152">
        <v>7267.5</v>
      </c>
      <c r="J272" s="19">
        <f t="shared" si="4"/>
        <v>1417162.5</v>
      </c>
      <c r="K272" s="26">
        <v>1</v>
      </c>
      <c r="L272" s="19" t="str">
        <f>IFERROR(VLOOKUP(K272,Referencias!$H$7:$I$9,2,FALSE),"")</f>
        <v>Tomas</v>
      </c>
      <c r="M272" s="143">
        <v>50</v>
      </c>
      <c r="N272" s="152">
        <v>650</v>
      </c>
      <c r="O272" s="20">
        <f t="shared" si="5"/>
        <v>32500</v>
      </c>
      <c r="P272" s="21">
        <f t="shared" si="9"/>
        <v>1449662.5</v>
      </c>
      <c r="R272" s="112">
        <v>0</v>
      </c>
      <c r="S272" s="112">
        <v>80</v>
      </c>
      <c r="T272" s="113">
        <f t="shared" si="10"/>
        <v>115</v>
      </c>
      <c r="U272" s="132"/>
    </row>
    <row r="273" spans="2:21" x14ac:dyDescent="0.25">
      <c r="B273" s="23">
        <v>45979</v>
      </c>
      <c r="C273" s="91">
        <v>3</v>
      </c>
      <c r="D273" s="18" t="str">
        <f>IFERROR(VLOOKUP(Trabajos!C273,Referencias!$E$7:$F$30,2,FALSE),"")</f>
        <v>Aplicación de cebos</v>
      </c>
      <c r="E273" s="91">
        <v>21</v>
      </c>
      <c r="F273" s="18" t="str">
        <f>IFERROR(VLOOKUP(Trabajos!$E273,Clientes,2,FALSE),"")</f>
        <v>Piray Mini</v>
      </c>
      <c r="G273" s="91" t="s">
        <v>400</v>
      </c>
      <c r="H273" s="119">
        <v>91</v>
      </c>
      <c r="I273" s="152">
        <v>7257.5</v>
      </c>
      <c r="J273" s="19">
        <f t="shared" si="4"/>
        <v>660432.5</v>
      </c>
      <c r="K273" s="26">
        <v>3</v>
      </c>
      <c r="L273" s="19" t="str">
        <f>IFERROR(VLOOKUP(K273,Referencias!$H$7:$I$9,2,FALSE),"")</f>
        <v>Zoom</v>
      </c>
      <c r="M273" s="143">
        <v>72</v>
      </c>
      <c r="N273" s="152">
        <v>650</v>
      </c>
      <c r="O273" s="20">
        <f t="shared" si="5"/>
        <v>46800</v>
      </c>
      <c r="P273" s="21">
        <f t="shared" si="9"/>
        <v>707232.5</v>
      </c>
      <c r="R273" s="112">
        <v>0</v>
      </c>
      <c r="S273" s="112">
        <v>0</v>
      </c>
      <c r="T273" s="113">
        <f t="shared" si="10"/>
        <v>91</v>
      </c>
      <c r="U273" s="132"/>
    </row>
    <row r="274" spans="2:21" x14ac:dyDescent="0.25">
      <c r="B274" s="23">
        <v>45979</v>
      </c>
      <c r="C274" s="91">
        <v>3</v>
      </c>
      <c r="D274" s="18" t="str">
        <f>IFERROR(VLOOKUP(Trabajos!C274,Referencias!$E$7:$F$30,2,FALSE),"")</f>
        <v>Aplicación de cebos</v>
      </c>
      <c r="E274" s="91">
        <v>33</v>
      </c>
      <c r="F274" s="18" t="str">
        <f>IFERROR(VLOOKUP(Trabajos!$E274,Clientes,2,FALSE),"")</f>
        <v>Espartina S.A.</v>
      </c>
      <c r="G274" s="91" t="s">
        <v>268</v>
      </c>
      <c r="H274" s="142">
        <v>97</v>
      </c>
      <c r="I274" s="138">
        <v>7250</v>
      </c>
      <c r="J274" s="19">
        <f t="shared" si="4"/>
        <v>703250</v>
      </c>
      <c r="K274" s="26">
        <v>3</v>
      </c>
      <c r="L274" s="19" t="str">
        <f>IFERROR(VLOOKUP(K274,Referencias!$H$7:$I$9,2,FALSE),"")</f>
        <v>Zoom</v>
      </c>
      <c r="M274" s="143">
        <v>230</v>
      </c>
      <c r="N274" s="138">
        <v>633.85</v>
      </c>
      <c r="O274" s="20">
        <f t="shared" si="5"/>
        <v>145785.5</v>
      </c>
      <c r="P274" s="21">
        <f t="shared" si="9"/>
        <v>849035.5</v>
      </c>
      <c r="R274" s="112">
        <v>0</v>
      </c>
      <c r="S274" s="112">
        <v>0</v>
      </c>
      <c r="T274" s="113">
        <f t="shared" si="10"/>
        <v>97</v>
      </c>
      <c r="U274" s="132"/>
    </row>
    <row r="275" spans="2:21" x14ac:dyDescent="0.25">
      <c r="B275" s="23">
        <v>45980</v>
      </c>
      <c r="C275" s="91">
        <v>3</v>
      </c>
      <c r="D275" s="18" t="str">
        <f>IFERROR(VLOOKUP(Trabajos!C275,Referencias!$E$7:$F$30,2,FALSE),"")</f>
        <v>Aplicación de cebos</v>
      </c>
      <c r="E275" s="91">
        <v>40</v>
      </c>
      <c r="F275" s="18" t="str">
        <f>IFERROR(VLOOKUP(Trabajos!$E275,Clientes,2,FALSE),"")</f>
        <v>Cía. de Tierras Sud Argentino S.A.</v>
      </c>
      <c r="G275" s="91" t="s">
        <v>296</v>
      </c>
      <c r="H275" s="119">
        <v>146</v>
      </c>
      <c r="I275" s="152">
        <v>7267.5</v>
      </c>
      <c r="J275" s="19">
        <f t="shared" si="4"/>
        <v>1061055</v>
      </c>
      <c r="K275" s="26">
        <v>1</v>
      </c>
      <c r="L275" s="19" t="str">
        <f>IFERROR(VLOOKUP(K275,Referencias!$H$7:$I$9,2,FALSE),"")</f>
        <v>Tomas</v>
      </c>
      <c r="M275" s="143">
        <v>50</v>
      </c>
      <c r="N275" s="152">
        <v>650</v>
      </c>
      <c r="O275" s="20">
        <f t="shared" si="5"/>
        <v>32500</v>
      </c>
      <c r="P275" s="21">
        <f t="shared" si="9"/>
        <v>1093555</v>
      </c>
      <c r="R275" s="112">
        <v>0</v>
      </c>
      <c r="S275" s="112">
        <v>80</v>
      </c>
      <c r="T275" s="113">
        <f t="shared" si="10"/>
        <v>66</v>
      </c>
      <c r="U275" s="132"/>
    </row>
    <row r="276" spans="2:21" x14ac:dyDescent="0.25">
      <c r="B276" s="23">
        <v>45980</v>
      </c>
      <c r="C276" s="91">
        <v>3</v>
      </c>
      <c r="D276" s="18" t="str">
        <f>IFERROR(VLOOKUP(Trabajos!C276,Referencias!$E$7:$F$30,2,FALSE),"")</f>
        <v>Aplicación de cebos</v>
      </c>
      <c r="E276" s="91">
        <v>95</v>
      </c>
      <c r="F276" s="18" t="str">
        <f>IFERROR(VLOOKUP(Trabajos!$E276,Clientes,2,FALSE),"")</f>
        <v>Florimond Desprez</v>
      </c>
      <c r="G276" s="91" t="s">
        <v>425</v>
      </c>
      <c r="H276" s="119">
        <v>25</v>
      </c>
      <c r="I276" s="152">
        <v>7350</v>
      </c>
      <c r="J276" s="19">
        <f t="shared" si="4"/>
        <v>183750</v>
      </c>
      <c r="K276" s="26">
        <v>3</v>
      </c>
      <c r="L276" s="19" t="str">
        <f>IFERROR(VLOOKUP(K276,Referencias!$H$7:$I$9,2,FALSE),"")</f>
        <v>Zoom</v>
      </c>
      <c r="M276" s="143">
        <v>0</v>
      </c>
      <c r="N276" s="152">
        <v>650</v>
      </c>
      <c r="O276" s="20">
        <f t="shared" si="5"/>
        <v>0</v>
      </c>
      <c r="P276" s="21">
        <f t="shared" si="9"/>
        <v>183750</v>
      </c>
      <c r="R276" s="112">
        <v>0</v>
      </c>
      <c r="S276" s="112">
        <v>0</v>
      </c>
      <c r="T276" s="113">
        <f t="shared" si="10"/>
        <v>25</v>
      </c>
      <c r="U276" s="132"/>
    </row>
    <row r="277" spans="2:21" x14ac:dyDescent="0.25">
      <c r="B277" s="23">
        <v>45980</v>
      </c>
      <c r="C277" s="91">
        <v>3</v>
      </c>
      <c r="D277" s="18" t="str">
        <f>IFERROR(VLOOKUP(Trabajos!C277,Referencias!$E$7:$F$30,2,FALSE),"")</f>
        <v>Aplicación de cebos</v>
      </c>
      <c r="E277" s="91">
        <v>119</v>
      </c>
      <c r="F277" s="18" t="str">
        <f>IFERROR(VLOOKUP(Trabajos!$E277,Clientes,2,FALSE),"")</f>
        <v>Juan Rodriguez Rivas</v>
      </c>
      <c r="G277" s="91" t="s">
        <v>361</v>
      </c>
      <c r="H277" s="119">
        <v>170</v>
      </c>
      <c r="I277" s="152">
        <v>7032.5</v>
      </c>
      <c r="J277" s="19">
        <f t="shared" si="4"/>
        <v>1195525</v>
      </c>
      <c r="K277" s="26">
        <v>2</v>
      </c>
      <c r="L277" s="19" t="str">
        <f>IFERROR(VLOOKUP(K277,Referencias!$H$7:$I$9,2,FALSE),"")</f>
        <v>Paco</v>
      </c>
      <c r="M277" s="143">
        <v>246</v>
      </c>
      <c r="N277" s="152">
        <v>650</v>
      </c>
      <c r="O277" s="20">
        <f t="shared" si="5"/>
        <v>159900</v>
      </c>
      <c r="P277" s="21">
        <f t="shared" si="9"/>
        <v>1355425</v>
      </c>
      <c r="R277" s="112">
        <v>80</v>
      </c>
      <c r="S277" s="112">
        <v>0</v>
      </c>
      <c r="T277" s="113">
        <f t="shared" si="10"/>
        <v>90</v>
      </c>
      <c r="U277" s="132"/>
    </row>
    <row r="278" spans="2:21" x14ac:dyDescent="0.25">
      <c r="B278" s="23">
        <v>45980</v>
      </c>
      <c r="C278" s="91">
        <v>1</v>
      </c>
      <c r="D278" s="18" t="str">
        <f>IFERROR(VLOOKUP(Trabajos!C278,Referencias!$E$7:$F$30,2,FALSE),"")</f>
        <v>Muestreo de suelos</v>
      </c>
      <c r="E278" s="91">
        <v>101</v>
      </c>
      <c r="F278" s="18" t="str">
        <f>IFERROR(VLOOKUP(Trabajos!$E278,Clientes,2,FALSE),"")</f>
        <v>Agustin Galeano</v>
      </c>
      <c r="G278" s="91" t="s">
        <v>426</v>
      </c>
      <c r="H278" s="142">
        <v>65</v>
      </c>
      <c r="I278" s="152">
        <v>1176</v>
      </c>
      <c r="J278" s="19">
        <f t="shared" si="4"/>
        <v>76440</v>
      </c>
      <c r="K278" s="26">
        <v>3</v>
      </c>
      <c r="L278" s="19" t="str">
        <f>IFERROR(VLOOKUP(K278,Referencias!$H$7:$I$9,2,FALSE),"")</f>
        <v>Zoom</v>
      </c>
      <c r="M278" s="143">
        <v>104</v>
      </c>
      <c r="N278" s="152">
        <v>650</v>
      </c>
      <c r="O278" s="20">
        <f t="shared" si="5"/>
        <v>67600</v>
      </c>
      <c r="P278" s="21">
        <f t="shared" si="9"/>
        <v>144040</v>
      </c>
      <c r="R278" s="112">
        <v>0</v>
      </c>
      <c r="S278" s="112">
        <v>0</v>
      </c>
      <c r="T278" s="113">
        <f t="shared" si="10"/>
        <v>65</v>
      </c>
      <c r="U278" s="132"/>
    </row>
    <row r="279" spans="2:21" x14ac:dyDescent="0.25">
      <c r="B279" s="23">
        <v>45981</v>
      </c>
      <c r="C279" s="91">
        <v>2</v>
      </c>
      <c r="D279" s="18" t="str">
        <f>IFERROR(VLOOKUP(Trabajos!C279,Referencias!$E$7:$F$30,2,FALSE),"")</f>
        <v>Monitoreo de bb y bab</v>
      </c>
      <c r="E279" s="91">
        <v>33</v>
      </c>
      <c r="F279" s="18" t="str">
        <f>IFERROR(VLOOKUP(Trabajos!$E279,Clientes,2,FALSE),"")</f>
        <v>Espartina S.A.</v>
      </c>
      <c r="G279" s="91" t="s">
        <v>427</v>
      </c>
      <c r="H279" s="142">
        <v>300</v>
      </c>
      <c r="I279" s="138">
        <v>3262.5</v>
      </c>
      <c r="J279" s="19">
        <f t="shared" si="4"/>
        <v>978750</v>
      </c>
      <c r="K279" s="26">
        <v>3</v>
      </c>
      <c r="L279" s="19" t="str">
        <f>IFERROR(VLOOKUP(K279,Referencias!$H$7:$I$9,2,FALSE),"")</f>
        <v>Zoom</v>
      </c>
      <c r="M279" s="143">
        <v>244</v>
      </c>
      <c r="N279" s="138">
        <v>633.85</v>
      </c>
      <c r="O279" s="20">
        <f t="shared" si="5"/>
        <v>154659.4</v>
      </c>
      <c r="P279" s="21">
        <f t="shared" si="9"/>
        <v>1133409.3999999999</v>
      </c>
      <c r="R279" s="112">
        <v>0</v>
      </c>
      <c r="S279" s="112">
        <v>0</v>
      </c>
      <c r="T279" s="113">
        <f t="shared" si="10"/>
        <v>300</v>
      </c>
      <c r="U279" s="132"/>
    </row>
    <row r="280" spans="2:21" x14ac:dyDescent="0.25">
      <c r="B280" s="23">
        <v>45981</v>
      </c>
      <c r="C280" s="91">
        <v>3</v>
      </c>
      <c r="D280" s="18" t="str">
        <f>IFERROR(VLOOKUP(Trabajos!C280,Referencias!$E$7:$F$30,2,FALSE),"")</f>
        <v>Aplicación de cebos</v>
      </c>
      <c r="E280" s="91">
        <v>40</v>
      </c>
      <c r="F280" s="18" t="str">
        <f>IFERROR(VLOOKUP(Trabajos!$E280,Clientes,2,FALSE),"")</f>
        <v>Cía. de Tierras Sud Argentino S.A.</v>
      </c>
      <c r="G280" s="91" t="s">
        <v>296</v>
      </c>
      <c r="H280" s="119">
        <v>84</v>
      </c>
      <c r="I280" s="152">
        <v>7267.5</v>
      </c>
      <c r="J280" s="19">
        <f t="shared" si="4"/>
        <v>610470</v>
      </c>
      <c r="K280" s="26">
        <v>1</v>
      </c>
      <c r="L280" s="19" t="str">
        <f>IFERROR(VLOOKUP(K280,Referencias!$H$7:$I$9,2,FALSE),"")</f>
        <v>Tomas</v>
      </c>
      <c r="M280" s="143">
        <v>50</v>
      </c>
      <c r="N280" s="152">
        <v>650</v>
      </c>
      <c r="O280" s="20">
        <f t="shared" si="5"/>
        <v>32500</v>
      </c>
      <c r="P280" s="21">
        <f t="shared" si="9"/>
        <v>642970</v>
      </c>
      <c r="R280" s="112">
        <v>0</v>
      </c>
      <c r="S280" s="112">
        <v>80</v>
      </c>
      <c r="T280" s="113">
        <f t="shared" si="10"/>
        <v>4</v>
      </c>
      <c r="U280" s="132"/>
    </row>
    <row r="281" spans="2:21" x14ac:dyDescent="0.25">
      <c r="B281" s="23">
        <v>45981</v>
      </c>
      <c r="C281" s="91">
        <v>3</v>
      </c>
      <c r="D281" s="18" t="str">
        <f>IFERROR(VLOOKUP(Trabajos!C281,Referencias!$E$7:$F$30,2,FALSE),"")</f>
        <v>Aplicación de cebos</v>
      </c>
      <c r="E281" s="91">
        <v>37</v>
      </c>
      <c r="F281" s="18" t="str">
        <f>IFERROR(VLOOKUP(Trabajos!$E281,Clientes,2,FALSE),"")</f>
        <v>Sebastian Martos</v>
      </c>
      <c r="G281" s="91" t="s">
        <v>395</v>
      </c>
      <c r="H281" s="119">
        <v>26</v>
      </c>
      <c r="I281" s="152">
        <v>7257.5</v>
      </c>
      <c r="J281" s="19">
        <f t="shared" si="4"/>
        <v>188695</v>
      </c>
      <c r="K281" s="26">
        <v>1</v>
      </c>
      <c r="L281" s="19" t="str">
        <f>IFERROR(VLOOKUP(K281,Referencias!$H$7:$I$9,2,FALSE),"")</f>
        <v>Tomas</v>
      </c>
      <c r="M281" s="143">
        <v>24</v>
      </c>
      <c r="N281" s="152">
        <v>650</v>
      </c>
      <c r="O281" s="20">
        <f t="shared" si="5"/>
        <v>15600</v>
      </c>
      <c r="P281" s="21">
        <f t="shared" si="9"/>
        <v>204295</v>
      </c>
      <c r="R281" s="112">
        <v>0</v>
      </c>
      <c r="S281" s="112">
        <v>0</v>
      </c>
      <c r="T281" s="113">
        <f t="shared" si="10"/>
        <v>26</v>
      </c>
      <c r="U281" s="132"/>
    </row>
    <row r="282" spans="2:21" x14ac:dyDescent="0.25">
      <c r="B282" s="23">
        <v>45982</v>
      </c>
      <c r="C282" s="91">
        <v>3</v>
      </c>
      <c r="D282" s="18" t="str">
        <f>IFERROR(VLOOKUP(Trabajos!C282,Referencias!$E$7:$F$30,2,FALSE),"")</f>
        <v>Aplicación de cebos</v>
      </c>
      <c r="E282" s="91">
        <v>33</v>
      </c>
      <c r="F282" s="18" t="str">
        <f>IFERROR(VLOOKUP(Trabajos!$E282,Clientes,2,FALSE),"")</f>
        <v>Espartina S.A.</v>
      </c>
      <c r="G282" s="91" t="s">
        <v>360</v>
      </c>
      <c r="H282" s="142">
        <v>158</v>
      </c>
      <c r="I282" s="138">
        <v>7267.5</v>
      </c>
      <c r="J282" s="19">
        <f t="shared" si="4"/>
        <v>1148265</v>
      </c>
      <c r="K282" s="26">
        <v>3</v>
      </c>
      <c r="L282" s="19" t="str">
        <f>IFERROR(VLOOKUP(K282,Referencias!$H$7:$I$9,2,FALSE),"")</f>
        <v>Zoom</v>
      </c>
      <c r="M282" s="143">
        <v>50</v>
      </c>
      <c r="N282" s="152">
        <v>633.85</v>
      </c>
      <c r="O282" s="20">
        <f t="shared" si="5"/>
        <v>31692.5</v>
      </c>
      <c r="P282" s="21">
        <f t="shared" si="9"/>
        <v>1179957.5</v>
      </c>
      <c r="R282" s="112">
        <v>0</v>
      </c>
      <c r="S282" s="112">
        <v>0</v>
      </c>
      <c r="T282" s="113">
        <f t="shared" si="10"/>
        <v>158</v>
      </c>
      <c r="U282" s="132"/>
    </row>
    <row r="283" spans="2:21" x14ac:dyDescent="0.25">
      <c r="B283" s="23">
        <v>45982</v>
      </c>
      <c r="C283" s="91">
        <v>3</v>
      </c>
      <c r="D283" s="18" t="str">
        <f>IFERROR(VLOOKUP(Trabajos!C283,Referencias!$E$7:$F$30,2,FALSE),"")</f>
        <v>Aplicación de cebos</v>
      </c>
      <c r="E283" s="91">
        <v>33</v>
      </c>
      <c r="F283" s="18" t="str">
        <f>IFERROR(VLOOKUP(Trabajos!$E283,Clientes,2,FALSE),"")</f>
        <v>Espartina S.A.</v>
      </c>
      <c r="G283" s="91" t="s">
        <v>295</v>
      </c>
      <c r="H283" s="142">
        <v>43</v>
      </c>
      <c r="I283" s="138">
        <v>7267.5</v>
      </c>
      <c r="J283" s="19">
        <f t="shared" si="4"/>
        <v>312502.5</v>
      </c>
      <c r="K283" s="26">
        <v>3</v>
      </c>
      <c r="L283" s="19" t="str">
        <f>IFERROR(VLOOKUP(K283,Referencias!$H$7:$I$9,2,FALSE),"")</f>
        <v>Zoom</v>
      </c>
      <c r="M283" s="143">
        <v>156</v>
      </c>
      <c r="N283" s="152">
        <v>633.85</v>
      </c>
      <c r="O283" s="20">
        <f t="shared" si="5"/>
        <v>98880.6</v>
      </c>
      <c r="P283" s="21">
        <f t="shared" si="9"/>
        <v>411383.1</v>
      </c>
      <c r="R283" s="112">
        <v>0</v>
      </c>
      <c r="S283" s="112">
        <v>0</v>
      </c>
      <c r="T283" s="113">
        <f t="shared" si="10"/>
        <v>43</v>
      </c>
      <c r="U283" s="132"/>
    </row>
    <row r="284" spans="2:21" x14ac:dyDescent="0.25">
      <c r="B284" s="23">
        <v>45982</v>
      </c>
      <c r="C284" s="91">
        <v>3</v>
      </c>
      <c r="D284" s="18" t="str">
        <f>IFERROR(VLOOKUP(Trabajos!C284,Referencias!$E$7:$F$30,2,FALSE),"")</f>
        <v>Aplicación de cebos</v>
      </c>
      <c r="E284" s="91">
        <v>33</v>
      </c>
      <c r="F284" s="18" t="str">
        <f>IFERROR(VLOOKUP(Trabajos!$E284,Clientes,2,FALSE),"")</f>
        <v>Espartina S.A.</v>
      </c>
      <c r="G284" s="91" t="s">
        <v>383</v>
      </c>
      <c r="H284" s="142">
        <v>187</v>
      </c>
      <c r="I284" s="138">
        <v>7267.5</v>
      </c>
      <c r="J284" s="19">
        <f t="shared" si="4"/>
        <v>1359022.5</v>
      </c>
      <c r="K284" s="26">
        <v>2</v>
      </c>
      <c r="L284" s="19" t="str">
        <f>IFERROR(VLOOKUP(K284,Referencias!$H$7:$I$9,2,FALSE),"")</f>
        <v>Paco</v>
      </c>
      <c r="M284" s="143">
        <v>117</v>
      </c>
      <c r="N284" s="152">
        <v>633.85</v>
      </c>
      <c r="O284" s="20">
        <f t="shared" si="5"/>
        <v>74160.45</v>
      </c>
      <c r="P284" s="21">
        <f t="shared" si="9"/>
        <v>1433182.95</v>
      </c>
      <c r="R284" s="112">
        <v>80</v>
      </c>
      <c r="S284" s="112">
        <v>0</v>
      </c>
      <c r="T284" s="113">
        <f t="shared" si="10"/>
        <v>107</v>
      </c>
      <c r="U284" s="132"/>
    </row>
    <row r="285" spans="2:21" x14ac:dyDescent="0.25">
      <c r="B285" s="23">
        <v>45982</v>
      </c>
      <c r="C285" s="91">
        <v>3</v>
      </c>
      <c r="D285" s="18" t="str">
        <f>IFERROR(VLOOKUP(Trabajos!C285,Referencias!$E$7:$F$30,2,FALSE),"")</f>
        <v>Aplicación de cebos</v>
      </c>
      <c r="E285" s="91">
        <v>6</v>
      </c>
      <c r="F285" s="18" t="str">
        <f>IFERROR(VLOOKUP(Trabajos!$E285,Clientes,2,FALSE),"")</f>
        <v>La Nany S.A.</v>
      </c>
      <c r="G285" s="91" t="s">
        <v>322</v>
      </c>
      <c r="H285" s="119">
        <v>61</v>
      </c>
      <c r="I285" s="138">
        <v>7237.5</v>
      </c>
      <c r="J285" s="19">
        <f t="shared" si="4"/>
        <v>441487.5</v>
      </c>
      <c r="K285" s="26">
        <v>1</v>
      </c>
      <c r="L285" s="19" t="str">
        <f>IFERROR(VLOOKUP(K285,Referencias!$H$7:$I$9,2,FALSE),"")</f>
        <v>Tomas</v>
      </c>
      <c r="M285" s="143">
        <v>104</v>
      </c>
      <c r="N285" s="152">
        <v>650</v>
      </c>
      <c r="O285" s="20">
        <f t="shared" si="5"/>
        <v>67600</v>
      </c>
      <c r="P285" s="21">
        <f t="shared" si="9"/>
        <v>509087.5</v>
      </c>
      <c r="R285" s="112">
        <v>0</v>
      </c>
      <c r="S285" s="112">
        <v>60</v>
      </c>
      <c r="T285" s="113">
        <f t="shared" si="10"/>
        <v>1</v>
      </c>
      <c r="U285" s="132"/>
    </row>
    <row r="286" spans="2:21" x14ac:dyDescent="0.25">
      <c r="B286" s="23">
        <v>45982</v>
      </c>
      <c r="C286" s="91">
        <v>3</v>
      </c>
      <c r="D286" s="18" t="str">
        <f>IFERROR(VLOOKUP(Trabajos!C286,Referencias!$E$7:$F$30,2,FALSE),"")</f>
        <v>Aplicación de cebos</v>
      </c>
      <c r="E286" s="91">
        <v>6</v>
      </c>
      <c r="F286" s="18" t="str">
        <f>IFERROR(VLOOKUP(Trabajos!$E286,Clientes,2,FALSE),"")</f>
        <v>La Nany S.A.</v>
      </c>
      <c r="G286" s="91" t="s">
        <v>321</v>
      </c>
      <c r="H286" s="119">
        <v>50</v>
      </c>
      <c r="I286" s="138">
        <v>7237.5</v>
      </c>
      <c r="J286" s="19">
        <f t="shared" si="4"/>
        <v>361875</v>
      </c>
      <c r="K286" s="26">
        <v>1</v>
      </c>
      <c r="L286" s="19" t="str">
        <f>IFERROR(VLOOKUP(K286,Referencias!$H$7:$I$9,2,FALSE),"")</f>
        <v>Tomas</v>
      </c>
      <c r="M286" s="143">
        <v>0</v>
      </c>
      <c r="N286" s="152">
        <v>650</v>
      </c>
      <c r="O286" s="20">
        <f t="shared" si="5"/>
        <v>0</v>
      </c>
      <c r="P286" s="21">
        <f t="shared" si="9"/>
        <v>361875</v>
      </c>
      <c r="R286" s="112">
        <v>0</v>
      </c>
      <c r="S286" s="112">
        <v>20</v>
      </c>
      <c r="T286" s="113">
        <f t="shared" si="10"/>
        <v>30</v>
      </c>
      <c r="U286" s="132"/>
    </row>
    <row r="287" spans="2:21" x14ac:dyDescent="0.25">
      <c r="B287" s="23">
        <v>45982</v>
      </c>
      <c r="C287" s="91">
        <v>3</v>
      </c>
      <c r="D287" s="18" t="str">
        <f>IFERROR(VLOOKUP(Trabajos!C287,Referencias!$E$7:$F$30,2,FALSE),"")</f>
        <v>Aplicación de cebos</v>
      </c>
      <c r="E287" s="91">
        <v>37</v>
      </c>
      <c r="F287" s="18" t="str">
        <f>IFERROR(VLOOKUP(Trabajos!$E287,Clientes,2,FALSE),"")</f>
        <v>Sebastian Martos</v>
      </c>
      <c r="G287" s="91" t="s">
        <v>396</v>
      </c>
      <c r="H287" s="119">
        <v>115</v>
      </c>
      <c r="I287" s="152">
        <v>7257.5</v>
      </c>
      <c r="J287" s="19">
        <f t="shared" si="4"/>
        <v>834612.5</v>
      </c>
      <c r="K287" s="26">
        <v>3</v>
      </c>
      <c r="L287" s="19" t="str">
        <f>IFERROR(VLOOKUP(K287,Referencias!$H$7:$I$9,2,FALSE),"")</f>
        <v>Zoom</v>
      </c>
      <c r="M287" s="143">
        <v>64</v>
      </c>
      <c r="N287" s="152">
        <v>650</v>
      </c>
      <c r="O287" s="20">
        <f t="shared" si="5"/>
        <v>41600</v>
      </c>
      <c r="P287" s="21">
        <f t="shared" si="9"/>
        <v>876212.5</v>
      </c>
      <c r="R287" s="112">
        <v>0</v>
      </c>
      <c r="S287" s="112">
        <v>0</v>
      </c>
      <c r="T287" s="113">
        <f t="shared" si="10"/>
        <v>115</v>
      </c>
      <c r="U287" s="132"/>
    </row>
    <row r="288" spans="2:21" x14ac:dyDescent="0.25">
      <c r="B288" s="23">
        <v>45983</v>
      </c>
      <c r="C288" s="91">
        <v>3</v>
      </c>
      <c r="D288" s="18" t="str">
        <f>IFERROR(VLOOKUP(Trabajos!C288,Referencias!$E$7:$F$30,2,FALSE),"")</f>
        <v>Aplicación de cebos</v>
      </c>
      <c r="E288" s="91">
        <v>33</v>
      </c>
      <c r="F288" s="18" t="str">
        <f>IFERROR(VLOOKUP(Trabajos!$E288,Clientes,2,FALSE),"")</f>
        <v>Espartina S.A.</v>
      </c>
      <c r="G288" s="91" t="s">
        <v>379</v>
      </c>
      <c r="H288" s="142">
        <v>60</v>
      </c>
      <c r="I288" s="138">
        <v>7250</v>
      </c>
      <c r="J288" s="19">
        <f t="shared" si="4"/>
        <v>435000</v>
      </c>
      <c r="K288" s="26">
        <v>2</v>
      </c>
      <c r="L288" s="19" t="str">
        <f>IFERROR(VLOOKUP(K288,Referencias!$H$7:$I$9,2,FALSE),"")</f>
        <v>Paco</v>
      </c>
      <c r="M288" s="143">
        <v>328</v>
      </c>
      <c r="N288" s="138">
        <v>633.85</v>
      </c>
      <c r="O288" s="20">
        <f t="shared" si="5"/>
        <v>207902.80000000002</v>
      </c>
      <c r="P288" s="21">
        <f t="shared" si="9"/>
        <v>642902.80000000005</v>
      </c>
      <c r="R288" s="112">
        <v>60</v>
      </c>
      <c r="S288" s="112">
        <v>0</v>
      </c>
      <c r="T288" s="113">
        <f t="shared" si="10"/>
        <v>0</v>
      </c>
      <c r="U288" s="132"/>
    </row>
    <row r="289" spans="2:21" x14ac:dyDescent="0.25">
      <c r="B289" s="23">
        <v>45983</v>
      </c>
      <c r="C289" s="91">
        <v>3</v>
      </c>
      <c r="D289" s="18" t="str">
        <f>IFERROR(VLOOKUP(Trabajos!C289,Referencias!$E$7:$F$30,2,FALSE),"")</f>
        <v>Aplicación de cebos</v>
      </c>
      <c r="E289" s="91">
        <v>33</v>
      </c>
      <c r="F289" s="18" t="str">
        <f>IFERROR(VLOOKUP(Trabajos!$E289,Clientes,2,FALSE),"")</f>
        <v>Espartina S.A.</v>
      </c>
      <c r="G289" s="91" t="s">
        <v>325</v>
      </c>
      <c r="H289" s="142">
        <v>61</v>
      </c>
      <c r="I289" s="138">
        <v>7250</v>
      </c>
      <c r="J289" s="19">
        <f t="shared" si="4"/>
        <v>442250</v>
      </c>
      <c r="K289" s="26">
        <v>2</v>
      </c>
      <c r="L289" s="19" t="str">
        <f>IFERROR(VLOOKUP(K289,Referencias!$H$7:$I$9,2,FALSE),"")</f>
        <v>Paco</v>
      </c>
      <c r="M289" s="143">
        <v>164</v>
      </c>
      <c r="N289" s="138">
        <v>633.85</v>
      </c>
      <c r="O289" s="20">
        <f t="shared" si="5"/>
        <v>103951.40000000001</v>
      </c>
      <c r="P289" s="21">
        <f t="shared" si="9"/>
        <v>546201.4</v>
      </c>
      <c r="R289" s="112">
        <v>20</v>
      </c>
      <c r="S289" s="112">
        <v>0</v>
      </c>
      <c r="T289" s="113">
        <f t="shared" si="10"/>
        <v>41</v>
      </c>
      <c r="U289" s="132"/>
    </row>
    <row r="290" spans="2:21" x14ac:dyDescent="0.25">
      <c r="B290" s="23">
        <v>45983</v>
      </c>
      <c r="C290" s="91">
        <v>3</v>
      </c>
      <c r="D290" s="18" t="str">
        <f>IFERROR(VLOOKUP(Trabajos!C290,Referencias!$E$7:$F$30,2,FALSE),"")</f>
        <v>Aplicación de cebos</v>
      </c>
      <c r="E290" s="91">
        <v>14</v>
      </c>
      <c r="F290" s="18" t="str">
        <f>IFERROR(VLOOKUP(Trabajos!$E290,Clientes,2,FALSE),"")</f>
        <v>Nueva Huella S.R.L.</v>
      </c>
      <c r="G290" s="91" t="s">
        <v>431</v>
      </c>
      <c r="H290" s="119">
        <v>73</v>
      </c>
      <c r="I290" s="152">
        <v>7257.5</v>
      </c>
      <c r="J290" s="19">
        <f t="shared" si="4"/>
        <v>529797.5</v>
      </c>
      <c r="K290" s="26">
        <v>1</v>
      </c>
      <c r="L290" s="19" t="str">
        <f>IFERROR(VLOOKUP(K290,Referencias!$H$7:$I$9,2,FALSE),"")</f>
        <v>Tomas</v>
      </c>
      <c r="M290" s="143">
        <v>38</v>
      </c>
      <c r="N290" s="152">
        <v>650</v>
      </c>
      <c r="O290" s="20">
        <f t="shared" si="5"/>
        <v>24700</v>
      </c>
      <c r="P290" s="21">
        <f t="shared" si="9"/>
        <v>554497.5</v>
      </c>
      <c r="R290" s="112">
        <v>0</v>
      </c>
      <c r="S290" s="112">
        <v>73</v>
      </c>
      <c r="T290" s="113">
        <f t="shared" si="10"/>
        <v>0</v>
      </c>
      <c r="U290" s="132"/>
    </row>
    <row r="291" spans="2:21" x14ac:dyDescent="0.25">
      <c r="B291" s="23">
        <v>45983</v>
      </c>
      <c r="C291" s="91">
        <v>3</v>
      </c>
      <c r="D291" s="18" t="str">
        <f>IFERROR(VLOOKUP(Trabajos!C291,Referencias!$E$7:$F$30,2,FALSE),"")</f>
        <v>Aplicación de cebos</v>
      </c>
      <c r="E291" s="91">
        <v>84</v>
      </c>
      <c r="F291" s="18" t="str">
        <f>IFERROR(VLOOKUP(Trabajos!$E291,Clientes,2,FALSE),"")</f>
        <v>Domingo y Nestor Scioli</v>
      </c>
      <c r="G291" s="91" t="s">
        <v>316</v>
      </c>
      <c r="H291" s="119">
        <v>32</v>
      </c>
      <c r="I291" s="152">
        <v>7267.5</v>
      </c>
      <c r="J291" s="19">
        <f t="shared" si="4"/>
        <v>232560</v>
      </c>
      <c r="K291" s="26">
        <v>1</v>
      </c>
      <c r="L291" s="19" t="str">
        <f>IFERROR(VLOOKUP(K291,Referencias!$H$7:$I$9,2,FALSE),"")</f>
        <v>Tomas</v>
      </c>
      <c r="M291" s="143">
        <v>46</v>
      </c>
      <c r="N291" s="152">
        <v>650</v>
      </c>
      <c r="O291" s="20">
        <f t="shared" si="5"/>
        <v>29900</v>
      </c>
      <c r="P291" s="21">
        <f t="shared" si="9"/>
        <v>262460</v>
      </c>
      <c r="R291" s="112">
        <v>0</v>
      </c>
      <c r="S291" s="112">
        <v>7</v>
      </c>
      <c r="T291" s="113">
        <f t="shared" si="10"/>
        <v>25</v>
      </c>
      <c r="U291" s="132"/>
    </row>
    <row r="292" spans="2:21" x14ac:dyDescent="0.25">
      <c r="B292" s="23">
        <v>45984</v>
      </c>
      <c r="C292" s="91">
        <v>3</v>
      </c>
      <c r="D292" s="18" t="str">
        <f>IFERROR(VLOOKUP(Trabajos!C292,Referencias!$E$7:$F$30,2,FALSE),"")</f>
        <v>Aplicación de cebos</v>
      </c>
      <c r="E292" s="91">
        <v>128</v>
      </c>
      <c r="F292" s="18" t="str">
        <f>IFERROR(VLOOKUP(Trabajos!$E292,Clientes,2,FALSE),"")</f>
        <v>Gustavo Erice</v>
      </c>
      <c r="G292" s="91" t="s">
        <v>433</v>
      </c>
      <c r="H292" s="119">
        <v>123</v>
      </c>
      <c r="I292" s="152">
        <v>7267.5</v>
      </c>
      <c r="J292" s="19">
        <f t="shared" si="4"/>
        <v>893902.5</v>
      </c>
      <c r="K292" s="26">
        <v>1</v>
      </c>
      <c r="L292" s="19" t="str">
        <f>IFERROR(VLOOKUP(K292,Referencias!$H$7:$I$9,2,FALSE),"")</f>
        <v>Tomas</v>
      </c>
      <c r="M292" s="143">
        <v>104</v>
      </c>
      <c r="N292" s="152">
        <v>650</v>
      </c>
      <c r="O292" s="20">
        <f t="shared" si="5"/>
        <v>67600</v>
      </c>
      <c r="P292" s="21">
        <f t="shared" si="9"/>
        <v>961502.5</v>
      </c>
      <c r="R292" s="112">
        <v>0</v>
      </c>
      <c r="S292" s="112">
        <v>80</v>
      </c>
      <c r="T292" s="113">
        <f t="shared" si="10"/>
        <v>43</v>
      </c>
      <c r="U292" s="132"/>
    </row>
    <row r="293" spans="2:21" x14ac:dyDescent="0.25">
      <c r="B293" s="23">
        <v>45985</v>
      </c>
      <c r="C293" s="91">
        <v>2</v>
      </c>
      <c r="D293" s="18" t="str">
        <f>IFERROR(VLOOKUP(Trabajos!C293,Referencias!$E$7:$F$30,2,FALSE),"")</f>
        <v>Monitoreo de bb y bab</v>
      </c>
      <c r="E293" s="91">
        <v>33</v>
      </c>
      <c r="F293" s="18" t="str">
        <f>IFERROR(VLOOKUP(Trabajos!$E293,Clientes,2,FALSE),"")</f>
        <v>Espartina S.A.</v>
      </c>
      <c r="G293" s="91" t="s">
        <v>435</v>
      </c>
      <c r="H293" s="142">
        <v>155</v>
      </c>
      <c r="I293" s="138">
        <v>3262.5</v>
      </c>
      <c r="J293" s="19">
        <f t="shared" si="4"/>
        <v>505687.5</v>
      </c>
      <c r="K293" s="26">
        <v>3</v>
      </c>
      <c r="L293" s="19" t="str">
        <f>IFERROR(VLOOKUP(K293,Referencias!$H$7:$I$9,2,FALSE),"")</f>
        <v>Zoom</v>
      </c>
      <c r="M293" s="143">
        <v>208</v>
      </c>
      <c r="N293" s="138">
        <v>633.85</v>
      </c>
      <c r="O293" s="20">
        <f t="shared" si="5"/>
        <v>131840.80000000002</v>
      </c>
      <c r="P293" s="21">
        <f t="shared" si="9"/>
        <v>637528.30000000005</v>
      </c>
      <c r="R293" s="112">
        <v>0</v>
      </c>
      <c r="S293" s="112">
        <v>0</v>
      </c>
      <c r="T293" s="113">
        <f t="shared" si="10"/>
        <v>155</v>
      </c>
      <c r="U293" s="132"/>
    </row>
    <row r="294" spans="2:21" x14ac:dyDescent="0.25">
      <c r="B294" s="23">
        <v>45985</v>
      </c>
      <c r="C294" s="91">
        <v>3</v>
      </c>
      <c r="D294" s="18" t="str">
        <f>IFERROR(VLOOKUP(Trabajos!C294,Referencias!$E$7:$F$30,2,FALSE),"")</f>
        <v>Aplicación de cebos</v>
      </c>
      <c r="E294" s="91">
        <v>21</v>
      </c>
      <c r="F294" s="18" t="str">
        <f>IFERROR(VLOOKUP(Trabajos!$E294,Clientes,2,FALSE),"")</f>
        <v>Piray Mini</v>
      </c>
      <c r="G294" s="91" t="s">
        <v>400</v>
      </c>
      <c r="H294" s="119">
        <v>53</v>
      </c>
      <c r="I294" s="152">
        <v>7257.5</v>
      </c>
      <c r="J294" s="19">
        <f t="shared" si="4"/>
        <v>384647.5</v>
      </c>
      <c r="K294" s="26">
        <v>1</v>
      </c>
      <c r="L294" s="19" t="str">
        <f>IFERROR(VLOOKUP(K294,Referencias!$H$7:$I$9,2,FALSE),"")</f>
        <v>Tomas</v>
      </c>
      <c r="M294" s="143">
        <v>72</v>
      </c>
      <c r="N294" s="152">
        <v>650</v>
      </c>
      <c r="O294" s="20">
        <f t="shared" si="5"/>
        <v>46800</v>
      </c>
      <c r="P294" s="21">
        <f t="shared" si="9"/>
        <v>431447.5</v>
      </c>
      <c r="R294" s="112">
        <v>0</v>
      </c>
      <c r="S294" s="112">
        <v>53</v>
      </c>
      <c r="T294" s="113">
        <f t="shared" si="10"/>
        <v>0</v>
      </c>
      <c r="U294" s="132"/>
    </row>
    <row r="295" spans="2:21" x14ac:dyDescent="0.25">
      <c r="B295" s="23">
        <v>45986</v>
      </c>
      <c r="C295" s="91">
        <v>3</v>
      </c>
      <c r="D295" s="18" t="str">
        <f>IFERROR(VLOOKUP(Trabajos!C295,Referencias!$E$7:$F$30,2,FALSE),"")</f>
        <v>Aplicación de cebos</v>
      </c>
      <c r="E295" s="91">
        <v>33</v>
      </c>
      <c r="F295" s="18" t="str">
        <f>IFERROR(VLOOKUP(Trabajos!$E295,Clientes,2,FALSE),"")</f>
        <v>Espartina S.A.</v>
      </c>
      <c r="G295" s="91" t="s">
        <v>379</v>
      </c>
      <c r="H295" s="142">
        <v>102</v>
      </c>
      <c r="I295" s="138">
        <v>7250</v>
      </c>
      <c r="J295" s="19">
        <f t="shared" si="4"/>
        <v>739500</v>
      </c>
      <c r="K295" s="26">
        <v>2</v>
      </c>
      <c r="L295" s="19" t="str">
        <f>IFERROR(VLOOKUP(K295,Referencias!$H$7:$I$9,2,FALSE),"")</f>
        <v>Paco</v>
      </c>
      <c r="M295" s="143">
        <v>328</v>
      </c>
      <c r="N295" s="138">
        <v>633.85</v>
      </c>
      <c r="O295" s="20">
        <f t="shared" si="5"/>
        <v>207902.80000000002</v>
      </c>
      <c r="P295" s="21">
        <f t="shared" si="9"/>
        <v>947402.8</v>
      </c>
      <c r="R295" s="112">
        <v>80</v>
      </c>
      <c r="S295" s="112">
        <v>0</v>
      </c>
      <c r="T295" s="113">
        <f t="shared" si="10"/>
        <v>22</v>
      </c>
      <c r="U295" s="132"/>
    </row>
    <row r="296" spans="2:21" x14ac:dyDescent="0.25">
      <c r="B296" s="23">
        <v>45986</v>
      </c>
      <c r="C296" s="91">
        <v>3</v>
      </c>
      <c r="D296" s="18" t="str">
        <f>IFERROR(VLOOKUP(Trabajos!C296,Referencias!$E$7:$F$30,2,FALSE),"")</f>
        <v>Aplicación de cebos</v>
      </c>
      <c r="E296" s="91">
        <v>33</v>
      </c>
      <c r="F296" s="18" t="str">
        <f>IFERROR(VLOOKUP(Trabajos!$E296,Clientes,2,FALSE),"")</f>
        <v>Espartina S.A.</v>
      </c>
      <c r="G296" s="91" t="s">
        <v>391</v>
      </c>
      <c r="H296" s="119">
        <v>193</v>
      </c>
      <c r="I296" s="152">
        <v>7267.5</v>
      </c>
      <c r="J296" s="19">
        <f t="shared" si="4"/>
        <v>1402627.5</v>
      </c>
      <c r="K296" s="26">
        <v>1</v>
      </c>
      <c r="L296" s="19" t="str">
        <f>IFERROR(VLOOKUP(K296,Referencias!$H$7:$I$9,2,FALSE),"")</f>
        <v>Tomas</v>
      </c>
      <c r="M296" s="143">
        <v>190</v>
      </c>
      <c r="N296" s="29">
        <v>633.85</v>
      </c>
      <c r="O296" s="20">
        <f t="shared" si="5"/>
        <v>120431.5</v>
      </c>
      <c r="P296" s="21">
        <f t="shared" si="9"/>
        <v>1523059</v>
      </c>
      <c r="R296" s="112">
        <v>0</v>
      </c>
      <c r="S296" s="112">
        <v>80</v>
      </c>
      <c r="T296" s="113">
        <f t="shared" si="10"/>
        <v>113</v>
      </c>
      <c r="U296" s="132"/>
    </row>
    <row r="297" spans="2:21" x14ac:dyDescent="0.25">
      <c r="B297" s="23">
        <v>45987</v>
      </c>
      <c r="C297" s="91">
        <v>3</v>
      </c>
      <c r="D297" s="18" t="str">
        <f>IFERROR(VLOOKUP(Trabajos!C297,Referencias!$E$7:$F$30,2,FALSE),"")</f>
        <v>Aplicación de cebos</v>
      </c>
      <c r="E297" s="91">
        <v>33</v>
      </c>
      <c r="F297" s="18" t="str">
        <f>IFERROR(VLOOKUP(Trabajos!$E297,Clientes,2,FALSE),"")</f>
        <v>Espartina S.A.</v>
      </c>
      <c r="G297" s="91" t="s">
        <v>440</v>
      </c>
      <c r="H297" s="142">
        <v>95</v>
      </c>
      <c r="I297" s="138">
        <v>7250</v>
      </c>
      <c r="J297" s="19">
        <f t="shared" si="4"/>
        <v>688750</v>
      </c>
      <c r="K297" s="26">
        <v>1</v>
      </c>
      <c r="L297" s="19" t="str">
        <f>IFERROR(VLOOKUP(K297,Referencias!$H$7:$I$9,2,FALSE),"")</f>
        <v>Tomas</v>
      </c>
      <c r="M297" s="143">
        <v>244</v>
      </c>
      <c r="N297" s="138">
        <v>633.85</v>
      </c>
      <c r="O297" s="20">
        <f t="shared" si="5"/>
        <v>154659.4</v>
      </c>
      <c r="P297" s="21">
        <f t="shared" si="9"/>
        <v>843409.4</v>
      </c>
      <c r="R297" s="112">
        <v>0</v>
      </c>
      <c r="S297" s="112">
        <v>80</v>
      </c>
      <c r="T297" s="113">
        <f t="shared" si="10"/>
        <v>15</v>
      </c>
      <c r="U297" s="132"/>
    </row>
    <row r="298" spans="2:21" x14ac:dyDescent="0.25">
      <c r="B298" s="23">
        <v>45987</v>
      </c>
      <c r="C298" s="91">
        <v>2</v>
      </c>
      <c r="D298" s="18" t="str">
        <f>IFERROR(VLOOKUP(Trabajos!C298,Referencias!$E$7:$F$30,2,FALSE),"")</f>
        <v>Monitoreo de bb y bab</v>
      </c>
      <c r="E298" s="91">
        <v>6</v>
      </c>
      <c r="F298" s="18" t="str">
        <f>IFERROR(VLOOKUP(Trabajos!$E298,Clientes,2,FALSE),"")</f>
        <v>La Nany S.A.</v>
      </c>
      <c r="G298" s="91" t="s">
        <v>439</v>
      </c>
      <c r="H298" s="119">
        <v>55</v>
      </c>
      <c r="I298" s="152">
        <v>3618.75</v>
      </c>
      <c r="J298" s="19">
        <f t="shared" si="4"/>
        <v>199031.25</v>
      </c>
      <c r="K298" s="26">
        <v>3</v>
      </c>
      <c r="L298" s="19" t="str">
        <f>IFERROR(VLOOKUP(K298,Referencias!$H$7:$I$9,2,FALSE),"")</f>
        <v>Zoom</v>
      </c>
      <c r="M298" s="143">
        <v>20</v>
      </c>
      <c r="N298" s="29">
        <v>650</v>
      </c>
      <c r="O298" s="20">
        <f t="shared" si="5"/>
        <v>13000</v>
      </c>
      <c r="P298" s="21">
        <f t="shared" si="9"/>
        <v>212031.25</v>
      </c>
      <c r="R298" s="112">
        <v>0</v>
      </c>
      <c r="S298" s="112">
        <v>0</v>
      </c>
      <c r="T298" s="113">
        <f t="shared" si="10"/>
        <v>55</v>
      </c>
      <c r="U298" s="132"/>
    </row>
    <row r="299" spans="2:21" x14ac:dyDescent="0.25">
      <c r="B299" s="23">
        <v>45988</v>
      </c>
      <c r="C299" s="91">
        <v>3</v>
      </c>
      <c r="D299" s="18" t="str">
        <f>IFERROR(VLOOKUP(Trabajos!C299,Referencias!$E$7:$F$30,2,FALSE),"")</f>
        <v>Aplicación de cebos</v>
      </c>
      <c r="E299" s="91">
        <v>18</v>
      </c>
      <c r="F299" s="18" t="str">
        <f>IFERROR(VLOOKUP(Trabajos!$E299,Clientes,2,FALSE),"")</f>
        <v>Cosechas del Sur S.R.L.</v>
      </c>
      <c r="G299" s="91" t="s">
        <v>443</v>
      </c>
      <c r="H299" s="119">
        <v>36</v>
      </c>
      <c r="I299" s="152">
        <v>7250</v>
      </c>
      <c r="J299" s="19">
        <f t="shared" si="4"/>
        <v>261000</v>
      </c>
      <c r="K299" s="26">
        <v>1</v>
      </c>
      <c r="L299" s="19" t="str">
        <f>IFERROR(VLOOKUP(K299,Referencias!$H$7:$I$9,2,FALSE),"")</f>
        <v>Tomas</v>
      </c>
      <c r="M299" s="143">
        <v>120</v>
      </c>
      <c r="N299" s="152">
        <v>650</v>
      </c>
      <c r="O299" s="20">
        <f t="shared" si="5"/>
        <v>78000</v>
      </c>
      <c r="P299" s="21">
        <f t="shared" si="9"/>
        <v>339000</v>
      </c>
      <c r="R299" s="112">
        <v>0</v>
      </c>
      <c r="S299" s="112">
        <v>17</v>
      </c>
      <c r="T299" s="113">
        <f t="shared" si="10"/>
        <v>19</v>
      </c>
      <c r="U299" s="132"/>
    </row>
    <row r="300" spans="2:21" x14ac:dyDescent="0.25">
      <c r="B300" s="23">
        <v>45990</v>
      </c>
      <c r="C300" s="91">
        <v>2</v>
      </c>
      <c r="D300" s="18" t="str">
        <f>IFERROR(VLOOKUP(Trabajos!C300,Referencias!$E$7:$F$30,2,FALSE),"")</f>
        <v>Monitoreo de bb y bab</v>
      </c>
      <c r="E300" s="91">
        <v>33</v>
      </c>
      <c r="F300" s="18" t="str">
        <f>IFERROR(VLOOKUP(Trabajos!$E300,Clientes,2,FALSE),"")</f>
        <v>Espartina S.A.</v>
      </c>
      <c r="G300" s="91" t="s">
        <v>383</v>
      </c>
      <c r="H300" s="142">
        <v>141</v>
      </c>
      <c r="I300" s="152">
        <v>3318.75</v>
      </c>
      <c r="J300" s="19">
        <f t="shared" si="4"/>
        <v>467943.75</v>
      </c>
      <c r="K300" s="26">
        <v>3</v>
      </c>
      <c r="L300" s="19" t="str">
        <f>IFERROR(VLOOKUP(K300,Referencias!$H$7:$I$9,2,FALSE),"")</f>
        <v>Zoom</v>
      </c>
      <c r="M300" s="143">
        <v>117</v>
      </c>
      <c r="N300" s="152">
        <v>668.15</v>
      </c>
      <c r="O300" s="20">
        <f t="shared" si="5"/>
        <v>78173.55</v>
      </c>
      <c r="P300" s="21">
        <f t="shared" si="9"/>
        <v>546117.30000000005</v>
      </c>
      <c r="R300" s="112">
        <v>0</v>
      </c>
      <c r="S300" s="112">
        <v>0</v>
      </c>
      <c r="T300" s="113">
        <f t="shared" si="10"/>
        <v>141</v>
      </c>
      <c r="U300" s="132"/>
    </row>
    <row r="301" spans="2:21" x14ac:dyDescent="0.25">
      <c r="B301" s="23">
        <v>45994</v>
      </c>
      <c r="C301" s="91">
        <v>2</v>
      </c>
      <c r="D301" s="18" t="str">
        <f>IFERROR(VLOOKUP(Trabajos!C301,Referencias!$E$7:$F$30,2,FALSE),"")</f>
        <v>Monitoreo de bb y bab</v>
      </c>
      <c r="E301" s="91">
        <v>33</v>
      </c>
      <c r="F301" s="18" t="str">
        <f>IFERROR(VLOOKUP(Trabajos!$E301,Clientes,2,FALSE),"")</f>
        <v>Espartina S.A.</v>
      </c>
      <c r="G301" s="91" t="s">
        <v>435</v>
      </c>
      <c r="H301" s="142">
        <v>20</v>
      </c>
      <c r="I301" s="152">
        <v>3318.75</v>
      </c>
      <c r="J301" s="19">
        <f t="shared" si="4"/>
        <v>66375</v>
      </c>
      <c r="K301" s="26">
        <v>3</v>
      </c>
      <c r="L301" s="19" t="str">
        <f>IFERROR(VLOOKUP(K301,Referencias!$H$7:$I$9,2,FALSE),"")</f>
        <v>Zoom</v>
      </c>
      <c r="M301" s="143">
        <v>0</v>
      </c>
      <c r="N301" s="152">
        <v>668.15</v>
      </c>
      <c r="O301" s="20">
        <f t="shared" si="5"/>
        <v>0</v>
      </c>
      <c r="P301" s="21">
        <f t="shared" si="9"/>
        <v>66375</v>
      </c>
      <c r="R301" s="112">
        <v>0</v>
      </c>
      <c r="S301" s="112">
        <v>0</v>
      </c>
      <c r="T301" s="113">
        <f t="shared" si="10"/>
        <v>20</v>
      </c>
      <c r="U301" s="132"/>
    </row>
    <row r="302" spans="2:21" x14ac:dyDescent="0.25">
      <c r="B302" s="23">
        <v>45994</v>
      </c>
      <c r="C302" s="91">
        <v>2</v>
      </c>
      <c r="D302" s="18" t="str">
        <f>IFERROR(VLOOKUP(Trabajos!C302,Referencias!$E$7:$F$30,2,FALSE),"")</f>
        <v>Monitoreo de bb y bab</v>
      </c>
      <c r="E302" s="91">
        <v>33</v>
      </c>
      <c r="F302" s="18" t="str">
        <f>IFERROR(VLOOKUP(Trabajos!$E302,Clientes,2,FALSE),"")</f>
        <v>Espartina S.A.</v>
      </c>
      <c r="G302" s="91" t="s">
        <v>387</v>
      </c>
      <c r="H302" s="142">
        <v>111</v>
      </c>
      <c r="I302" s="152">
        <v>3318.75</v>
      </c>
      <c r="J302" s="19">
        <f t="shared" si="4"/>
        <v>368381.25</v>
      </c>
      <c r="K302" s="26">
        <v>3</v>
      </c>
      <c r="L302" s="19" t="str">
        <f>IFERROR(VLOOKUP(K302,Referencias!$H$7:$I$9,2,FALSE),"")</f>
        <v>Zoom</v>
      </c>
      <c r="M302" s="143">
        <v>186</v>
      </c>
      <c r="N302" s="152">
        <v>668.15</v>
      </c>
      <c r="O302" s="20">
        <f t="shared" si="5"/>
        <v>124275.9</v>
      </c>
      <c r="P302" s="21">
        <f t="shared" si="9"/>
        <v>492657.15</v>
      </c>
      <c r="R302" s="112">
        <v>0</v>
      </c>
      <c r="S302" s="112">
        <v>0</v>
      </c>
      <c r="T302" s="113">
        <f t="shared" si="10"/>
        <v>111</v>
      </c>
      <c r="U302" s="132"/>
    </row>
    <row r="303" spans="2:21" x14ac:dyDescent="0.25">
      <c r="B303" s="23">
        <v>45994</v>
      </c>
      <c r="C303" s="91">
        <v>3</v>
      </c>
      <c r="D303" s="18" t="str">
        <f>IFERROR(VLOOKUP(Trabajos!C303,Referencias!$E$7:$F$30,2,FALSE),"")</f>
        <v>Aplicación de cebos</v>
      </c>
      <c r="E303" s="91">
        <v>98</v>
      </c>
      <c r="F303" s="18" t="str">
        <f>IFERROR(VLOOKUP(Trabajos!$E303,Clientes,2,FALSE),"")</f>
        <v>Inalco</v>
      </c>
      <c r="G303" s="91" t="s">
        <v>408</v>
      </c>
      <c r="H303" s="119">
        <v>71</v>
      </c>
      <c r="I303" s="152">
        <v>7220</v>
      </c>
      <c r="J303" s="19">
        <f t="shared" si="4"/>
        <v>512620</v>
      </c>
      <c r="K303" s="26">
        <v>1</v>
      </c>
      <c r="L303" s="19" t="str">
        <f>IFERROR(VLOOKUP(K303,Referencias!$H$7:$I$9,2,FALSE),"")</f>
        <v>Tomas</v>
      </c>
      <c r="M303" s="143">
        <v>208</v>
      </c>
      <c r="N303" s="152">
        <v>650</v>
      </c>
      <c r="O303" s="20">
        <f t="shared" si="5"/>
        <v>135200</v>
      </c>
      <c r="P303" s="21">
        <f t="shared" si="9"/>
        <v>647820</v>
      </c>
      <c r="R303" s="112">
        <v>0</v>
      </c>
      <c r="S303" s="112">
        <v>80</v>
      </c>
      <c r="T303" s="113">
        <f t="shared" si="10"/>
        <v>-9</v>
      </c>
      <c r="U303" s="132"/>
    </row>
    <row r="304" spans="2:21" x14ac:dyDescent="0.25">
      <c r="B304" s="23">
        <v>45995</v>
      </c>
      <c r="C304" s="91">
        <v>3</v>
      </c>
      <c r="D304" s="18" t="str">
        <f>IFERROR(VLOOKUP(Trabajos!C304,Referencias!$E$7:$F$30,2,FALSE),"")</f>
        <v>Aplicación de cebos</v>
      </c>
      <c r="E304" s="91">
        <v>33</v>
      </c>
      <c r="F304" s="18" t="str">
        <f>IFERROR(VLOOKUP(Trabajos!$E304,Clientes,2,FALSE),"")</f>
        <v>Espartina S.A.</v>
      </c>
      <c r="G304" s="91" t="s">
        <v>435</v>
      </c>
      <c r="H304" s="142">
        <v>107</v>
      </c>
      <c r="I304" s="152">
        <v>7250</v>
      </c>
      <c r="J304" s="19">
        <f t="shared" si="4"/>
        <v>775750</v>
      </c>
      <c r="K304" s="26">
        <v>1</v>
      </c>
      <c r="L304" s="19" t="str">
        <f>IFERROR(VLOOKUP(K304,Referencias!$H$7:$I$9,2,FALSE),"")</f>
        <v>Tomas</v>
      </c>
      <c r="M304" s="143">
        <v>0</v>
      </c>
      <c r="N304" s="152">
        <v>668.15</v>
      </c>
      <c r="O304" s="20">
        <f t="shared" si="5"/>
        <v>0</v>
      </c>
      <c r="P304" s="21">
        <f t="shared" si="9"/>
        <v>775750</v>
      </c>
      <c r="R304" s="112">
        <v>0</v>
      </c>
      <c r="S304" s="112">
        <v>80</v>
      </c>
      <c r="T304" s="113">
        <f t="shared" si="10"/>
        <v>27</v>
      </c>
      <c r="U304" s="132"/>
    </row>
    <row r="305" spans="2:21" x14ac:dyDescent="0.25">
      <c r="B305" s="23">
        <v>45995</v>
      </c>
      <c r="C305" s="91">
        <v>3</v>
      </c>
      <c r="D305" s="18" t="str">
        <f>IFERROR(VLOOKUP(Trabajos!C305,Referencias!$E$7:$F$30,2,FALSE),"")</f>
        <v>Aplicación de cebos</v>
      </c>
      <c r="E305" s="91">
        <v>33</v>
      </c>
      <c r="F305" s="18" t="str">
        <f>IFERROR(VLOOKUP(Trabajos!$E305,Clientes,2,FALSE),"")</f>
        <v>Espartina S.A.</v>
      </c>
      <c r="G305" s="91" t="s">
        <v>387</v>
      </c>
      <c r="H305" s="142">
        <v>92</v>
      </c>
      <c r="I305" s="152">
        <v>7250</v>
      </c>
      <c r="J305" s="19">
        <f t="shared" si="4"/>
        <v>667000</v>
      </c>
      <c r="K305" s="26">
        <v>1</v>
      </c>
      <c r="L305" s="19" t="str">
        <f>IFERROR(VLOOKUP(K305,Referencias!$H$7:$I$9,2,FALSE),"")</f>
        <v>Tomas</v>
      </c>
      <c r="M305" s="143">
        <v>186</v>
      </c>
      <c r="N305" s="152">
        <v>668.15</v>
      </c>
      <c r="O305" s="20">
        <f t="shared" si="5"/>
        <v>124275.9</v>
      </c>
      <c r="P305" s="21">
        <f t="shared" si="9"/>
        <v>791275.9</v>
      </c>
      <c r="R305" s="112">
        <v>0</v>
      </c>
      <c r="S305" s="112">
        <v>0</v>
      </c>
      <c r="T305" s="113">
        <f t="shared" si="10"/>
        <v>92</v>
      </c>
      <c r="U305" s="132"/>
    </row>
    <row r="306" spans="2:21" x14ac:dyDescent="0.25">
      <c r="B306" s="23">
        <v>46002</v>
      </c>
      <c r="C306" s="91">
        <v>3</v>
      </c>
      <c r="D306" s="18" t="str">
        <f>IFERROR(VLOOKUP(Trabajos!C306,Referencias!$E$7:$F$30,2,FALSE),"")</f>
        <v>Aplicación de cebos</v>
      </c>
      <c r="E306" s="91">
        <v>5</v>
      </c>
      <c r="F306" s="18" t="str">
        <f>IFERROR(VLOOKUP(Trabajos!$E306,Clientes,2,FALSE),"")</f>
        <v>Cofina Agro</v>
      </c>
      <c r="G306" s="91" t="s">
        <v>375</v>
      </c>
      <c r="H306" s="142">
        <v>30</v>
      </c>
      <c r="I306" s="152">
        <v>7262.5</v>
      </c>
      <c r="J306" s="19">
        <f t="shared" si="4"/>
        <v>217875</v>
      </c>
      <c r="K306" s="26">
        <v>3</v>
      </c>
      <c r="L306" s="19" t="str">
        <f>IFERROR(VLOOKUP(K306,Referencias!$H$7:$I$9,2,FALSE),"")</f>
        <v>Zoom</v>
      </c>
      <c r="M306" s="143">
        <v>110</v>
      </c>
      <c r="N306" s="138">
        <v>650</v>
      </c>
      <c r="O306" s="20">
        <f t="shared" si="5"/>
        <v>71500</v>
      </c>
      <c r="P306" s="21">
        <f t="shared" si="9"/>
        <v>289375</v>
      </c>
      <c r="R306" s="112">
        <v>0</v>
      </c>
      <c r="S306" s="112">
        <v>0</v>
      </c>
      <c r="T306" s="113">
        <f t="shared" si="10"/>
        <v>30</v>
      </c>
      <c r="U306" s="132"/>
    </row>
    <row r="307" spans="2:21" x14ac:dyDescent="0.25">
      <c r="B307" s="23">
        <v>46003</v>
      </c>
      <c r="C307" s="91">
        <v>3</v>
      </c>
      <c r="D307" s="18" t="str">
        <f>IFERROR(VLOOKUP(Trabajos!C307,Referencias!$E$7:$F$30,2,FALSE),"")</f>
        <v>Aplicación de cebos</v>
      </c>
      <c r="E307" s="91">
        <v>33</v>
      </c>
      <c r="F307" s="18" t="str">
        <f>IFERROR(VLOOKUP(Trabajos!$E307,Clientes,2,FALSE),"")</f>
        <v>Espartina S.A.</v>
      </c>
      <c r="G307" s="91" t="s">
        <v>379</v>
      </c>
      <c r="H307" s="142">
        <v>107</v>
      </c>
      <c r="I307" s="152">
        <v>7250</v>
      </c>
      <c r="J307" s="19">
        <f t="shared" si="4"/>
        <v>775750</v>
      </c>
      <c r="K307" s="26">
        <v>1</v>
      </c>
      <c r="L307" s="19" t="str">
        <f>IFERROR(VLOOKUP(K307,Referencias!$H$7:$I$9,2,FALSE),"")</f>
        <v>Tomas</v>
      </c>
      <c r="M307" s="143">
        <v>328</v>
      </c>
      <c r="N307" s="152">
        <v>668.15</v>
      </c>
      <c r="O307" s="20">
        <f t="shared" si="5"/>
        <v>219153.19999999998</v>
      </c>
      <c r="P307" s="21">
        <f t="shared" si="9"/>
        <v>994903.2</v>
      </c>
      <c r="R307" s="112">
        <v>0</v>
      </c>
      <c r="S307" s="112">
        <v>92</v>
      </c>
      <c r="T307" s="113">
        <f t="shared" si="10"/>
        <v>15</v>
      </c>
      <c r="U307" s="132"/>
    </row>
    <row r="308" spans="2:21" x14ac:dyDescent="0.25">
      <c r="B308" s="23">
        <v>46004</v>
      </c>
      <c r="C308" s="91">
        <v>3</v>
      </c>
      <c r="D308" s="18" t="str">
        <f>IFERROR(VLOOKUP(Trabajos!C308,Referencias!$E$7:$F$30,2,FALSE),"")</f>
        <v>Aplicación de cebos</v>
      </c>
      <c r="E308" s="91">
        <v>11</v>
      </c>
      <c r="F308" s="18" t="str">
        <f>IFERROR(VLOOKUP(Trabajos!$E308,Clientes,2,FALSE),"")</f>
        <v>Carlos Fernando Fuertes</v>
      </c>
      <c r="G308" s="91" t="s">
        <v>230</v>
      </c>
      <c r="H308" s="142">
        <v>72</v>
      </c>
      <c r="I308" s="152">
        <v>7320</v>
      </c>
      <c r="J308" s="19">
        <f t="shared" si="4"/>
        <v>527040</v>
      </c>
      <c r="K308" s="26">
        <v>1</v>
      </c>
      <c r="L308" s="19" t="str">
        <f>IFERROR(VLOOKUP(K308,Referencias!$H$7:$I$9,2,FALSE),"")</f>
        <v>Tomas</v>
      </c>
      <c r="M308" s="143">
        <v>0</v>
      </c>
      <c r="N308" s="152">
        <v>650</v>
      </c>
      <c r="O308" s="20">
        <f t="shared" si="5"/>
        <v>0</v>
      </c>
      <c r="P308" s="21">
        <f t="shared" si="9"/>
        <v>527040</v>
      </c>
      <c r="R308" s="112">
        <v>0</v>
      </c>
      <c r="S308" s="112">
        <v>72</v>
      </c>
      <c r="T308" s="113">
        <f t="shared" si="10"/>
        <v>0</v>
      </c>
      <c r="U308" s="132"/>
    </row>
    <row r="309" spans="2:21" x14ac:dyDescent="0.25">
      <c r="B309" s="23">
        <v>46008</v>
      </c>
      <c r="C309" s="91">
        <v>1</v>
      </c>
      <c r="D309" s="18" t="str">
        <f>IFERROR(VLOOKUP(Trabajos!C309,Referencias!$E$7:$F$30,2,FALSE),"")</f>
        <v>Muestreo de suelos</v>
      </c>
      <c r="E309" s="91">
        <v>101</v>
      </c>
      <c r="F309" s="18" t="str">
        <f>IFERROR(VLOOKUP(Trabajos!$E309,Clientes,2,FALSE),"")</f>
        <v>Agustin Galeano</v>
      </c>
      <c r="G309" s="91" t="s">
        <v>426</v>
      </c>
      <c r="H309" s="142">
        <v>240</v>
      </c>
      <c r="I309" s="152">
        <v>1176</v>
      </c>
      <c r="J309" s="19">
        <f t="shared" si="4"/>
        <v>282240</v>
      </c>
      <c r="K309" s="26">
        <v>3</v>
      </c>
      <c r="L309" s="19" t="str">
        <f>IFERROR(VLOOKUP(K309,Referencias!$H$7:$I$9,2,FALSE),"")</f>
        <v>Zoom</v>
      </c>
      <c r="M309" s="143">
        <v>104</v>
      </c>
      <c r="N309" s="152">
        <v>650</v>
      </c>
      <c r="O309" s="20">
        <f t="shared" si="5"/>
        <v>67600</v>
      </c>
      <c r="P309" s="21">
        <f t="shared" si="9"/>
        <v>349840</v>
      </c>
      <c r="R309" s="112">
        <v>0</v>
      </c>
      <c r="S309" s="112">
        <v>0</v>
      </c>
      <c r="T309" s="113">
        <f t="shared" si="10"/>
        <v>240</v>
      </c>
      <c r="U309" s="132"/>
    </row>
    <row r="310" spans="2:21" x14ac:dyDescent="0.25">
      <c r="B310" s="23">
        <v>46009</v>
      </c>
      <c r="C310" s="91">
        <v>1</v>
      </c>
      <c r="D310" s="18" t="str">
        <f>IFERROR(VLOOKUP(Trabajos!C310,Referencias!$E$7:$F$30,2,FALSE),"")</f>
        <v>Muestreo de suelos</v>
      </c>
      <c r="E310" s="91">
        <v>89</v>
      </c>
      <c r="F310" s="18" t="str">
        <f>IFERROR(VLOOKUP(Trabajos!$E310,Clientes,2,FALSE),"")</f>
        <v>Jose Echeverria e Hijos</v>
      </c>
      <c r="G310" s="91" t="s">
        <v>454</v>
      </c>
      <c r="H310" s="142">
        <v>20</v>
      </c>
      <c r="I310" s="152">
        <v>1430</v>
      </c>
      <c r="J310" s="19">
        <f t="shared" si="4"/>
        <v>28600</v>
      </c>
      <c r="K310" s="26">
        <v>3</v>
      </c>
      <c r="L310" s="19" t="str">
        <f>IFERROR(VLOOKUP(K310,Referencias!$H$7:$I$9,2,FALSE),"")</f>
        <v>Zoom</v>
      </c>
      <c r="M310" s="143">
        <v>20</v>
      </c>
      <c r="N310" s="152">
        <v>700</v>
      </c>
      <c r="O310" s="20">
        <f t="shared" si="5"/>
        <v>14000</v>
      </c>
      <c r="P310" s="21">
        <f t="shared" si="9"/>
        <v>42600</v>
      </c>
      <c r="R310" s="112">
        <v>0</v>
      </c>
      <c r="S310" s="112">
        <v>0</v>
      </c>
      <c r="T310" s="113">
        <f t="shared" si="10"/>
        <v>20</v>
      </c>
      <c r="U310" s="132"/>
    </row>
    <row r="311" spans="2:21" x14ac:dyDescent="0.25">
      <c r="B311" s="23">
        <v>45993</v>
      </c>
      <c r="C311" s="91">
        <v>3</v>
      </c>
      <c r="D311" s="18" t="str">
        <f>IFERROR(VLOOKUP(Trabajos!C311,Referencias!$E$7:$F$30,2,FALSE),"")</f>
        <v>Aplicación de cebos</v>
      </c>
      <c r="E311" s="91">
        <v>33</v>
      </c>
      <c r="F311" s="18" t="str">
        <f>IFERROR(VLOOKUP(Trabajos!$E311,Clientes,2,FALSE),"")</f>
        <v>Espartina S.A.</v>
      </c>
      <c r="G311" s="91" t="s">
        <v>412</v>
      </c>
      <c r="H311" s="142">
        <v>51</v>
      </c>
      <c r="I311" s="152">
        <v>7250</v>
      </c>
      <c r="J311" s="19">
        <f t="shared" si="4"/>
        <v>369750</v>
      </c>
      <c r="K311" s="26">
        <v>3</v>
      </c>
      <c r="L311" s="19" t="str">
        <f>IFERROR(VLOOKUP(K311,Referencias!$H$7:$I$9,2,FALSE),"")</f>
        <v>Zoom</v>
      </c>
      <c r="M311" s="143">
        <v>296</v>
      </c>
      <c r="N311" s="152">
        <v>668.15</v>
      </c>
      <c r="O311" s="20">
        <f t="shared" si="5"/>
        <v>197772.4</v>
      </c>
      <c r="P311" s="21">
        <f t="shared" si="9"/>
        <v>567522.4</v>
      </c>
      <c r="R311" s="112">
        <v>0</v>
      </c>
      <c r="S311" s="112">
        <v>0</v>
      </c>
      <c r="T311" s="113">
        <f t="shared" si="10"/>
        <v>51</v>
      </c>
      <c r="U311" s="132"/>
    </row>
    <row r="312" spans="2:21" x14ac:dyDescent="0.25">
      <c r="B312" s="23">
        <v>46013</v>
      </c>
      <c r="C312" s="91">
        <v>3</v>
      </c>
      <c r="D312" s="18" t="str">
        <f>IFERROR(VLOOKUP(Trabajos!C312,Referencias!$E$7:$F$30,2,FALSE),"")</f>
        <v>Aplicación de cebos</v>
      </c>
      <c r="E312" s="91">
        <v>33</v>
      </c>
      <c r="F312" s="18" t="str">
        <f>IFERROR(VLOOKUP(Trabajos!$E312,Clientes,2,FALSE),"")</f>
        <v>Espartina S.A.</v>
      </c>
      <c r="G312" s="91" t="s">
        <v>456</v>
      </c>
      <c r="H312" s="142">
        <v>164</v>
      </c>
      <c r="I312" s="152">
        <v>7250</v>
      </c>
      <c r="J312" s="19">
        <f t="shared" si="4"/>
        <v>1189000</v>
      </c>
      <c r="K312" s="26">
        <v>3</v>
      </c>
      <c r="L312" s="19" t="str">
        <f>IFERROR(VLOOKUP(K312,Referencias!$H$7:$I$9,2,FALSE),"")</f>
        <v>Zoom</v>
      </c>
      <c r="M312" s="143">
        <v>0</v>
      </c>
      <c r="N312" s="152">
        <v>633.85</v>
      </c>
      <c r="O312" s="20">
        <f t="shared" si="5"/>
        <v>0</v>
      </c>
      <c r="P312" s="21">
        <f t="shared" si="9"/>
        <v>1189000</v>
      </c>
      <c r="R312" s="112">
        <v>0</v>
      </c>
      <c r="S312" s="112">
        <v>0</v>
      </c>
      <c r="T312" s="113">
        <f t="shared" si="10"/>
        <v>164</v>
      </c>
      <c r="U312" s="132"/>
    </row>
    <row r="313" spans="2:21" x14ac:dyDescent="0.25">
      <c r="B313" s="23">
        <v>45992</v>
      </c>
      <c r="C313" s="91">
        <v>3</v>
      </c>
      <c r="D313" s="18" t="str">
        <f>IFERROR(VLOOKUP(Trabajos!C313,Referencias!$E$7:$F$30,2,FALSE),"")</f>
        <v>Aplicación de cebos</v>
      </c>
      <c r="E313" s="91">
        <v>113</v>
      </c>
      <c r="F313" s="18" t="str">
        <f>IFERROR(VLOOKUP(Trabajos!$E313,Clientes,2,FALSE),"")</f>
        <v>Juan Paulo Graf</v>
      </c>
      <c r="G313" s="91" t="s">
        <v>457</v>
      </c>
      <c r="H313" s="142">
        <v>298</v>
      </c>
      <c r="I313" s="152">
        <v>7260</v>
      </c>
      <c r="J313" s="19">
        <f t="shared" si="4"/>
        <v>2163480</v>
      </c>
      <c r="K313" s="26">
        <v>3</v>
      </c>
      <c r="L313" s="19" t="str">
        <f>IFERROR(VLOOKUP(K313,Referencias!$H$7:$I$9,2,FALSE),"")</f>
        <v>Zoom</v>
      </c>
      <c r="M313" s="143">
        <v>330</v>
      </c>
      <c r="N313" s="152">
        <v>650</v>
      </c>
      <c r="O313" s="20">
        <f t="shared" si="5"/>
        <v>214500</v>
      </c>
      <c r="P313" s="21">
        <f t="shared" si="9"/>
        <v>2377980</v>
      </c>
      <c r="R313" s="112">
        <v>0</v>
      </c>
      <c r="S313" s="112">
        <v>0</v>
      </c>
      <c r="T313" s="113">
        <f t="shared" si="10"/>
        <v>298</v>
      </c>
      <c r="U313" s="132"/>
    </row>
    <row r="314" spans="2:21" x14ac:dyDescent="0.25">
      <c r="B314" s="23">
        <v>46010</v>
      </c>
      <c r="C314" s="91">
        <v>1</v>
      </c>
      <c r="D314" s="18" t="str">
        <f>IFERROR(VLOOKUP(Trabajos!C314,Referencias!$E$7:$F$30,2,FALSE),"")</f>
        <v>Muestreo de suelos</v>
      </c>
      <c r="E314" s="91">
        <v>31</v>
      </c>
      <c r="F314" s="18" t="str">
        <f>IFERROR(VLOOKUP(Trabajos!$E314,Clientes,2,FALSE),"")</f>
        <v>La Gloriosa S.A.</v>
      </c>
      <c r="G314" s="91" t="s">
        <v>458</v>
      </c>
      <c r="H314" s="142">
        <v>169</v>
      </c>
      <c r="I314" s="152">
        <v>1444.5</v>
      </c>
      <c r="J314" s="19">
        <f t="shared" si="4"/>
        <v>244120.5</v>
      </c>
      <c r="K314" s="26">
        <v>3</v>
      </c>
      <c r="L314" s="19" t="str">
        <f>IFERROR(VLOOKUP(K314,Referencias!$H$7:$I$9,2,FALSE),"")</f>
        <v>Zoom</v>
      </c>
      <c r="M314" s="143">
        <v>184</v>
      </c>
      <c r="N314" s="152">
        <v>700</v>
      </c>
      <c r="O314" s="20">
        <f t="shared" si="5"/>
        <v>128800</v>
      </c>
      <c r="P314" s="21">
        <f t="shared" si="9"/>
        <v>372920.5</v>
      </c>
      <c r="R314" s="112">
        <v>0</v>
      </c>
      <c r="S314" s="112">
        <v>0</v>
      </c>
      <c r="T314" s="113">
        <f t="shared" si="10"/>
        <v>169</v>
      </c>
      <c r="U314" s="132"/>
    </row>
    <row r="315" spans="2:21" x14ac:dyDescent="0.25">
      <c r="B315" s="23">
        <v>46017</v>
      </c>
      <c r="C315" s="91">
        <v>1</v>
      </c>
      <c r="D315" s="18" t="str">
        <f>IFERROR(VLOOKUP(Trabajos!C315,Referencias!$E$7:$F$30,2,FALSE),"")</f>
        <v>Muestreo de suelos</v>
      </c>
      <c r="E315" s="91">
        <v>31</v>
      </c>
      <c r="F315" s="18" t="str">
        <f>IFERROR(VLOOKUP(Trabajos!$E315,Clientes,2,FALSE),"")</f>
        <v>La Gloriosa S.A.</v>
      </c>
      <c r="G315" s="91" t="s">
        <v>459</v>
      </c>
      <c r="H315" s="142">
        <v>400</v>
      </c>
      <c r="I315" s="152">
        <v>1444.5</v>
      </c>
      <c r="J315" s="19">
        <f t="shared" si="4"/>
        <v>577800</v>
      </c>
      <c r="K315" s="26">
        <v>3</v>
      </c>
      <c r="L315" s="19" t="str">
        <f>IFERROR(VLOOKUP(K315,Referencias!$H$7:$I$9,2,FALSE),"")</f>
        <v>Zoom</v>
      </c>
      <c r="M315" s="143">
        <v>106</v>
      </c>
      <c r="N315" s="152">
        <v>700</v>
      </c>
      <c r="O315" s="20">
        <f t="shared" si="5"/>
        <v>74200</v>
      </c>
      <c r="P315" s="21">
        <f t="shared" si="9"/>
        <v>652000</v>
      </c>
      <c r="R315" s="112">
        <v>0</v>
      </c>
      <c r="S315" s="112">
        <v>0</v>
      </c>
      <c r="T315" s="113">
        <f t="shared" si="10"/>
        <v>400</v>
      </c>
      <c r="U315" s="132"/>
    </row>
    <row r="316" spans="2:21" x14ac:dyDescent="0.25">
      <c r="B316" s="23">
        <v>46018</v>
      </c>
      <c r="C316" s="91">
        <v>1</v>
      </c>
      <c r="D316" s="18" t="str">
        <f>IFERROR(VLOOKUP(Trabajos!C316,Referencias!$E$7:$F$30,2,FALSE),"")</f>
        <v>Muestreo de suelos</v>
      </c>
      <c r="E316" s="91">
        <v>31</v>
      </c>
      <c r="F316" s="18" t="str">
        <f>IFERROR(VLOOKUP(Trabajos!$E316,Clientes,2,FALSE),"")</f>
        <v>La Gloriosa S.A.</v>
      </c>
      <c r="G316" s="91" t="s">
        <v>459</v>
      </c>
      <c r="H316" s="142">
        <v>435</v>
      </c>
      <c r="I316" s="152">
        <v>1444.5</v>
      </c>
      <c r="J316" s="19">
        <f t="shared" si="4"/>
        <v>628357.5</v>
      </c>
      <c r="K316" s="26">
        <v>3</v>
      </c>
      <c r="L316" s="19" t="str">
        <f>IFERROR(VLOOKUP(K316,Referencias!$H$7:$I$9,2,FALSE),"")</f>
        <v>Zoom</v>
      </c>
      <c r="M316" s="143">
        <v>106</v>
      </c>
      <c r="N316" s="152">
        <v>700</v>
      </c>
      <c r="O316" s="20">
        <f t="shared" si="5"/>
        <v>74200</v>
      </c>
      <c r="P316" s="21">
        <f t="shared" si="9"/>
        <v>702557.5</v>
      </c>
      <c r="R316" s="112">
        <v>0</v>
      </c>
      <c r="S316" s="112">
        <v>0</v>
      </c>
      <c r="T316" s="113">
        <f t="shared" si="10"/>
        <v>435</v>
      </c>
      <c r="U316" s="132"/>
    </row>
    <row r="317" spans="2:21" x14ac:dyDescent="0.25">
      <c r="B317" s="23">
        <v>46012</v>
      </c>
      <c r="C317" s="91">
        <v>1</v>
      </c>
      <c r="D317" s="18" t="str">
        <f>IFERROR(VLOOKUP(Trabajos!C317,Referencias!$E$7:$F$30,2,FALSE),"")</f>
        <v>Muestreo de suelos</v>
      </c>
      <c r="E317" s="91">
        <v>33</v>
      </c>
      <c r="F317" s="18" t="str">
        <f>IFERROR(VLOOKUP(Trabajos!$E317,Clientes,2,FALSE),"")</f>
        <v>Espartina S.A.</v>
      </c>
      <c r="G317" s="91" t="s">
        <v>292</v>
      </c>
      <c r="H317" s="142">
        <v>50</v>
      </c>
      <c r="I317" s="152">
        <v>1475</v>
      </c>
      <c r="J317" s="19">
        <f t="shared" si="4"/>
        <v>73750</v>
      </c>
      <c r="K317" s="26">
        <v>3</v>
      </c>
      <c r="L317" s="19" t="str">
        <f>IFERROR(VLOOKUP(K317,Referencias!$H$7:$I$9,2,FALSE),"")</f>
        <v>Zoom</v>
      </c>
      <c r="M317" s="143">
        <v>60</v>
      </c>
      <c r="N317" s="152">
        <v>668.15</v>
      </c>
      <c r="O317" s="20">
        <f t="shared" si="5"/>
        <v>40089</v>
      </c>
      <c r="P317" s="21">
        <f t="shared" si="9"/>
        <v>113839</v>
      </c>
      <c r="R317" s="112">
        <v>0</v>
      </c>
      <c r="S317" s="112">
        <v>0</v>
      </c>
      <c r="T317" s="113">
        <f t="shared" si="10"/>
        <v>50</v>
      </c>
      <c r="U317" s="132"/>
    </row>
    <row r="318" spans="2:21" x14ac:dyDescent="0.25">
      <c r="B318" s="23">
        <v>46037</v>
      </c>
      <c r="C318" s="91">
        <v>1</v>
      </c>
      <c r="D318" s="18" t="str">
        <f>IFERROR(VLOOKUP(Trabajos!C318,Referencias!$E$7:$F$30,2,FALSE),"")</f>
        <v>Muestreo de suelos</v>
      </c>
      <c r="E318" s="91">
        <v>31</v>
      </c>
      <c r="F318" s="18" t="str">
        <f>IFERROR(VLOOKUP(Trabajos!$E318,Clientes,2,FALSE),"")</f>
        <v>La Gloriosa S.A.</v>
      </c>
      <c r="G318" s="91" t="s">
        <v>459</v>
      </c>
      <c r="H318" s="142">
        <v>500</v>
      </c>
      <c r="I318" s="152">
        <v>866.7</v>
      </c>
      <c r="J318" s="19">
        <f t="shared" si="4"/>
        <v>433350</v>
      </c>
      <c r="K318" s="26">
        <v>3</v>
      </c>
      <c r="L318" s="19" t="str">
        <f>IFERROR(VLOOKUP(K318,Referencias!$H$7:$I$9,2,FALSE),"")</f>
        <v>Zoom</v>
      </c>
      <c r="M318" s="143">
        <v>106</v>
      </c>
      <c r="N318" s="152">
        <v>700</v>
      </c>
      <c r="O318" s="20">
        <f t="shared" si="5"/>
        <v>74200</v>
      </c>
      <c r="P318" s="21">
        <f t="shared" si="9"/>
        <v>507550</v>
      </c>
      <c r="R318" s="112">
        <v>0</v>
      </c>
      <c r="S318" s="112">
        <v>0</v>
      </c>
      <c r="T318" s="113">
        <f t="shared" si="10"/>
        <v>500</v>
      </c>
      <c r="U318" s="132"/>
    </row>
    <row r="319" spans="2:21" x14ac:dyDescent="0.25">
      <c r="B319" s="23">
        <v>46038</v>
      </c>
      <c r="C319" s="91">
        <v>1</v>
      </c>
      <c r="D319" s="18" t="str">
        <f>IFERROR(VLOOKUP(Trabajos!C319,Referencias!$E$7:$F$30,2,FALSE),"")</f>
        <v>Muestreo de suelos</v>
      </c>
      <c r="E319" s="91">
        <v>31</v>
      </c>
      <c r="F319" s="18" t="str">
        <f>IFERROR(VLOOKUP(Trabajos!$E319,Clientes,2,FALSE),"")</f>
        <v>La Gloriosa S.A.</v>
      </c>
      <c r="G319" s="91" t="s">
        <v>459</v>
      </c>
      <c r="H319" s="142">
        <v>500</v>
      </c>
      <c r="I319" s="152">
        <v>866.7</v>
      </c>
      <c r="J319" s="19">
        <f t="shared" si="4"/>
        <v>433350</v>
      </c>
      <c r="K319" s="26">
        <v>3</v>
      </c>
      <c r="L319" s="19" t="str">
        <f>IFERROR(VLOOKUP(K319,Referencias!$H$7:$I$9,2,FALSE),"")</f>
        <v>Zoom</v>
      </c>
      <c r="M319" s="143">
        <v>106</v>
      </c>
      <c r="N319" s="152">
        <v>700</v>
      </c>
      <c r="O319" s="20">
        <f t="shared" si="5"/>
        <v>74200</v>
      </c>
      <c r="P319" s="21">
        <f t="shared" si="9"/>
        <v>507550</v>
      </c>
      <c r="R319" s="112">
        <v>0</v>
      </c>
      <c r="S319" s="112">
        <v>0</v>
      </c>
      <c r="T319" s="113">
        <f t="shared" si="10"/>
        <v>500</v>
      </c>
      <c r="U319" s="132"/>
    </row>
    <row r="320" spans="2:21" x14ac:dyDescent="0.25">
      <c r="B320" s="206">
        <v>46049</v>
      </c>
      <c r="C320" s="91">
        <v>1</v>
      </c>
      <c r="D320" s="18" t="str">
        <f>IFERROR(VLOOKUP(Trabajos!C320,Referencias!$E$7:$F$30,2,FALSE),"")</f>
        <v>Muestreo de suelos</v>
      </c>
      <c r="E320" s="91">
        <v>31</v>
      </c>
      <c r="F320" s="18" t="str">
        <f>IFERROR(VLOOKUP(Trabajos!$E320,Clientes,2,FALSE),"")</f>
        <v>La Gloriosa S.A.</v>
      </c>
      <c r="G320" s="91" t="s">
        <v>459</v>
      </c>
      <c r="H320" s="142">
        <v>577</v>
      </c>
      <c r="I320" s="152">
        <v>866.7</v>
      </c>
      <c r="J320" s="19">
        <f t="shared" si="4"/>
        <v>500085.9</v>
      </c>
      <c r="K320" s="26">
        <v>3</v>
      </c>
      <c r="L320" s="19" t="str">
        <f>IFERROR(VLOOKUP(K320,Referencias!$H$7:$I$9,2,FALSE),"")</f>
        <v>Zoom</v>
      </c>
      <c r="M320" s="143">
        <v>106</v>
      </c>
      <c r="N320" s="152">
        <v>700</v>
      </c>
      <c r="O320" s="20">
        <f t="shared" si="5"/>
        <v>74200</v>
      </c>
      <c r="P320" s="21">
        <f t="shared" si="9"/>
        <v>574285.9</v>
      </c>
      <c r="R320" s="112">
        <v>0</v>
      </c>
      <c r="S320" s="112">
        <v>0</v>
      </c>
      <c r="T320" s="113">
        <f t="shared" si="10"/>
        <v>577</v>
      </c>
      <c r="U320" s="132"/>
    </row>
    <row r="321" spans="2:21" x14ac:dyDescent="0.25">
      <c r="B321" s="23">
        <v>46039</v>
      </c>
      <c r="C321" s="91">
        <v>3</v>
      </c>
      <c r="D321" s="18" t="str">
        <f>IFERROR(VLOOKUP(Trabajos!C321,Referencias!$E$7:$F$30,2,FALSE),"")</f>
        <v>Aplicación de cebos</v>
      </c>
      <c r="E321" s="91">
        <v>33</v>
      </c>
      <c r="F321" s="18" t="str">
        <f>IFERROR(VLOOKUP(Trabajos!$E321,Clientes,2,FALSE),"")</f>
        <v>Espartina S.A.</v>
      </c>
      <c r="G321" s="91" t="s">
        <v>387</v>
      </c>
      <c r="H321" s="142">
        <v>50</v>
      </c>
      <c r="I321" s="152">
        <v>7212.5</v>
      </c>
      <c r="J321" s="19">
        <f t="shared" si="4"/>
        <v>360625</v>
      </c>
      <c r="K321" s="26">
        <v>3</v>
      </c>
      <c r="L321" s="19" t="str">
        <f>IFERROR(VLOOKUP(K321,Referencias!$H$7:$I$9,2,FALSE),"")</f>
        <v>Zoom</v>
      </c>
      <c r="M321" s="143">
        <v>186</v>
      </c>
      <c r="N321" s="152">
        <v>668.15</v>
      </c>
      <c r="O321" s="20">
        <f t="shared" si="5"/>
        <v>124275.9</v>
      </c>
      <c r="P321" s="21">
        <f t="shared" si="9"/>
        <v>484900.9</v>
      </c>
      <c r="R321" s="112">
        <v>0</v>
      </c>
      <c r="S321" s="112">
        <v>0</v>
      </c>
      <c r="T321" s="113">
        <f t="shared" si="10"/>
        <v>50</v>
      </c>
      <c r="U321" s="132"/>
    </row>
    <row r="322" spans="2:21" x14ac:dyDescent="0.25">
      <c r="B322" s="23">
        <v>46158</v>
      </c>
      <c r="C322" s="91">
        <v>3</v>
      </c>
      <c r="D322" s="18" t="str">
        <f>IFERROR(VLOOKUP(Trabajos!C322,Referencias!$E$7:$F$30,2,FALSE),"")</f>
        <v>Aplicación de cebos</v>
      </c>
      <c r="E322" s="91">
        <v>129</v>
      </c>
      <c r="F322" s="18" t="str">
        <f>IFERROR(VLOOKUP(Trabajos!$E322,Clientes,2,FALSE),"")</f>
        <v>Polixen S.A.</v>
      </c>
      <c r="G322" s="91" t="s">
        <v>489</v>
      </c>
      <c r="H322" s="142">
        <v>50</v>
      </c>
      <c r="I322" s="152">
        <v>7015</v>
      </c>
      <c r="J322" s="19">
        <f t="shared" si="4"/>
        <v>350750</v>
      </c>
      <c r="K322" s="26">
        <v>1</v>
      </c>
      <c r="L322" s="19" t="str">
        <f>IFERROR(VLOOKUP(K322,Referencias!$H$7:$I$9,2,FALSE),"")</f>
        <v>Tomas</v>
      </c>
      <c r="M322" s="143">
        <v>0</v>
      </c>
      <c r="N322" s="152">
        <v>700</v>
      </c>
      <c r="O322" s="20">
        <f t="shared" si="5"/>
        <v>0</v>
      </c>
      <c r="P322" s="21">
        <f t="shared" si="9"/>
        <v>350750</v>
      </c>
      <c r="R322" s="112">
        <v>0</v>
      </c>
      <c r="S322" s="112">
        <v>50</v>
      </c>
      <c r="T322" s="113">
        <f t="shared" si="10"/>
        <v>0</v>
      </c>
      <c r="U322" s="132"/>
    </row>
    <row r="323" spans="2:21" x14ac:dyDescent="0.25">
      <c r="B323" s="23">
        <v>46164</v>
      </c>
      <c r="C323" s="91">
        <v>1</v>
      </c>
      <c r="D323" s="18" t="str">
        <f>IFERROR(VLOOKUP(Trabajos!C323,Referencias!$E$7:$F$30,2,FALSE),"")</f>
        <v>Muestreo de suelos</v>
      </c>
      <c r="E323" s="91">
        <v>50</v>
      </c>
      <c r="F323" s="18" t="str">
        <f>IFERROR(VLOOKUP(Trabajos!$E323,Clientes,2,FALSE),"")</f>
        <v>Mackrey Agropecuaria</v>
      </c>
      <c r="G323" s="91" t="s">
        <v>490</v>
      </c>
      <c r="H323" s="142">
        <v>25</v>
      </c>
      <c r="I323" s="152">
        <v>1488</v>
      </c>
      <c r="J323" s="19">
        <f t="shared" si="4"/>
        <v>37200</v>
      </c>
      <c r="K323" s="26">
        <v>3</v>
      </c>
      <c r="L323" s="19" t="str">
        <f>IFERROR(VLOOKUP(K323,Referencias!$H$7:$I$9,2,FALSE),"")</f>
        <v>Zoom</v>
      </c>
      <c r="M323" s="143">
        <v>22</v>
      </c>
      <c r="N323" s="152">
        <v>850</v>
      </c>
      <c r="O323" s="20">
        <f t="shared" si="5"/>
        <v>18700</v>
      </c>
      <c r="P323" s="21">
        <f t="shared" si="9"/>
        <v>55900</v>
      </c>
      <c r="R323" s="112">
        <v>0</v>
      </c>
      <c r="S323" s="112">
        <v>0</v>
      </c>
      <c r="T323" s="113">
        <f t="shared" si="10"/>
        <v>25</v>
      </c>
      <c r="U323" s="132"/>
    </row>
    <row r="324" spans="2:21" x14ac:dyDescent="0.25">
      <c r="B324" s="23">
        <v>46165</v>
      </c>
      <c r="C324" s="91">
        <v>10</v>
      </c>
      <c r="D324" s="18" t="str">
        <f>IFERROR(VLOOKUP(Trabajos!C324,Referencias!$E$7:$F$30,2,FALSE),"")</f>
        <v>Mapeo Dron</v>
      </c>
      <c r="E324" s="91">
        <v>4</v>
      </c>
      <c r="F324" s="18" t="str">
        <f>IFERROR(VLOOKUP(Trabajos!$E324,Clientes,2,FALSE),"")</f>
        <v>Purtierra</v>
      </c>
      <c r="G324" s="91" t="s">
        <v>312</v>
      </c>
      <c r="H324" s="142">
        <v>147</v>
      </c>
      <c r="I324" s="152">
        <v>4431</v>
      </c>
      <c r="J324" s="19">
        <f t="shared" si="4"/>
        <v>651357</v>
      </c>
      <c r="K324" s="26">
        <v>1</v>
      </c>
      <c r="L324" s="19" t="str">
        <f>IFERROR(VLOOKUP(K324,Referencias!$H$7:$I$9,2,FALSE),"")</f>
        <v>Tomas</v>
      </c>
      <c r="M324" s="143">
        <v>92</v>
      </c>
      <c r="N324" s="152">
        <v>850</v>
      </c>
      <c r="O324" s="20">
        <f t="shared" si="5"/>
        <v>78200</v>
      </c>
      <c r="P324" s="21">
        <f t="shared" si="9"/>
        <v>729557</v>
      </c>
      <c r="R324" s="112">
        <v>0</v>
      </c>
      <c r="S324" s="112">
        <v>80</v>
      </c>
      <c r="T324" s="113">
        <f t="shared" si="10"/>
        <v>67</v>
      </c>
      <c r="U324" s="132"/>
    </row>
    <row r="325" spans="2:21" x14ac:dyDescent="0.25">
      <c r="B325" s="23">
        <v>46168</v>
      </c>
      <c r="C325" s="91">
        <v>1</v>
      </c>
      <c r="D325" s="18" t="str">
        <f>IFERROR(VLOOKUP(Trabajos!C325,Referencias!$E$7:$F$30,2,FALSE),"")</f>
        <v>Muestreo de suelos</v>
      </c>
      <c r="E325" s="91">
        <v>6</v>
      </c>
      <c r="F325" s="18" t="str">
        <f>IFERROR(VLOOKUP(Trabajos!$E325,Clientes,2,FALSE),"")</f>
        <v>La Nany S.A.</v>
      </c>
      <c r="G325" s="91" t="s">
        <v>321</v>
      </c>
      <c r="H325" s="142">
        <v>305</v>
      </c>
      <c r="I325" s="152">
        <v>1440.5</v>
      </c>
      <c r="J325" s="19">
        <f t="shared" si="4"/>
        <v>439352.5</v>
      </c>
      <c r="K325" s="26">
        <v>1</v>
      </c>
      <c r="L325" s="19" t="str">
        <f>IFERROR(VLOOKUP(K325,Referencias!$H$7:$I$9,2,FALSE),"")</f>
        <v>Tomas</v>
      </c>
      <c r="M325" s="143">
        <v>0</v>
      </c>
      <c r="N325" s="152">
        <v>850</v>
      </c>
      <c r="O325" s="20">
        <f t="shared" si="5"/>
        <v>0</v>
      </c>
      <c r="P325" s="21">
        <f t="shared" si="9"/>
        <v>439352.5</v>
      </c>
      <c r="R325" s="112">
        <v>0</v>
      </c>
      <c r="S325" s="136">
        <v>80</v>
      </c>
      <c r="T325" s="113">
        <f t="shared" si="10"/>
        <v>225</v>
      </c>
      <c r="U325" s="132"/>
    </row>
    <row r="326" spans="2:21" x14ac:dyDescent="0.25">
      <c r="B326" s="23">
        <v>46168</v>
      </c>
      <c r="C326" s="91">
        <v>1</v>
      </c>
      <c r="D326" s="18" t="str">
        <f>IFERROR(VLOOKUP(Trabajos!C326,Referencias!$E$7:$F$30,2,FALSE),"")</f>
        <v>Muestreo de suelos</v>
      </c>
      <c r="E326" s="91">
        <v>6</v>
      </c>
      <c r="F326" s="18" t="str">
        <f>IFERROR(VLOOKUP(Trabajos!$E326,Clientes,2,FALSE),"")</f>
        <v>La Nany S.A.</v>
      </c>
      <c r="G326" s="91" t="s">
        <v>322</v>
      </c>
      <c r="H326" s="142">
        <v>147</v>
      </c>
      <c r="I326" s="152">
        <v>1440.5</v>
      </c>
      <c r="J326" s="19">
        <f t="shared" ref="J326:J394" si="11">IF(H326&lt;&gt;"",H326*I326,"")</f>
        <v>211753.5</v>
      </c>
      <c r="K326" s="26">
        <v>1</v>
      </c>
      <c r="L326" s="19" t="str">
        <f>IFERROR(VLOOKUP(K326,Referencias!$H$7:$I$9,2,FALSE),"")</f>
        <v>Tomas</v>
      </c>
      <c r="M326" s="143">
        <v>104</v>
      </c>
      <c r="N326" s="152">
        <v>850</v>
      </c>
      <c r="O326" s="20">
        <f t="shared" si="5"/>
        <v>88400</v>
      </c>
      <c r="P326" s="21">
        <f t="shared" si="9"/>
        <v>300153.5</v>
      </c>
      <c r="R326" s="112">
        <v>0</v>
      </c>
      <c r="S326" s="136">
        <v>0</v>
      </c>
      <c r="T326" s="113">
        <f t="shared" si="10"/>
        <v>147</v>
      </c>
      <c r="U326" s="132"/>
    </row>
    <row r="327" spans="2:21" x14ac:dyDescent="0.25">
      <c r="B327" s="23">
        <v>46200</v>
      </c>
      <c r="C327" s="91">
        <v>1</v>
      </c>
      <c r="D327" s="18" t="str">
        <f>IFERROR(VLOOKUP(Trabajos!C327,Referencias!$E$7:$F$30,2,FALSE),"")</f>
        <v>Muestreo de suelos</v>
      </c>
      <c r="E327" s="91">
        <v>130</v>
      </c>
      <c r="F327" s="18" t="str">
        <f>IFERROR(VLOOKUP(Trabajos!$E327,Clientes,2,FALSE),"")</f>
        <v>Jose Velazco</v>
      </c>
      <c r="G327" s="91" t="s">
        <v>493</v>
      </c>
      <c r="H327" s="142">
        <v>105</v>
      </c>
      <c r="I327" s="152">
        <v>1777.8</v>
      </c>
      <c r="J327" s="19">
        <f t="shared" si="11"/>
        <v>186669</v>
      </c>
      <c r="K327" s="26">
        <v>1</v>
      </c>
      <c r="L327" s="19" t="str">
        <f>IFERROR(VLOOKUP(K327,Referencias!$H$7:$I$9,2,FALSE),"")</f>
        <v>Tomas</v>
      </c>
      <c r="M327" s="143">
        <v>0</v>
      </c>
      <c r="N327" s="152">
        <v>850</v>
      </c>
      <c r="O327" s="20">
        <f t="shared" si="5"/>
        <v>0</v>
      </c>
      <c r="P327" s="21">
        <f t="shared" si="9"/>
        <v>186669</v>
      </c>
      <c r="R327" s="112">
        <v>0</v>
      </c>
      <c r="S327" s="136">
        <v>80</v>
      </c>
      <c r="T327" s="113">
        <f t="shared" si="10"/>
        <v>25</v>
      </c>
      <c r="U327" s="132"/>
    </row>
    <row r="328" spans="2:21" x14ac:dyDescent="0.25">
      <c r="B328" s="23">
        <v>46171</v>
      </c>
      <c r="C328" s="91">
        <v>1</v>
      </c>
      <c r="D328" s="18" t="str">
        <f>IFERROR(VLOOKUP(Trabajos!C328,Referencias!$E$7:$F$30,2,FALSE),"")</f>
        <v>Muestreo de suelos</v>
      </c>
      <c r="E328" s="91">
        <v>33</v>
      </c>
      <c r="F328" s="18" t="str">
        <f>IFERROR(VLOOKUP(Trabajos!$E328,Clientes,2,FALSE),"")</f>
        <v>Espartina S.A.</v>
      </c>
      <c r="G328" s="91" t="s">
        <v>290</v>
      </c>
      <c r="H328" s="142">
        <v>80</v>
      </c>
      <c r="I328" s="152">
        <v>1854.0555555555</v>
      </c>
      <c r="J328" s="19">
        <f t="shared" si="11"/>
        <v>148324.44444443999</v>
      </c>
      <c r="K328" s="26">
        <v>1</v>
      </c>
      <c r="L328" s="19" t="str">
        <f>IFERROR(VLOOKUP(K328,Referencias!$H$7:$I$9,2,FALSE),"")</f>
        <v>Tomas</v>
      </c>
      <c r="M328" s="143">
        <v>0</v>
      </c>
      <c r="N328" s="152">
        <v>711.6</v>
      </c>
      <c r="O328" s="20">
        <f t="shared" ref="O328:O394" si="12">IF(M328&lt;&gt;"",M328*N328,"")</f>
        <v>0</v>
      </c>
      <c r="P328" s="21">
        <f t="shared" si="9"/>
        <v>148324.44444443999</v>
      </c>
      <c r="R328" s="112">
        <v>0</v>
      </c>
      <c r="S328" s="112">
        <v>80</v>
      </c>
      <c r="T328" s="113">
        <f t="shared" si="10"/>
        <v>0</v>
      </c>
      <c r="U328" s="132"/>
    </row>
    <row r="329" spans="2:21" x14ac:dyDescent="0.25">
      <c r="B329" s="23">
        <v>46173</v>
      </c>
      <c r="C329" s="91">
        <v>8</v>
      </c>
      <c r="D329" s="18" t="str">
        <f>IFERROR(VLOOKUP(Trabajos!C329,Referencias!$E$7:$F$30,2,FALSE),"")</f>
        <v>Seguimiento NDVI</v>
      </c>
      <c r="E329" s="91">
        <v>45</v>
      </c>
      <c r="F329" s="18" t="str">
        <f>IFERROR(VLOOKUP(Trabajos!$E329,Clientes,2,FALSE),"")</f>
        <v>Guillermo Pugliese</v>
      </c>
      <c r="G329" s="91" t="s">
        <v>496</v>
      </c>
      <c r="H329" s="142">
        <v>10149</v>
      </c>
      <c r="I329" s="152">
        <v>422.4</v>
      </c>
      <c r="J329" s="19">
        <f t="shared" si="11"/>
        <v>4286937.5999999996</v>
      </c>
      <c r="K329" s="26">
        <v>3</v>
      </c>
      <c r="L329" s="19" t="str">
        <f>IFERROR(VLOOKUP(K329,Referencias!$H$7:$I$9,2,FALSE),"")</f>
        <v>Zoom</v>
      </c>
      <c r="M329" s="143">
        <v>0</v>
      </c>
      <c r="N329" s="152">
        <v>850</v>
      </c>
      <c r="O329" s="20">
        <f t="shared" si="12"/>
        <v>0</v>
      </c>
      <c r="P329" s="21">
        <f t="shared" si="9"/>
        <v>4286937.5999999996</v>
      </c>
      <c r="R329" s="112">
        <v>0</v>
      </c>
      <c r="S329" s="112">
        <v>0</v>
      </c>
      <c r="T329" s="113">
        <v>0</v>
      </c>
      <c r="U329" s="132"/>
    </row>
    <row r="330" spans="2:21" x14ac:dyDescent="0.25">
      <c r="B330" s="23">
        <v>46175</v>
      </c>
      <c r="C330" s="91">
        <v>1</v>
      </c>
      <c r="D330" s="18" t="str">
        <f>IFERROR(VLOOKUP(Trabajos!C330,Referencias!$E$7:$F$30,2,FALSE),"")</f>
        <v>Muestreo de suelos</v>
      </c>
      <c r="E330" s="91">
        <v>33</v>
      </c>
      <c r="F330" s="18" t="str">
        <f>IFERROR(VLOOKUP(Trabajos!$E330,Clientes,2,FALSE),"")</f>
        <v>Espartina S.A.</v>
      </c>
      <c r="G330" s="91" t="s">
        <v>290</v>
      </c>
      <c r="H330" s="142">
        <v>80</v>
      </c>
      <c r="I330" s="152">
        <v>1854.0555555555</v>
      </c>
      <c r="J330" s="19">
        <f t="shared" si="11"/>
        <v>148324.44444443999</v>
      </c>
      <c r="K330" s="26">
        <v>1</v>
      </c>
      <c r="L330" s="19" t="str">
        <f>IFERROR(VLOOKUP(K330,Referencias!$H$7:$I$9,2,FALSE),"")</f>
        <v>Tomas</v>
      </c>
      <c r="M330" s="143">
        <v>236</v>
      </c>
      <c r="N330" s="152">
        <v>711.6</v>
      </c>
      <c r="O330" s="20">
        <f t="shared" si="12"/>
        <v>167937.6</v>
      </c>
      <c r="P330" s="21">
        <f t="shared" si="9"/>
        <v>316262.04444443999</v>
      </c>
      <c r="R330" s="112">
        <v>0</v>
      </c>
      <c r="S330" s="112">
        <v>80</v>
      </c>
      <c r="T330" s="113">
        <f t="shared" si="10"/>
        <v>0</v>
      </c>
      <c r="U330" s="132"/>
    </row>
    <row r="331" spans="2:21" x14ac:dyDescent="0.25">
      <c r="B331" s="23">
        <v>46175</v>
      </c>
      <c r="C331" s="91">
        <v>1</v>
      </c>
      <c r="D331" s="18" t="str">
        <f>IFERROR(VLOOKUP(Trabajos!C331,Referencias!$E$7:$F$30,2,FALSE),"")</f>
        <v>Muestreo de suelos</v>
      </c>
      <c r="E331" s="91">
        <v>33</v>
      </c>
      <c r="F331" s="18" t="str">
        <f>IFERROR(VLOOKUP(Trabajos!$E331,Clientes,2,FALSE),"")</f>
        <v>Espartina S.A.</v>
      </c>
      <c r="G331" s="91" t="s">
        <v>264</v>
      </c>
      <c r="H331" s="142">
        <v>80</v>
      </c>
      <c r="I331" s="152">
        <v>1854.0555555555</v>
      </c>
      <c r="J331" s="19">
        <f t="shared" si="11"/>
        <v>148324.44444443999</v>
      </c>
      <c r="K331" s="26">
        <v>1</v>
      </c>
      <c r="L331" s="19" t="str">
        <f>IFERROR(VLOOKUP(K331,Referencias!$H$7:$I$9,2,FALSE),"")</f>
        <v>Tomas</v>
      </c>
      <c r="M331" s="143">
        <v>202</v>
      </c>
      <c r="N331" s="152">
        <v>711.6</v>
      </c>
      <c r="O331" s="20">
        <f t="shared" si="12"/>
        <v>143743.20000000001</v>
      </c>
      <c r="P331" s="21">
        <f t="shared" si="9"/>
        <v>292067.64444444003</v>
      </c>
      <c r="R331" s="112">
        <v>0</v>
      </c>
      <c r="S331" s="112">
        <v>0</v>
      </c>
      <c r="T331" s="113">
        <f t="shared" si="10"/>
        <v>80</v>
      </c>
      <c r="U331" s="132"/>
    </row>
    <row r="332" spans="2:21" x14ac:dyDescent="0.25">
      <c r="B332" s="23">
        <v>46175</v>
      </c>
      <c r="C332" s="91">
        <v>1</v>
      </c>
      <c r="D332" s="18" t="str">
        <f>IFERROR(VLOOKUP(Trabajos!C332,Referencias!$E$7:$F$30,2,FALSE),"")</f>
        <v>Muestreo de suelos</v>
      </c>
      <c r="E332" s="91">
        <v>33</v>
      </c>
      <c r="F332" s="18" t="str">
        <f>IFERROR(VLOOKUP(Trabajos!$E332,Clientes,2,FALSE),"")</f>
        <v>Espartina S.A.</v>
      </c>
      <c r="G332" s="91" t="s">
        <v>267</v>
      </c>
      <c r="H332" s="142">
        <v>80</v>
      </c>
      <c r="I332" s="152">
        <v>1854.0555555555</v>
      </c>
      <c r="J332" s="19">
        <f t="shared" si="11"/>
        <v>148324.44444443999</v>
      </c>
      <c r="K332" s="26">
        <v>1</v>
      </c>
      <c r="L332" s="19" t="str">
        <f>IFERROR(VLOOKUP(K332,Referencias!$H$7:$I$9,2,FALSE),"")</f>
        <v>Tomas</v>
      </c>
      <c r="M332" s="143">
        <v>0</v>
      </c>
      <c r="N332" s="152">
        <v>711.6</v>
      </c>
      <c r="O332" s="20">
        <f t="shared" si="12"/>
        <v>0</v>
      </c>
      <c r="P332" s="21">
        <f t="shared" si="9"/>
        <v>148324.44444443999</v>
      </c>
      <c r="R332" s="112">
        <v>0</v>
      </c>
      <c r="S332" s="112">
        <v>0</v>
      </c>
      <c r="T332" s="113">
        <f t="shared" si="10"/>
        <v>80</v>
      </c>
      <c r="U332" s="132"/>
    </row>
    <row r="333" spans="2:21" x14ac:dyDescent="0.25">
      <c r="B333" s="23">
        <v>46175</v>
      </c>
      <c r="C333" s="91">
        <v>1</v>
      </c>
      <c r="D333" s="18" t="str">
        <f>IFERROR(VLOOKUP(Trabajos!C333,Referencias!$E$7:$F$30,2,FALSE),"")</f>
        <v>Muestreo de suelos</v>
      </c>
      <c r="E333" s="91">
        <v>33</v>
      </c>
      <c r="F333" s="18" t="str">
        <f>IFERROR(VLOOKUP(Trabajos!$E333,Clientes,2,FALSE),"")</f>
        <v>Espartina S.A.</v>
      </c>
      <c r="G333" s="91" t="s">
        <v>387</v>
      </c>
      <c r="H333" s="142">
        <v>80</v>
      </c>
      <c r="I333" s="152">
        <v>1854.0555555555</v>
      </c>
      <c r="J333" s="19">
        <f t="shared" si="11"/>
        <v>148324.44444443999</v>
      </c>
      <c r="K333" s="26">
        <v>2</v>
      </c>
      <c r="L333" s="19" t="str">
        <f>IFERROR(VLOOKUP(K333,Referencias!$H$7:$I$9,2,FALSE),"")</f>
        <v>Paco</v>
      </c>
      <c r="M333" s="143">
        <v>186</v>
      </c>
      <c r="N333" s="152">
        <v>711.6</v>
      </c>
      <c r="O333" s="20">
        <f t="shared" si="12"/>
        <v>132357.6</v>
      </c>
      <c r="P333" s="21">
        <f t="shared" si="9"/>
        <v>280682.04444443999</v>
      </c>
      <c r="R333" s="112">
        <v>80</v>
      </c>
      <c r="S333" s="112">
        <v>0</v>
      </c>
      <c r="T333" s="113">
        <f t="shared" si="10"/>
        <v>0</v>
      </c>
      <c r="U333" s="132"/>
    </row>
    <row r="334" spans="2:21" x14ac:dyDescent="0.25">
      <c r="B334" s="23">
        <v>46175</v>
      </c>
      <c r="C334" s="91">
        <v>1</v>
      </c>
      <c r="D334" s="18" t="str">
        <f>IFERROR(VLOOKUP(Trabajos!C334,Referencias!$E$7:$F$30,2,FALSE),"")</f>
        <v>Muestreo de suelos</v>
      </c>
      <c r="E334" s="91">
        <v>33</v>
      </c>
      <c r="F334" s="18" t="str">
        <f>IFERROR(VLOOKUP(Trabajos!$E334,Clientes,2,FALSE),"")</f>
        <v>Espartina S.A.</v>
      </c>
      <c r="G334" s="91" t="s">
        <v>497</v>
      </c>
      <c r="H334" s="142">
        <v>80</v>
      </c>
      <c r="I334" s="152">
        <v>1854.0555555555</v>
      </c>
      <c r="J334" s="19">
        <f t="shared" si="11"/>
        <v>148324.44444443999</v>
      </c>
      <c r="K334" s="26">
        <v>2</v>
      </c>
      <c r="L334" s="19" t="str">
        <f>IFERROR(VLOOKUP(K334,Referencias!$H$7:$I$9,2,FALSE),"")</f>
        <v>Paco</v>
      </c>
      <c r="M334" s="143">
        <v>0</v>
      </c>
      <c r="N334" s="152">
        <v>711.6</v>
      </c>
      <c r="O334" s="20">
        <f t="shared" si="12"/>
        <v>0</v>
      </c>
      <c r="P334" s="21">
        <f t="shared" si="9"/>
        <v>148324.44444443999</v>
      </c>
      <c r="R334" s="112">
        <v>0</v>
      </c>
      <c r="S334" s="112">
        <v>0</v>
      </c>
      <c r="T334" s="113">
        <f t="shared" si="10"/>
        <v>80</v>
      </c>
      <c r="U334" s="132"/>
    </row>
    <row r="335" spans="2:21" x14ac:dyDescent="0.25">
      <c r="B335" s="23">
        <v>46176</v>
      </c>
      <c r="C335" s="91">
        <v>1</v>
      </c>
      <c r="D335" s="18" t="str">
        <f>IFERROR(VLOOKUP(Trabajos!C335,Referencias!$E$7:$F$30,2,FALSE),"")</f>
        <v>Muestreo de suelos</v>
      </c>
      <c r="E335" s="91">
        <v>33</v>
      </c>
      <c r="F335" s="18" t="str">
        <f>IFERROR(VLOOKUP(Trabajos!$E335,Clientes,2,FALSE),"")</f>
        <v>Espartina S.A.</v>
      </c>
      <c r="G335" s="91" t="s">
        <v>307</v>
      </c>
      <c r="H335" s="142">
        <v>80</v>
      </c>
      <c r="I335" s="152">
        <v>1854.0555555555</v>
      </c>
      <c r="J335" s="19">
        <f t="shared" si="11"/>
        <v>148324.44444443999</v>
      </c>
      <c r="K335" s="26">
        <v>2</v>
      </c>
      <c r="L335" s="19" t="str">
        <f>IFERROR(VLOOKUP(K335,Referencias!$H$7:$I$9,2,FALSE),"")</f>
        <v>Paco</v>
      </c>
      <c r="M335" s="143">
        <v>210</v>
      </c>
      <c r="N335" s="152">
        <v>711.6</v>
      </c>
      <c r="O335" s="20">
        <f t="shared" si="12"/>
        <v>149436</v>
      </c>
      <c r="P335" s="21">
        <f t="shared" si="9"/>
        <v>297760.44444443996</v>
      </c>
      <c r="R335" s="112">
        <v>80</v>
      </c>
      <c r="S335" s="112">
        <v>0</v>
      </c>
      <c r="T335" s="113">
        <f t="shared" si="10"/>
        <v>0</v>
      </c>
      <c r="U335" s="132"/>
    </row>
    <row r="336" spans="2:21" x14ac:dyDescent="0.25">
      <c r="B336" s="23">
        <v>46176</v>
      </c>
      <c r="C336" s="91">
        <v>1</v>
      </c>
      <c r="D336" s="18" t="str">
        <f>IFERROR(VLOOKUP(Trabajos!C336,Referencias!$E$7:$F$30,2,FALSE),"")</f>
        <v>Muestreo de suelos</v>
      </c>
      <c r="E336" s="91">
        <v>8</v>
      </c>
      <c r="F336" s="18" t="str">
        <f>IFERROR(VLOOKUP(Trabajos!$E336,Clientes,2,FALSE),"")</f>
        <v>Baltan Agropecuaria</v>
      </c>
      <c r="G336" s="91" t="s">
        <v>373</v>
      </c>
      <c r="H336" s="119">
        <v>39</v>
      </c>
      <c r="I336" s="152">
        <v>1440.5</v>
      </c>
      <c r="J336" s="19">
        <f t="shared" si="11"/>
        <v>56179.5</v>
      </c>
      <c r="K336" s="26">
        <v>1</v>
      </c>
      <c r="L336" s="19" t="str">
        <f>IFERROR(VLOOKUP(K336,Referencias!$H$7:$I$9,2,FALSE),"")</f>
        <v>Tomas</v>
      </c>
      <c r="M336" s="143">
        <v>36</v>
      </c>
      <c r="N336" s="152">
        <v>850</v>
      </c>
      <c r="O336" s="20">
        <f t="shared" si="12"/>
        <v>30600</v>
      </c>
      <c r="P336" s="21">
        <f t="shared" si="9"/>
        <v>86779.5</v>
      </c>
      <c r="R336" s="112">
        <v>0</v>
      </c>
      <c r="S336" s="112">
        <v>39</v>
      </c>
      <c r="T336" s="113">
        <f t="shared" si="10"/>
        <v>0</v>
      </c>
      <c r="U336" s="132"/>
    </row>
    <row r="337" spans="2:21" x14ac:dyDescent="0.25">
      <c r="B337" s="23">
        <v>46167</v>
      </c>
      <c r="C337" s="91">
        <v>1</v>
      </c>
      <c r="D337" s="18" t="str">
        <f>IFERROR(VLOOKUP(Trabajos!C337,Referencias!$E$7:$F$30,2,FALSE),"")</f>
        <v>Muestreo de suelos</v>
      </c>
      <c r="E337" s="91">
        <v>69</v>
      </c>
      <c r="F337" s="18" t="str">
        <f>IFERROR(VLOOKUP(Trabajos!$E337,Clientes,2,FALSE),"")</f>
        <v>Alejandro Massigoge</v>
      </c>
      <c r="G337" s="91" t="s">
        <v>498</v>
      </c>
      <c r="H337" s="119">
        <v>214</v>
      </c>
      <c r="I337" s="152">
        <v>1446.5</v>
      </c>
      <c r="J337" s="19">
        <f t="shared" si="11"/>
        <v>309551</v>
      </c>
      <c r="K337" s="26">
        <v>2</v>
      </c>
      <c r="L337" s="19" t="str">
        <f>IFERROR(VLOOKUP(K337,Referencias!$H$7:$I$9,2,FALSE),"")</f>
        <v>Paco</v>
      </c>
      <c r="M337" s="143">
        <v>0</v>
      </c>
      <c r="N337" s="152">
        <v>850</v>
      </c>
      <c r="O337" s="20">
        <f t="shared" si="12"/>
        <v>0</v>
      </c>
      <c r="P337" s="21">
        <f t="shared" si="9"/>
        <v>309551</v>
      </c>
      <c r="R337" s="112">
        <v>80</v>
      </c>
      <c r="S337" s="112">
        <v>0</v>
      </c>
      <c r="T337" s="113">
        <f t="shared" si="10"/>
        <v>134</v>
      </c>
      <c r="U337" s="132"/>
    </row>
    <row r="338" spans="2:21" x14ac:dyDescent="0.25">
      <c r="B338" s="23">
        <v>46184</v>
      </c>
      <c r="C338" s="91">
        <v>10</v>
      </c>
      <c r="D338" s="18" t="str">
        <f>IFERROR(VLOOKUP(Trabajos!C338,Referencias!$E$7:$F$30,2,FALSE),"")</f>
        <v>Mapeo Dron</v>
      </c>
      <c r="E338" s="91">
        <v>4</v>
      </c>
      <c r="F338" s="18" t="str">
        <f>IFERROR(VLOOKUP(Trabajos!$E338,Clientes,2,FALSE),"")</f>
        <v>Purtierra</v>
      </c>
      <c r="G338" s="91" t="s">
        <v>312</v>
      </c>
      <c r="H338" s="119">
        <v>137</v>
      </c>
      <c r="I338" s="152">
        <v>4431</v>
      </c>
      <c r="J338" s="19">
        <f t="shared" si="11"/>
        <v>607047</v>
      </c>
      <c r="K338" s="26">
        <v>1</v>
      </c>
      <c r="L338" s="19" t="str">
        <f>IFERROR(VLOOKUP(K338,Referencias!$H$7:$I$9,2,FALSE),"")</f>
        <v>Tomas</v>
      </c>
      <c r="M338" s="143">
        <v>92</v>
      </c>
      <c r="N338" s="152">
        <v>850</v>
      </c>
      <c r="O338" s="20">
        <f t="shared" si="12"/>
        <v>78200</v>
      </c>
      <c r="P338" s="21">
        <f t="shared" si="9"/>
        <v>685247</v>
      </c>
      <c r="R338" s="112">
        <v>0</v>
      </c>
      <c r="S338" s="112">
        <v>80</v>
      </c>
      <c r="T338" s="113">
        <f t="shared" si="10"/>
        <v>57</v>
      </c>
      <c r="U338" s="132"/>
    </row>
    <row r="339" spans="2:21" x14ac:dyDescent="0.25">
      <c r="B339" s="23">
        <v>46185</v>
      </c>
      <c r="C339" s="91">
        <v>1</v>
      </c>
      <c r="D339" s="18" t="str">
        <f>IFERROR(VLOOKUP(Trabajos!C339,Referencias!$E$7:$F$30,2,FALSE),"")</f>
        <v>Muestreo de suelos</v>
      </c>
      <c r="E339" s="91">
        <v>24</v>
      </c>
      <c r="F339" s="18" t="str">
        <f>IFERROR(VLOOKUP(Trabajos!$E339,Clientes,2,FALSE),"")</f>
        <v>Nugas S.A.</v>
      </c>
      <c r="G339" s="91" t="s">
        <v>302</v>
      </c>
      <c r="H339" s="119">
        <v>124</v>
      </c>
      <c r="I339" s="152">
        <v>1786.2</v>
      </c>
      <c r="J339" s="19">
        <f t="shared" si="11"/>
        <v>221488.80000000002</v>
      </c>
      <c r="K339" s="26">
        <v>1</v>
      </c>
      <c r="L339" s="19" t="str">
        <f>IFERROR(VLOOKUP(K339,Referencias!$H$7:$I$9,2,FALSE),"")</f>
        <v>Tomas</v>
      </c>
      <c r="M339" s="143">
        <v>160</v>
      </c>
      <c r="N339" s="152">
        <v>850</v>
      </c>
      <c r="O339" s="20">
        <f t="shared" si="12"/>
        <v>136000</v>
      </c>
      <c r="P339" s="21">
        <f t="shared" si="9"/>
        <v>357488.80000000005</v>
      </c>
      <c r="R339" s="112">
        <v>0</v>
      </c>
      <c r="S339" s="112">
        <v>80</v>
      </c>
      <c r="T339" s="113">
        <f t="shared" si="10"/>
        <v>44</v>
      </c>
      <c r="U339" s="132"/>
    </row>
    <row r="340" spans="2:21" x14ac:dyDescent="0.25">
      <c r="B340" s="23">
        <v>46185</v>
      </c>
      <c r="C340" s="91">
        <v>1</v>
      </c>
      <c r="D340" s="18" t="str">
        <f>IFERROR(VLOOKUP(Trabajos!C340,Referencias!$E$7:$F$30,2,FALSE),"")</f>
        <v>Muestreo de suelos</v>
      </c>
      <c r="E340" s="91">
        <v>24</v>
      </c>
      <c r="F340" s="18" t="str">
        <f>IFERROR(VLOOKUP(Trabajos!$E340,Clientes,2,FALSE),"")</f>
        <v>Nugas S.A.</v>
      </c>
      <c r="G340" s="91" t="s">
        <v>302</v>
      </c>
      <c r="H340" s="119">
        <v>105</v>
      </c>
      <c r="I340" s="29">
        <v>1190.8</v>
      </c>
      <c r="J340" s="19">
        <f t="shared" si="11"/>
        <v>125034</v>
      </c>
      <c r="K340" s="26">
        <v>1</v>
      </c>
      <c r="L340" s="19" t="str">
        <f>IFERROR(VLOOKUP(K340,Referencias!$H$7:$I$9,2,FALSE),"")</f>
        <v>Tomas</v>
      </c>
      <c r="M340" s="143">
        <v>0</v>
      </c>
      <c r="N340" s="152">
        <v>850</v>
      </c>
      <c r="O340" s="20">
        <f t="shared" si="12"/>
        <v>0</v>
      </c>
      <c r="P340" s="21">
        <f t="shared" si="9"/>
        <v>125034</v>
      </c>
      <c r="R340" s="112">
        <v>0</v>
      </c>
      <c r="S340" s="112">
        <v>0</v>
      </c>
      <c r="T340" s="113">
        <f t="shared" si="10"/>
        <v>105</v>
      </c>
      <c r="U340" s="132"/>
    </row>
    <row r="341" spans="2:21" x14ac:dyDescent="0.25">
      <c r="B341" s="23">
        <v>46185</v>
      </c>
      <c r="C341" s="91">
        <v>1</v>
      </c>
      <c r="D341" s="18" t="str">
        <f>IFERROR(VLOOKUP(Trabajos!C341,Referencias!$E$7:$F$30,2,FALSE),"")</f>
        <v>Muestreo de suelos</v>
      </c>
      <c r="E341" s="91">
        <v>91</v>
      </c>
      <c r="F341" s="18" t="str">
        <f>IFERROR(VLOOKUP(Trabajos!$E341,Clientes,2,FALSE),"")</f>
        <v>Alfredo Hitce</v>
      </c>
      <c r="G341" s="91" t="s">
        <v>504</v>
      </c>
      <c r="H341" s="119">
        <v>99</v>
      </c>
      <c r="I341" s="29">
        <v>1488</v>
      </c>
      <c r="J341" s="19">
        <f t="shared" si="11"/>
        <v>147312</v>
      </c>
      <c r="K341" s="26">
        <v>1</v>
      </c>
      <c r="L341" s="19" t="str">
        <f>IFERROR(VLOOKUP(K341,Referencias!$H$7:$I$9,2,FALSE),"")</f>
        <v>Tomas</v>
      </c>
      <c r="M341" s="143">
        <v>136</v>
      </c>
      <c r="N341" s="152">
        <v>850</v>
      </c>
      <c r="O341" s="20">
        <f t="shared" si="12"/>
        <v>115600</v>
      </c>
      <c r="P341" s="21">
        <f t="shared" si="9"/>
        <v>262912</v>
      </c>
      <c r="R341" s="112">
        <v>0</v>
      </c>
      <c r="S341" s="112">
        <v>0</v>
      </c>
      <c r="T341" s="113">
        <f t="shared" si="10"/>
        <v>99</v>
      </c>
      <c r="U341" s="132"/>
    </row>
    <row r="342" spans="2:21" x14ac:dyDescent="0.25">
      <c r="B342" s="23">
        <v>46185</v>
      </c>
      <c r="C342" s="91">
        <v>1</v>
      </c>
      <c r="D342" s="18" t="str">
        <f>IFERROR(VLOOKUP(Trabajos!C342,Referencias!$E$7:$F$30,2,FALSE),"")</f>
        <v>Muestreo de suelos</v>
      </c>
      <c r="E342" s="91">
        <v>33</v>
      </c>
      <c r="F342" s="18" t="str">
        <f>IFERROR(VLOOKUP(Trabajos!$E342,Clientes,2,FALSE),"")</f>
        <v>Espartina S.A.</v>
      </c>
      <c r="G342" s="91" t="s">
        <v>415</v>
      </c>
      <c r="H342" s="142">
        <v>80</v>
      </c>
      <c r="I342" s="152">
        <v>1854.0555555555</v>
      </c>
      <c r="J342" s="19">
        <f t="shared" si="11"/>
        <v>148324.44444443999</v>
      </c>
      <c r="K342" s="26">
        <v>2</v>
      </c>
      <c r="L342" s="19" t="str">
        <f>IFERROR(VLOOKUP(K342,Referencias!$H$7:$I$9,2,FALSE),"")</f>
        <v>Paco</v>
      </c>
      <c r="M342" s="143">
        <v>248</v>
      </c>
      <c r="N342" s="152">
        <v>711.6</v>
      </c>
      <c r="O342" s="20">
        <f t="shared" si="12"/>
        <v>176476.80000000002</v>
      </c>
      <c r="P342" s="21">
        <f t="shared" si="9"/>
        <v>324801.24444444</v>
      </c>
      <c r="R342" s="112">
        <v>80</v>
      </c>
      <c r="S342" s="112">
        <v>0</v>
      </c>
      <c r="T342" s="113">
        <f t="shared" si="10"/>
        <v>0</v>
      </c>
      <c r="U342" s="132"/>
    </row>
    <row r="343" spans="2:21" x14ac:dyDescent="0.25">
      <c r="B343" s="23">
        <v>46185</v>
      </c>
      <c r="C343" s="91">
        <v>1</v>
      </c>
      <c r="D343" s="18" t="str">
        <f>IFERROR(VLOOKUP(Trabajos!C343,Referencias!$E$7:$F$30,2,FALSE),"")</f>
        <v>Muestreo de suelos</v>
      </c>
      <c r="E343" s="91">
        <v>33</v>
      </c>
      <c r="F343" s="18" t="str">
        <f>IFERROR(VLOOKUP(Trabajos!$E343,Clientes,2,FALSE),"")</f>
        <v>Espartina S.A.</v>
      </c>
      <c r="G343" s="91" t="s">
        <v>412</v>
      </c>
      <c r="H343" s="142">
        <v>80</v>
      </c>
      <c r="I343" s="152">
        <v>1854.0555555555</v>
      </c>
      <c r="J343" s="19">
        <f t="shared" si="11"/>
        <v>148324.44444443999</v>
      </c>
      <c r="K343" s="26">
        <v>2</v>
      </c>
      <c r="L343" s="19" t="str">
        <f>IFERROR(VLOOKUP(K343,Referencias!$H$7:$I$9,2,FALSE),"")</f>
        <v>Paco</v>
      </c>
      <c r="M343" s="143">
        <v>0</v>
      </c>
      <c r="N343" s="152">
        <v>711.6</v>
      </c>
      <c r="O343" s="20">
        <f t="shared" si="12"/>
        <v>0</v>
      </c>
      <c r="P343" s="21">
        <f t="shared" si="9"/>
        <v>148324.44444443999</v>
      </c>
      <c r="R343" s="112">
        <v>0</v>
      </c>
      <c r="S343" s="112">
        <v>0</v>
      </c>
      <c r="T343" s="113">
        <f t="shared" si="10"/>
        <v>80</v>
      </c>
      <c r="U343" s="132"/>
    </row>
    <row r="344" spans="2:21" x14ac:dyDescent="0.25">
      <c r="B344" s="23">
        <v>46189</v>
      </c>
      <c r="C344" s="91">
        <v>10</v>
      </c>
      <c r="D344" s="18" t="str">
        <f>IFERROR(VLOOKUP(Trabajos!C344,Referencias!$E$7:$F$30,2,FALSE),"")</f>
        <v>Mapeo Dron</v>
      </c>
      <c r="E344" s="91">
        <v>131</v>
      </c>
      <c r="F344" s="18" t="str">
        <f>IFERROR(VLOOKUP(Trabajos!$E344,Clientes,2,FALSE),"")</f>
        <v>Fernando Pili</v>
      </c>
      <c r="G344" s="91" t="s">
        <v>508</v>
      </c>
      <c r="H344" s="119">
        <v>129</v>
      </c>
      <c r="I344" s="152">
        <v>8186.75</v>
      </c>
      <c r="J344" s="19">
        <f t="shared" si="11"/>
        <v>1056090.75</v>
      </c>
      <c r="K344" s="26">
        <v>2</v>
      </c>
      <c r="L344" s="19" t="str">
        <f>IFERROR(VLOOKUP(K344,Referencias!$H$7:$I$9,2,FALSE),"")</f>
        <v>Paco</v>
      </c>
      <c r="M344" s="143">
        <v>0</v>
      </c>
      <c r="N344" s="152">
        <v>850</v>
      </c>
      <c r="O344" s="20">
        <f t="shared" si="12"/>
        <v>0</v>
      </c>
      <c r="P344" s="21">
        <f t="shared" si="9"/>
        <v>1056090.75</v>
      </c>
      <c r="R344" s="112">
        <v>80</v>
      </c>
      <c r="S344" s="112">
        <v>0</v>
      </c>
      <c r="T344" s="113">
        <f t="shared" si="10"/>
        <v>49</v>
      </c>
      <c r="U344" s="132"/>
    </row>
    <row r="345" spans="2:21" x14ac:dyDescent="0.25">
      <c r="B345" s="23">
        <v>46190</v>
      </c>
      <c r="C345" s="91">
        <v>1</v>
      </c>
      <c r="D345" s="18" t="str">
        <f>IFERROR(VLOOKUP(Trabajos!C345,Referencias!$E$7:$F$30,2,FALSE),"")</f>
        <v>Muestreo de suelos</v>
      </c>
      <c r="E345" s="91">
        <v>33</v>
      </c>
      <c r="F345" s="18" t="str">
        <f>IFERROR(VLOOKUP(Trabajos!$E345,Clientes,2,FALSE),"")</f>
        <v>Espartina S.A.</v>
      </c>
      <c r="G345" s="91" t="s">
        <v>266</v>
      </c>
      <c r="H345" s="142">
        <v>80</v>
      </c>
      <c r="I345" s="152">
        <v>930</v>
      </c>
      <c r="J345" s="19">
        <f t="shared" si="11"/>
        <v>74400</v>
      </c>
      <c r="K345" s="26">
        <v>1</v>
      </c>
      <c r="L345" s="19" t="str">
        <f>IFERROR(VLOOKUP(K345,Referencias!$H$7:$I$9,2,FALSE),"")</f>
        <v>Tomas</v>
      </c>
      <c r="M345" s="143">
        <v>220</v>
      </c>
      <c r="N345" s="152">
        <v>711.6</v>
      </c>
      <c r="O345" s="20">
        <f t="shared" si="12"/>
        <v>156552</v>
      </c>
      <c r="P345" s="21">
        <f t="shared" si="9"/>
        <v>230952</v>
      </c>
      <c r="R345" s="112">
        <v>0</v>
      </c>
      <c r="S345" s="112">
        <v>80</v>
      </c>
      <c r="T345" s="113">
        <f t="shared" si="10"/>
        <v>0</v>
      </c>
      <c r="U345" s="132"/>
    </row>
    <row r="346" spans="2:21" x14ac:dyDescent="0.25">
      <c r="B346" s="23">
        <v>46190</v>
      </c>
      <c r="C346" s="91">
        <v>1</v>
      </c>
      <c r="D346" s="18" t="str">
        <f>IFERROR(VLOOKUP(Trabajos!C346,Referencias!$E$7:$F$30,2,FALSE),"")</f>
        <v>Muestreo de suelos</v>
      </c>
      <c r="E346" s="91">
        <v>33</v>
      </c>
      <c r="F346" s="18" t="str">
        <f>IFERROR(VLOOKUP(Trabajos!$E346,Clientes,2,FALSE),"")</f>
        <v>Espartina S.A.</v>
      </c>
      <c r="G346" s="91" t="s">
        <v>510</v>
      </c>
      <c r="H346" s="142">
        <v>80</v>
      </c>
      <c r="I346" s="152">
        <v>930</v>
      </c>
      <c r="J346" s="19">
        <f t="shared" si="11"/>
        <v>74400</v>
      </c>
      <c r="K346" s="26">
        <v>1</v>
      </c>
      <c r="L346" s="19" t="str">
        <f>IFERROR(VLOOKUP(K346,Referencias!$H$7:$I$9,2,FALSE),"")</f>
        <v>Tomas</v>
      </c>
      <c r="M346" s="143">
        <v>0</v>
      </c>
      <c r="N346" s="152">
        <v>711.6</v>
      </c>
      <c r="O346" s="20">
        <f t="shared" si="12"/>
        <v>0</v>
      </c>
      <c r="P346" s="21">
        <f t="shared" si="9"/>
        <v>74400</v>
      </c>
      <c r="R346" s="112">
        <v>0</v>
      </c>
      <c r="S346" s="112">
        <v>0</v>
      </c>
      <c r="T346" s="113">
        <f t="shared" si="10"/>
        <v>80</v>
      </c>
      <c r="U346" s="132"/>
    </row>
    <row r="347" spans="2:21" x14ac:dyDescent="0.25">
      <c r="B347" s="23">
        <v>46196</v>
      </c>
      <c r="C347" s="91">
        <v>1</v>
      </c>
      <c r="D347" s="18" t="str">
        <f>IFERROR(VLOOKUP(Trabajos!C347,Referencias!$E$7:$F$30,2,FALSE),"")</f>
        <v>Muestreo de suelos</v>
      </c>
      <c r="E347" s="91">
        <v>33</v>
      </c>
      <c r="F347" s="18" t="str">
        <f>IFERROR(VLOOKUP(Trabajos!$E347,Clientes,2,FALSE),"")</f>
        <v>Espartina S.A.</v>
      </c>
      <c r="G347" s="91" t="s">
        <v>383</v>
      </c>
      <c r="H347" s="142">
        <v>80</v>
      </c>
      <c r="I347" s="152">
        <v>930</v>
      </c>
      <c r="J347" s="19">
        <f t="shared" si="11"/>
        <v>74400</v>
      </c>
      <c r="K347" s="26">
        <v>1</v>
      </c>
      <c r="L347" s="19" t="str">
        <f>IFERROR(VLOOKUP(K347,Referencias!$H$7:$I$9,2,FALSE),"")</f>
        <v>Tomas</v>
      </c>
      <c r="M347" s="143">
        <v>179</v>
      </c>
      <c r="N347" s="152">
        <v>711.6</v>
      </c>
      <c r="O347" s="20">
        <f t="shared" si="12"/>
        <v>127376.40000000001</v>
      </c>
      <c r="P347" s="21">
        <f t="shared" si="9"/>
        <v>201776.40000000002</v>
      </c>
      <c r="R347" s="112">
        <v>0</v>
      </c>
      <c r="S347" s="112">
        <v>80</v>
      </c>
      <c r="T347" s="113">
        <f t="shared" si="10"/>
        <v>0</v>
      </c>
      <c r="U347" s="132"/>
    </row>
    <row r="348" spans="2:21" x14ac:dyDescent="0.25">
      <c r="B348" s="23">
        <v>46196</v>
      </c>
      <c r="C348" s="91">
        <v>1</v>
      </c>
      <c r="D348" s="18" t="str">
        <f>IFERROR(VLOOKUP(Trabajos!C348,Referencias!$E$7:$F$30,2,FALSE),"")</f>
        <v>Muestreo de suelos</v>
      </c>
      <c r="E348" s="91">
        <v>24</v>
      </c>
      <c r="F348" s="18" t="str">
        <f>IFERROR(VLOOKUP(Trabajos!$E348,Clientes,2,FALSE),"")</f>
        <v>Nugas S.A.</v>
      </c>
      <c r="G348" s="91" t="s">
        <v>302</v>
      </c>
      <c r="H348" s="119">
        <v>56</v>
      </c>
      <c r="I348" s="29">
        <v>1786.2</v>
      </c>
      <c r="J348" s="19">
        <f t="shared" si="11"/>
        <v>100027.2</v>
      </c>
      <c r="K348" s="26">
        <v>1</v>
      </c>
      <c r="L348" s="19" t="str">
        <f>IFERROR(VLOOKUP(K348,Referencias!$H$7:$I$9,2,FALSE),"")</f>
        <v>Tomas</v>
      </c>
      <c r="M348" s="143">
        <v>120</v>
      </c>
      <c r="N348" s="152">
        <v>850</v>
      </c>
      <c r="O348" s="20">
        <f t="shared" si="12"/>
        <v>102000</v>
      </c>
      <c r="P348" s="21">
        <f t="shared" si="9"/>
        <v>202027.2</v>
      </c>
      <c r="R348" s="112">
        <v>0</v>
      </c>
      <c r="S348" s="112">
        <v>0</v>
      </c>
      <c r="T348" s="113">
        <f t="shared" si="10"/>
        <v>56</v>
      </c>
      <c r="U348" s="132"/>
    </row>
    <row r="349" spans="2:21" x14ac:dyDescent="0.25">
      <c r="B349" s="23">
        <v>46196</v>
      </c>
      <c r="C349" s="91">
        <v>1</v>
      </c>
      <c r="D349" s="18" t="str">
        <f>IFERROR(VLOOKUP(Trabajos!C349,Referencias!$E$7:$F$30,2,FALSE),"")</f>
        <v>Muestreo de suelos</v>
      </c>
      <c r="E349" s="91">
        <v>91</v>
      </c>
      <c r="F349" s="18" t="str">
        <f>IFERROR(VLOOKUP(Trabajos!$E349,Clientes,2,FALSE),"")</f>
        <v>Alfredo Hitce</v>
      </c>
      <c r="G349" s="91" t="s">
        <v>504</v>
      </c>
      <c r="H349" s="119">
        <v>59</v>
      </c>
      <c r="I349" s="29">
        <v>1488</v>
      </c>
      <c r="J349" s="19">
        <f t="shared" si="11"/>
        <v>87792</v>
      </c>
      <c r="K349" s="26">
        <v>1</v>
      </c>
      <c r="L349" s="19" t="str">
        <f>IFERROR(VLOOKUP(K349,Referencias!$H$7:$I$9,2,FALSE),"")</f>
        <v>Tomas</v>
      </c>
      <c r="M349" s="143">
        <v>90</v>
      </c>
      <c r="N349" s="152">
        <v>850</v>
      </c>
      <c r="O349" s="20">
        <f t="shared" si="12"/>
        <v>76500</v>
      </c>
      <c r="P349" s="21">
        <f t="shared" si="9"/>
        <v>164292</v>
      </c>
      <c r="R349" s="112">
        <v>0</v>
      </c>
      <c r="S349" s="112">
        <v>0</v>
      </c>
      <c r="T349" s="113">
        <f t="shared" si="10"/>
        <v>59</v>
      </c>
      <c r="U349" s="132"/>
    </row>
    <row r="350" spans="2:21" x14ac:dyDescent="0.25">
      <c r="B350" s="23">
        <v>46196</v>
      </c>
      <c r="C350" s="91">
        <v>1</v>
      </c>
      <c r="D350" s="18" t="str">
        <f>IFERROR(VLOOKUP(Trabajos!C350,Referencias!$E$7:$F$30,2,FALSE),"")</f>
        <v>Muestreo de suelos</v>
      </c>
      <c r="E350" s="91">
        <v>50</v>
      </c>
      <c r="F350" s="18" t="str">
        <f>IFERROR(VLOOKUP(Trabajos!$E350,Clientes,2,FALSE),"")</f>
        <v>Mackrey Agropecuaria</v>
      </c>
      <c r="G350" s="91" t="s">
        <v>265</v>
      </c>
      <c r="H350" s="119">
        <v>62</v>
      </c>
      <c r="I350" s="152">
        <v>1488</v>
      </c>
      <c r="J350" s="19">
        <f t="shared" si="11"/>
        <v>92256</v>
      </c>
      <c r="K350" s="26">
        <v>1</v>
      </c>
      <c r="L350" s="19" t="str">
        <f>IFERROR(VLOOKUP(K350,Referencias!$H$7:$I$9,2,FALSE),"")</f>
        <v>Tomas</v>
      </c>
      <c r="M350" s="143">
        <v>28</v>
      </c>
      <c r="N350" s="152">
        <v>850</v>
      </c>
      <c r="O350" s="20">
        <f t="shared" si="12"/>
        <v>23800</v>
      </c>
      <c r="P350" s="21">
        <f t="shared" si="9"/>
        <v>116056</v>
      </c>
      <c r="R350" s="112">
        <v>0</v>
      </c>
      <c r="S350" s="112">
        <v>0</v>
      </c>
      <c r="T350" s="113">
        <f t="shared" si="10"/>
        <v>62</v>
      </c>
      <c r="U350" s="132"/>
    </row>
    <row r="351" spans="2:21" x14ac:dyDescent="0.25">
      <c r="B351" s="23">
        <v>46204</v>
      </c>
      <c r="C351" s="91">
        <v>1</v>
      </c>
      <c r="D351" s="18" t="str">
        <f>IFERROR(VLOOKUP(Trabajos!C351,Referencias!$E$7:$F$30,2,FALSE),"")</f>
        <v>Muestreo de suelos</v>
      </c>
      <c r="E351" s="91">
        <v>33</v>
      </c>
      <c r="F351" s="18" t="str">
        <f>IFERROR(VLOOKUP(Trabajos!$E351,Clientes,2,FALSE),"")</f>
        <v>Espartina S.A.</v>
      </c>
      <c r="G351" s="91" t="s">
        <v>295</v>
      </c>
      <c r="H351" s="142">
        <v>80</v>
      </c>
      <c r="I351" s="152">
        <v>930</v>
      </c>
      <c r="J351" s="19">
        <f t="shared" si="11"/>
        <v>74400</v>
      </c>
      <c r="K351" s="26">
        <v>1</v>
      </c>
      <c r="L351" s="19" t="str">
        <f>IFERROR(VLOOKUP(K351,Referencias!$H$7:$I$9,2,FALSE),"")</f>
        <v>Tomas</v>
      </c>
      <c r="M351" s="143">
        <v>208</v>
      </c>
      <c r="N351" s="152">
        <v>711.6</v>
      </c>
      <c r="O351" s="20">
        <f t="shared" si="12"/>
        <v>148012.80000000002</v>
      </c>
      <c r="P351" s="21">
        <f t="shared" si="9"/>
        <v>222412.80000000002</v>
      </c>
      <c r="R351" s="112">
        <v>0</v>
      </c>
      <c r="S351" s="112">
        <v>80</v>
      </c>
      <c r="T351" s="113">
        <f t="shared" si="10"/>
        <v>0</v>
      </c>
      <c r="U351" s="132"/>
    </row>
    <row r="352" spans="2:21" x14ac:dyDescent="0.25">
      <c r="B352" s="23">
        <v>46204</v>
      </c>
      <c r="C352" s="91">
        <v>1</v>
      </c>
      <c r="D352" s="18" t="str">
        <f>IFERROR(VLOOKUP(Trabajos!C352,Referencias!$E$7:$F$30,2,FALSE),"")</f>
        <v>Muestreo de suelos</v>
      </c>
      <c r="E352" s="91">
        <v>33</v>
      </c>
      <c r="F352" s="18" t="str">
        <f>IFERROR(VLOOKUP(Trabajos!$E352,Clientes,2,FALSE),"")</f>
        <v>Espartina S.A.</v>
      </c>
      <c r="G352" s="91" t="s">
        <v>256</v>
      </c>
      <c r="H352" s="142">
        <v>80</v>
      </c>
      <c r="I352" s="152">
        <v>930</v>
      </c>
      <c r="J352" s="19">
        <f t="shared" si="11"/>
        <v>74400</v>
      </c>
      <c r="K352" s="26">
        <v>1</v>
      </c>
      <c r="L352" s="19" t="str">
        <f>IFERROR(VLOOKUP(K352,Referencias!$H$7:$I$9,2,FALSE),"")</f>
        <v>Tomas</v>
      </c>
      <c r="M352" s="143">
        <v>0</v>
      </c>
      <c r="N352" s="152">
        <v>711.6</v>
      </c>
      <c r="O352" s="20">
        <f t="shared" si="12"/>
        <v>0</v>
      </c>
      <c r="P352" s="21">
        <f t="shared" si="9"/>
        <v>74400</v>
      </c>
      <c r="R352" s="112">
        <v>0</v>
      </c>
      <c r="S352" s="112">
        <v>0</v>
      </c>
      <c r="T352" s="113">
        <f t="shared" si="10"/>
        <v>80</v>
      </c>
      <c r="U352" s="132"/>
    </row>
    <row r="353" spans="2:21" x14ac:dyDescent="0.25">
      <c r="B353" s="23">
        <v>46204</v>
      </c>
      <c r="C353" s="91">
        <v>1</v>
      </c>
      <c r="D353" s="18" t="str">
        <f>IFERROR(VLOOKUP(Trabajos!C353,Referencias!$E$7:$F$30,2,FALSE),"")</f>
        <v>Muestreo de suelos</v>
      </c>
      <c r="E353" s="91">
        <v>33</v>
      </c>
      <c r="F353" s="18" t="str">
        <f>IFERROR(VLOOKUP(Trabajos!$E353,Clientes,2,FALSE),"")</f>
        <v>Espartina S.A.</v>
      </c>
      <c r="G353" s="91" t="s">
        <v>512</v>
      </c>
      <c r="H353" s="142">
        <v>80</v>
      </c>
      <c r="I353" s="152">
        <v>930</v>
      </c>
      <c r="J353" s="19">
        <f t="shared" si="11"/>
        <v>74400</v>
      </c>
      <c r="K353" s="26">
        <v>1</v>
      </c>
      <c r="L353" s="19" t="str">
        <f>IFERROR(VLOOKUP(K353,Referencias!$H$7:$I$9,2,FALSE),"")</f>
        <v>Tomas</v>
      </c>
      <c r="M353" s="143">
        <v>0</v>
      </c>
      <c r="N353" s="152">
        <v>711.6</v>
      </c>
      <c r="O353" s="20">
        <f t="shared" si="12"/>
        <v>0</v>
      </c>
      <c r="P353" s="21">
        <f t="shared" si="9"/>
        <v>74400</v>
      </c>
      <c r="R353" s="112">
        <v>0</v>
      </c>
      <c r="S353" s="112">
        <v>0</v>
      </c>
      <c r="T353" s="113">
        <f t="shared" si="10"/>
        <v>80</v>
      </c>
      <c r="U353" s="132"/>
    </row>
    <row r="354" spans="2:21" x14ac:dyDescent="0.25">
      <c r="B354" s="23">
        <v>46204</v>
      </c>
      <c r="C354" s="91">
        <v>1</v>
      </c>
      <c r="D354" s="18" t="str">
        <f>IFERROR(VLOOKUP(Trabajos!C354,Referencias!$E$7:$F$30,2,FALSE),"")</f>
        <v>Muestreo de suelos</v>
      </c>
      <c r="E354" s="91">
        <v>33</v>
      </c>
      <c r="F354" s="18" t="str">
        <f>IFERROR(VLOOKUP(Trabajos!$E354,Clientes,2,FALSE),"")</f>
        <v>Espartina S.A.</v>
      </c>
      <c r="G354" s="91" t="s">
        <v>255</v>
      </c>
      <c r="H354" s="142">
        <v>80</v>
      </c>
      <c r="I354" s="152">
        <v>930</v>
      </c>
      <c r="J354" s="19">
        <f t="shared" si="11"/>
        <v>74400</v>
      </c>
      <c r="K354" s="26">
        <v>1</v>
      </c>
      <c r="L354" s="19" t="str">
        <f>IFERROR(VLOOKUP(K354,Referencias!$H$7:$I$9,2,FALSE),"")</f>
        <v>Tomas</v>
      </c>
      <c r="M354" s="143">
        <v>112</v>
      </c>
      <c r="N354" s="152">
        <v>711.6</v>
      </c>
      <c r="O354" s="20">
        <f t="shared" si="12"/>
        <v>79699.199999999997</v>
      </c>
      <c r="P354" s="21">
        <f t="shared" si="9"/>
        <v>154099.20000000001</v>
      </c>
      <c r="R354" s="112">
        <v>0</v>
      </c>
      <c r="S354" s="112">
        <v>0</v>
      </c>
      <c r="T354" s="113">
        <f t="shared" si="10"/>
        <v>80</v>
      </c>
      <c r="U354" s="132"/>
    </row>
    <row r="355" spans="2:21" x14ac:dyDescent="0.25">
      <c r="B355" s="23">
        <v>46205</v>
      </c>
      <c r="C355" s="91">
        <v>1</v>
      </c>
      <c r="D355" s="18" t="str">
        <f>IFERROR(VLOOKUP(Trabajos!C355,Referencias!$E$7:$F$30,2,FALSE),"")</f>
        <v>Muestreo de suelos</v>
      </c>
      <c r="E355" s="91">
        <v>33</v>
      </c>
      <c r="F355" s="18" t="str">
        <f>IFERROR(VLOOKUP(Trabajos!$E355,Clientes,2,FALSE),"")</f>
        <v>Espartina S.A.</v>
      </c>
      <c r="G355" s="91" t="s">
        <v>234</v>
      </c>
      <c r="H355" s="142">
        <v>80</v>
      </c>
      <c r="I355" s="152">
        <v>930</v>
      </c>
      <c r="J355" s="19">
        <f t="shared" si="11"/>
        <v>74400</v>
      </c>
      <c r="K355" s="26">
        <v>1</v>
      </c>
      <c r="L355" s="19" t="str">
        <f>IFERROR(VLOOKUP(K355,Referencias!$H$7:$I$9,2,FALSE),"")</f>
        <v>Tomas</v>
      </c>
      <c r="M355" s="143">
        <v>220</v>
      </c>
      <c r="N355" s="152">
        <v>711.6</v>
      </c>
      <c r="O355" s="20">
        <f t="shared" si="12"/>
        <v>156552</v>
      </c>
      <c r="P355" s="21">
        <f t="shared" si="9"/>
        <v>230952</v>
      </c>
      <c r="R355" s="112">
        <v>0</v>
      </c>
      <c r="S355" s="112">
        <v>80</v>
      </c>
      <c r="T355" s="113">
        <f t="shared" si="10"/>
        <v>0</v>
      </c>
      <c r="U355" s="132"/>
    </row>
    <row r="356" spans="2:21" x14ac:dyDescent="0.25">
      <c r="B356" s="23">
        <v>46205</v>
      </c>
      <c r="C356" s="91">
        <v>1</v>
      </c>
      <c r="D356" s="18" t="str">
        <f>IFERROR(VLOOKUP(Trabajos!C356,Referencias!$E$7:$F$30,2,FALSE),"")</f>
        <v>Muestreo de suelos</v>
      </c>
      <c r="E356" s="91">
        <v>33</v>
      </c>
      <c r="F356" s="18" t="str">
        <f>IFERROR(VLOOKUP(Trabajos!$E356,Clientes,2,FALSE),"")</f>
        <v>Espartina S.A.</v>
      </c>
      <c r="G356" s="91" t="s">
        <v>247</v>
      </c>
      <c r="H356" s="142">
        <v>80</v>
      </c>
      <c r="I356" s="152">
        <v>930</v>
      </c>
      <c r="J356" s="19">
        <f t="shared" si="11"/>
        <v>74400</v>
      </c>
      <c r="K356" s="26">
        <v>1</v>
      </c>
      <c r="L356" s="19" t="str">
        <f>IFERROR(VLOOKUP(K356,Referencias!$H$7:$I$9,2,FALSE),"")</f>
        <v>Tomas</v>
      </c>
      <c r="M356" s="143">
        <v>0</v>
      </c>
      <c r="N356" s="152">
        <v>711.6</v>
      </c>
      <c r="O356" s="20">
        <f t="shared" si="12"/>
        <v>0</v>
      </c>
      <c r="P356" s="21">
        <f t="shared" si="9"/>
        <v>74400</v>
      </c>
      <c r="R356" s="112">
        <v>0</v>
      </c>
      <c r="S356" s="112">
        <v>0</v>
      </c>
      <c r="T356" s="113">
        <f t="shared" si="10"/>
        <v>80</v>
      </c>
      <c r="U356" s="132"/>
    </row>
    <row r="357" spans="2:21" x14ac:dyDescent="0.25">
      <c r="B357" s="23">
        <v>46205</v>
      </c>
      <c r="C357" s="91">
        <v>1</v>
      </c>
      <c r="D357" s="18" t="str">
        <f>IFERROR(VLOOKUP(Trabajos!C357,Referencias!$E$7:$F$30,2,FALSE),"")</f>
        <v>Muestreo de suelos</v>
      </c>
      <c r="E357" s="91">
        <v>33</v>
      </c>
      <c r="F357" s="18" t="str">
        <f>IFERROR(VLOOKUP(Trabajos!$E357,Clientes,2,FALSE),"")</f>
        <v>Espartina S.A.</v>
      </c>
      <c r="G357" s="91" t="s">
        <v>326</v>
      </c>
      <c r="H357" s="142">
        <v>80</v>
      </c>
      <c r="I357" s="152">
        <v>930</v>
      </c>
      <c r="J357" s="19">
        <f t="shared" si="11"/>
        <v>74400</v>
      </c>
      <c r="K357" s="26">
        <v>1</v>
      </c>
      <c r="L357" s="19" t="str">
        <f>IFERROR(VLOOKUP(K357,Referencias!$H$7:$I$9,2,FALSE),"")</f>
        <v>Tomas</v>
      </c>
      <c r="M357" s="143">
        <v>0</v>
      </c>
      <c r="N357" s="152">
        <v>711.6</v>
      </c>
      <c r="O357" s="20">
        <f t="shared" si="12"/>
        <v>0</v>
      </c>
      <c r="P357" s="21">
        <f t="shared" si="9"/>
        <v>74400</v>
      </c>
      <c r="R357" s="112">
        <v>0</v>
      </c>
      <c r="S357" s="112">
        <v>0</v>
      </c>
      <c r="T357" s="113">
        <f t="shared" si="10"/>
        <v>80</v>
      </c>
      <c r="U357" s="132"/>
    </row>
    <row r="358" spans="2:21" x14ac:dyDescent="0.25">
      <c r="B358" s="23">
        <v>46205</v>
      </c>
      <c r="C358" s="91">
        <v>1</v>
      </c>
      <c r="D358" s="18" t="str">
        <f>IFERROR(VLOOKUP(Trabajos!C358,Referencias!$E$7:$F$30,2,FALSE),"")</f>
        <v>Muestreo de suelos</v>
      </c>
      <c r="E358" s="91">
        <v>33</v>
      </c>
      <c r="F358" s="18" t="str">
        <f>IFERROR(VLOOKUP(Trabajos!$E358,Clientes,2,FALSE),"")</f>
        <v>Espartina S.A.</v>
      </c>
      <c r="G358" s="91" t="s">
        <v>233</v>
      </c>
      <c r="H358" s="142">
        <v>80</v>
      </c>
      <c r="I358" s="152">
        <v>930</v>
      </c>
      <c r="J358" s="19">
        <f t="shared" si="11"/>
        <v>74400</v>
      </c>
      <c r="K358" s="26">
        <v>1</v>
      </c>
      <c r="L358" s="19" t="str">
        <f>IFERROR(VLOOKUP(K358,Referencias!$H$7:$I$9,2,FALSE),"")</f>
        <v>Tomas</v>
      </c>
      <c r="M358" s="143">
        <v>0</v>
      </c>
      <c r="N358" s="152">
        <v>711.6</v>
      </c>
      <c r="O358" s="20">
        <f t="shared" si="12"/>
        <v>0</v>
      </c>
      <c r="P358" s="21">
        <f t="shared" si="9"/>
        <v>74400</v>
      </c>
      <c r="R358" s="112">
        <v>0</v>
      </c>
      <c r="S358" s="112">
        <v>0</v>
      </c>
      <c r="T358" s="113">
        <f t="shared" si="10"/>
        <v>80</v>
      </c>
      <c r="U358" s="132"/>
    </row>
    <row r="359" spans="2:21" x14ac:dyDescent="0.25">
      <c r="B359" s="23">
        <v>46206</v>
      </c>
      <c r="C359" s="91">
        <v>1</v>
      </c>
      <c r="D359" s="18" t="str">
        <f>IFERROR(VLOOKUP(Trabajos!C359,Referencias!$E$7:$F$30,2,FALSE),"")</f>
        <v>Muestreo de suelos</v>
      </c>
      <c r="E359" s="91">
        <v>31</v>
      </c>
      <c r="F359" s="18" t="str">
        <f>IFERROR(VLOOKUP(Trabajos!$E359,Clientes,2,FALSE),"")</f>
        <v>La Gloriosa S.A.</v>
      </c>
      <c r="G359" s="91" t="s">
        <v>460</v>
      </c>
      <c r="H359" s="119">
        <v>494</v>
      </c>
      <c r="I359" s="29">
        <v>1785.6</v>
      </c>
      <c r="J359" s="19">
        <f t="shared" si="11"/>
        <v>882086.39999999991</v>
      </c>
      <c r="K359" s="26">
        <v>1</v>
      </c>
      <c r="L359" s="19" t="str">
        <f>IFERROR(VLOOKUP(K359,Referencias!$H$7:$I$9,2,FALSE),"")</f>
        <v>Tomas</v>
      </c>
      <c r="M359" s="143">
        <v>184</v>
      </c>
      <c r="N359" s="152">
        <v>850</v>
      </c>
      <c r="O359" s="20">
        <f t="shared" si="12"/>
        <v>156400</v>
      </c>
      <c r="P359" s="21">
        <f t="shared" si="9"/>
        <v>1038486.3999999999</v>
      </c>
      <c r="R359" s="112">
        <v>0</v>
      </c>
      <c r="S359" s="112">
        <v>80</v>
      </c>
      <c r="T359" s="113">
        <f t="shared" si="10"/>
        <v>414</v>
      </c>
      <c r="U359" s="132"/>
    </row>
    <row r="360" spans="2:21" x14ac:dyDescent="0.25">
      <c r="B360" s="23">
        <v>46212</v>
      </c>
      <c r="C360" s="91">
        <v>1</v>
      </c>
      <c r="D360" s="18" t="str">
        <f>IFERROR(VLOOKUP(Trabajos!C360,Referencias!$E$7:$F$30,2,FALSE),"")</f>
        <v>Muestreo de suelos</v>
      </c>
      <c r="E360" s="91">
        <v>33</v>
      </c>
      <c r="F360" s="18" t="str">
        <f>IFERROR(VLOOKUP(Trabajos!$E360,Clientes,2,FALSE),"")</f>
        <v>Espartina S.A.</v>
      </c>
      <c r="G360" s="91" t="s">
        <v>269</v>
      </c>
      <c r="H360" s="142">
        <v>80</v>
      </c>
      <c r="I360" s="152">
        <v>930</v>
      </c>
      <c r="J360" s="19">
        <f t="shared" si="11"/>
        <v>74400</v>
      </c>
      <c r="K360" s="26">
        <v>1</v>
      </c>
      <c r="L360" s="19" t="str">
        <f>IFERROR(VLOOKUP(K360,Referencias!$H$7:$I$9,2,FALSE),"")</f>
        <v>Tomas</v>
      </c>
      <c r="M360" s="143">
        <v>100</v>
      </c>
      <c r="N360" s="152">
        <v>711.6</v>
      </c>
      <c r="O360" s="20">
        <f t="shared" si="12"/>
        <v>71160</v>
      </c>
      <c r="P360" s="21">
        <f t="shared" si="9"/>
        <v>145560</v>
      </c>
      <c r="R360" s="112">
        <v>0</v>
      </c>
      <c r="S360" s="112">
        <v>80</v>
      </c>
      <c r="T360" s="113">
        <f t="shared" si="10"/>
        <v>0</v>
      </c>
      <c r="U360" s="132"/>
    </row>
    <row r="361" spans="2:21" x14ac:dyDescent="0.25">
      <c r="B361" s="23">
        <v>46212</v>
      </c>
      <c r="C361" s="91">
        <v>1</v>
      </c>
      <c r="D361" s="18" t="str">
        <f>IFERROR(VLOOKUP(Trabajos!C361,Referencias!$E$7:$F$30,2,FALSE),"")</f>
        <v>Muestreo de suelos</v>
      </c>
      <c r="E361" s="91">
        <v>33</v>
      </c>
      <c r="F361" s="18" t="str">
        <f>IFERROR(VLOOKUP(Trabajos!$E361,Clientes,2,FALSE),"")</f>
        <v>Espartina S.A.</v>
      </c>
      <c r="G361" s="91" t="s">
        <v>516</v>
      </c>
      <c r="H361" s="142">
        <v>80</v>
      </c>
      <c r="I361" s="152">
        <v>930</v>
      </c>
      <c r="J361" s="19">
        <f t="shared" si="11"/>
        <v>74400</v>
      </c>
      <c r="K361" s="26">
        <v>1</v>
      </c>
      <c r="L361" s="19" t="str">
        <f>IFERROR(VLOOKUP(K361,Referencias!$H$7:$I$9,2,FALSE),"")</f>
        <v>Tomas</v>
      </c>
      <c r="M361" s="143">
        <v>0</v>
      </c>
      <c r="N361" s="152">
        <v>711.6</v>
      </c>
      <c r="O361" s="20">
        <f t="shared" si="12"/>
        <v>0</v>
      </c>
      <c r="P361" s="21">
        <f t="shared" si="9"/>
        <v>74400</v>
      </c>
      <c r="R361" s="112">
        <v>0</v>
      </c>
      <c r="S361" s="112">
        <v>0</v>
      </c>
      <c r="T361" s="113">
        <f t="shared" si="10"/>
        <v>80</v>
      </c>
      <c r="U361" s="132"/>
    </row>
    <row r="362" spans="2:21" x14ac:dyDescent="0.25">
      <c r="B362" s="23">
        <v>46212</v>
      </c>
      <c r="C362" s="91">
        <v>1</v>
      </c>
      <c r="D362" s="18" t="str">
        <f>IFERROR(VLOOKUP(Trabajos!C362,Referencias!$E$7:$F$30,2,FALSE),"")</f>
        <v>Muestreo de suelos</v>
      </c>
      <c r="E362" s="91">
        <v>33</v>
      </c>
      <c r="F362" s="18" t="str">
        <f>IFERROR(VLOOKUP(Trabajos!$E362,Clientes,2,FALSE),"")</f>
        <v>Espartina S.A.</v>
      </c>
      <c r="G362" s="91" t="s">
        <v>292</v>
      </c>
      <c r="H362" s="142">
        <v>80</v>
      </c>
      <c r="I362" s="152">
        <v>930</v>
      </c>
      <c r="J362" s="19">
        <f t="shared" si="11"/>
        <v>74400</v>
      </c>
      <c r="K362" s="26">
        <v>1</v>
      </c>
      <c r="L362" s="19" t="str">
        <f>IFERROR(VLOOKUP(K362,Referencias!$H$7:$I$9,2,FALSE),"")</f>
        <v>Tomas</v>
      </c>
      <c r="M362" s="143">
        <v>0</v>
      </c>
      <c r="N362" s="152">
        <v>711.6</v>
      </c>
      <c r="O362" s="20">
        <f t="shared" si="12"/>
        <v>0</v>
      </c>
      <c r="P362" s="21">
        <f t="shared" si="9"/>
        <v>74400</v>
      </c>
      <c r="R362" s="112">
        <v>0</v>
      </c>
      <c r="S362" s="112">
        <v>0</v>
      </c>
      <c r="T362" s="113">
        <f t="shared" si="10"/>
        <v>80</v>
      </c>
      <c r="U362" s="132"/>
    </row>
    <row r="363" spans="2:21" x14ac:dyDescent="0.25">
      <c r="B363" s="23">
        <v>46213</v>
      </c>
      <c r="C363" s="91">
        <v>1</v>
      </c>
      <c r="D363" s="18" t="str">
        <f>IFERROR(VLOOKUP(Trabajos!C363,Referencias!$E$7:$F$30,2,FALSE),"")</f>
        <v>Muestreo de suelos</v>
      </c>
      <c r="E363" s="91">
        <v>132</v>
      </c>
      <c r="F363" s="18" t="str">
        <f>IFERROR(VLOOKUP(Trabajos!$E363,Clientes,2,FALSE),"")</f>
        <v>Tres Mil Tres S.A.</v>
      </c>
      <c r="G363" s="91" t="s">
        <v>517</v>
      </c>
      <c r="H363" s="119">
        <v>225</v>
      </c>
      <c r="I363" s="29">
        <v>1482</v>
      </c>
      <c r="J363" s="19">
        <f t="shared" si="11"/>
        <v>333450</v>
      </c>
      <c r="K363" s="26">
        <v>1</v>
      </c>
      <c r="L363" s="19" t="str">
        <f>IFERROR(VLOOKUP(K363,Referencias!$H$7:$I$9,2,FALSE),"")</f>
        <v>Tomas</v>
      </c>
      <c r="M363" s="120">
        <v>31</v>
      </c>
      <c r="N363" s="29">
        <v>850</v>
      </c>
      <c r="O363" s="20">
        <f t="shared" si="12"/>
        <v>26350</v>
      </c>
      <c r="P363" s="21">
        <f t="shared" si="9"/>
        <v>359800</v>
      </c>
      <c r="R363" s="112">
        <v>0</v>
      </c>
      <c r="S363" s="112">
        <v>80</v>
      </c>
      <c r="T363" s="113">
        <f t="shared" si="10"/>
        <v>145</v>
      </c>
      <c r="U363" s="132"/>
    </row>
    <row r="364" spans="2:21" x14ac:dyDescent="0.25">
      <c r="B364" s="23">
        <v>46225</v>
      </c>
      <c r="C364" s="91">
        <v>8</v>
      </c>
      <c r="D364" s="18" t="str">
        <f>IFERROR(VLOOKUP(Trabajos!C364,Referencias!$E$7:$F$30,2,FALSE),"")</f>
        <v>Seguimiento NDVI</v>
      </c>
      <c r="E364" s="91">
        <v>82</v>
      </c>
      <c r="F364" s="18" t="str">
        <f>IFERROR(VLOOKUP(Trabajos!$E364,Clientes,2,FALSE),"")</f>
        <v>Cristian Rybner</v>
      </c>
      <c r="G364" s="91" t="s">
        <v>496</v>
      </c>
      <c r="H364" s="119">
        <v>650</v>
      </c>
      <c r="I364" s="29">
        <v>729.19</v>
      </c>
      <c r="J364" s="19">
        <f t="shared" si="11"/>
        <v>473973.50000000006</v>
      </c>
      <c r="K364" s="26">
        <v>3</v>
      </c>
      <c r="L364" s="19" t="str">
        <f>IFERROR(VLOOKUP(K364,Referencias!$H$7:$I$9,2,FALSE),"")</f>
        <v>Zoom</v>
      </c>
      <c r="M364" s="120">
        <v>0</v>
      </c>
      <c r="N364" s="29">
        <v>850</v>
      </c>
      <c r="O364" s="20">
        <f t="shared" si="12"/>
        <v>0</v>
      </c>
      <c r="P364" s="21">
        <f t="shared" si="9"/>
        <v>473973.50000000006</v>
      </c>
      <c r="R364" s="112">
        <v>0</v>
      </c>
      <c r="S364" s="112">
        <v>0</v>
      </c>
      <c r="T364" s="113">
        <v>0</v>
      </c>
      <c r="U364" s="132"/>
    </row>
    <row r="365" spans="2:21" x14ac:dyDescent="0.25">
      <c r="B365" s="23">
        <v>46225</v>
      </c>
      <c r="C365" s="91">
        <v>1</v>
      </c>
      <c r="D365" s="18" t="str">
        <f>IFERROR(VLOOKUP(Trabajos!C365,Referencias!$E$7:$F$30,2,FALSE),"")</f>
        <v>Muestreo de suelos</v>
      </c>
      <c r="E365" s="91">
        <v>33</v>
      </c>
      <c r="F365" s="18" t="str">
        <f>IFERROR(VLOOKUP(Trabajos!$E365,Clientes,2,FALSE),"")</f>
        <v>Espartina S.A.</v>
      </c>
      <c r="G365" s="91" t="s">
        <v>520</v>
      </c>
      <c r="H365" s="119">
        <v>80</v>
      </c>
      <c r="I365" s="235">
        <v>0</v>
      </c>
      <c r="J365" s="19">
        <f t="shared" si="11"/>
        <v>0</v>
      </c>
      <c r="K365" s="26">
        <v>1</v>
      </c>
      <c r="L365" s="19" t="str">
        <f>IFERROR(VLOOKUP(K365,Referencias!$H$7:$I$9,2,FALSE),"")</f>
        <v>Tomas</v>
      </c>
      <c r="M365" s="120">
        <v>180</v>
      </c>
      <c r="N365" s="29">
        <v>716.7</v>
      </c>
      <c r="O365" s="20">
        <f t="shared" si="12"/>
        <v>129006.00000000001</v>
      </c>
      <c r="P365" s="21">
        <f t="shared" si="9"/>
        <v>129006.00000000001</v>
      </c>
      <c r="R365" s="112">
        <v>0</v>
      </c>
      <c r="S365" s="112">
        <v>80</v>
      </c>
      <c r="T365" s="113">
        <f t="shared" si="10"/>
        <v>0</v>
      </c>
      <c r="U365" s="132"/>
    </row>
    <row r="366" spans="2:21" x14ac:dyDescent="0.25">
      <c r="B366" s="23">
        <v>46226</v>
      </c>
      <c r="C366" s="91">
        <v>1</v>
      </c>
      <c r="D366" s="18" t="str">
        <f>IFERROR(VLOOKUP(Trabajos!C366,Referencias!$E$7:$F$30,2,FALSE),"")</f>
        <v>Muestreo de suelos</v>
      </c>
      <c r="E366" s="91">
        <v>33</v>
      </c>
      <c r="F366" s="18" t="str">
        <f>IFERROR(VLOOKUP(Trabajos!$E366,Clientes,2,FALSE),"")</f>
        <v>Espartina S.A.</v>
      </c>
      <c r="G366" s="91" t="s">
        <v>264</v>
      </c>
      <c r="H366" s="119">
        <v>80</v>
      </c>
      <c r="I366" s="235">
        <v>0</v>
      </c>
      <c r="J366" s="19">
        <f t="shared" si="11"/>
        <v>0</v>
      </c>
      <c r="K366" s="26">
        <v>1</v>
      </c>
      <c r="L366" s="19" t="str">
        <f>IFERROR(VLOOKUP(K366,Referencias!$H$7:$I$9,2,FALSE),"")</f>
        <v>Tomas</v>
      </c>
      <c r="M366" s="120">
        <v>260</v>
      </c>
      <c r="N366" s="29">
        <v>716.7</v>
      </c>
      <c r="O366" s="20">
        <f t="shared" si="12"/>
        <v>186342</v>
      </c>
      <c r="P366" s="21">
        <f t="shared" si="9"/>
        <v>186342</v>
      </c>
      <c r="R366" s="112">
        <v>0</v>
      </c>
      <c r="S366" s="112">
        <v>0</v>
      </c>
      <c r="T366" s="113">
        <f t="shared" si="10"/>
        <v>80</v>
      </c>
      <c r="U366" s="132"/>
    </row>
    <row r="367" spans="2:21" x14ac:dyDescent="0.25">
      <c r="B367" s="23">
        <v>46226</v>
      </c>
      <c r="C367" s="91">
        <v>1</v>
      </c>
      <c r="D367" s="18" t="str">
        <f>IFERROR(VLOOKUP(Trabajos!C367,Referencias!$E$7:$F$30,2,FALSE),"")</f>
        <v>Muestreo de suelos</v>
      </c>
      <c r="E367" s="91">
        <v>33</v>
      </c>
      <c r="F367" s="18" t="str">
        <f>IFERROR(VLOOKUP(Trabajos!$E367,Clientes,2,FALSE),"")</f>
        <v>Espartina S.A.</v>
      </c>
      <c r="G367" s="91" t="s">
        <v>290</v>
      </c>
      <c r="H367" s="119">
        <v>80</v>
      </c>
      <c r="I367" s="235">
        <v>0</v>
      </c>
      <c r="J367" s="19">
        <f t="shared" si="11"/>
        <v>0</v>
      </c>
      <c r="K367" s="26">
        <v>1</v>
      </c>
      <c r="L367" s="19" t="str">
        <f>IFERROR(VLOOKUP(K367,Referencias!$H$7:$I$9,2,FALSE),"")</f>
        <v>Tomas</v>
      </c>
      <c r="M367" s="120">
        <v>0</v>
      </c>
      <c r="N367" s="29">
        <v>716.7</v>
      </c>
      <c r="O367" s="20">
        <f t="shared" si="12"/>
        <v>0</v>
      </c>
      <c r="P367" s="21">
        <f t="shared" si="9"/>
        <v>0</v>
      </c>
      <c r="R367" s="112">
        <v>0</v>
      </c>
      <c r="S367" s="112">
        <v>0</v>
      </c>
      <c r="T367" s="113">
        <f t="shared" si="10"/>
        <v>80</v>
      </c>
      <c r="U367" s="132"/>
    </row>
    <row r="368" spans="2:21" x14ac:dyDescent="0.25">
      <c r="B368" s="23"/>
      <c r="C368" s="91"/>
      <c r="D368" s="18" t="str">
        <f>IFERROR(VLOOKUP(Trabajos!C368,Referencias!$E$7:$F$30,2,FALSE),"")</f>
        <v/>
      </c>
      <c r="E368" s="91"/>
      <c r="F368" s="18" t="str">
        <f>IFERROR(VLOOKUP(Trabajos!$E368,Clientes,2,FALSE),"")</f>
        <v/>
      </c>
      <c r="G368" s="91"/>
      <c r="H368" s="119"/>
      <c r="I368" s="29"/>
      <c r="J368" s="19" t="str">
        <f t="shared" si="11"/>
        <v/>
      </c>
      <c r="K368" s="26"/>
      <c r="L368" s="19" t="str">
        <f>IFERROR(VLOOKUP(K368,Referencias!$H$7:$I$9,2,FALSE),"")</f>
        <v/>
      </c>
      <c r="M368" s="120"/>
      <c r="N368" s="29"/>
      <c r="O368" s="20" t="str">
        <f t="shared" si="12"/>
        <v/>
      </c>
      <c r="P368" s="21" t="str">
        <f t="shared" si="9"/>
        <v/>
      </c>
      <c r="R368" s="112"/>
      <c r="S368" s="112"/>
      <c r="T368" s="113"/>
      <c r="U368" s="132"/>
    </row>
    <row r="369" spans="2:21" x14ac:dyDescent="0.25">
      <c r="B369" s="23"/>
      <c r="C369" s="91"/>
      <c r="D369" s="18" t="str">
        <f>IFERROR(VLOOKUP(Trabajos!C369,Referencias!$E$7:$F$30,2,FALSE),"")</f>
        <v/>
      </c>
      <c r="E369" s="91"/>
      <c r="F369" s="18" t="str">
        <f>IFERROR(VLOOKUP(Trabajos!$E369,Clientes,2,FALSE),"")</f>
        <v/>
      </c>
      <c r="G369" s="91"/>
      <c r="H369" s="119"/>
      <c r="I369" s="29"/>
      <c r="J369" s="19" t="str">
        <f t="shared" si="11"/>
        <v/>
      </c>
      <c r="K369" s="26"/>
      <c r="L369" s="19" t="str">
        <f>IFERROR(VLOOKUP(K369,Referencias!$H$7:$I$9,2,FALSE),"")</f>
        <v/>
      </c>
      <c r="M369" s="120"/>
      <c r="N369" s="29"/>
      <c r="O369" s="20" t="str">
        <f t="shared" si="12"/>
        <v/>
      </c>
      <c r="P369" s="21" t="str">
        <f t="shared" si="9"/>
        <v/>
      </c>
      <c r="R369" s="112"/>
      <c r="S369" s="112"/>
      <c r="T369" s="113"/>
      <c r="U369" s="132"/>
    </row>
    <row r="370" spans="2:21" x14ac:dyDescent="0.25">
      <c r="B370" s="23"/>
      <c r="C370" s="91"/>
      <c r="D370" s="18" t="str">
        <f>IFERROR(VLOOKUP(Trabajos!C370,Referencias!$E$7:$F$30,2,FALSE),"")</f>
        <v/>
      </c>
      <c r="E370" s="91"/>
      <c r="F370" s="18" t="str">
        <f>IFERROR(VLOOKUP(Trabajos!$E370,Clientes,2,FALSE),"")</f>
        <v/>
      </c>
      <c r="G370" s="91"/>
      <c r="H370" s="119"/>
      <c r="I370" s="29"/>
      <c r="J370" s="19" t="str">
        <f t="shared" si="11"/>
        <v/>
      </c>
      <c r="K370" s="26"/>
      <c r="L370" s="19" t="str">
        <f>IFERROR(VLOOKUP(K370,Referencias!$H$7:$I$9,2,FALSE),"")</f>
        <v/>
      </c>
      <c r="M370" s="120"/>
      <c r="N370" s="29"/>
      <c r="O370" s="20" t="str">
        <f t="shared" si="12"/>
        <v/>
      </c>
      <c r="P370" s="21" t="str">
        <f t="shared" si="9"/>
        <v/>
      </c>
      <c r="R370" s="112"/>
      <c r="S370" s="112"/>
      <c r="T370" s="113"/>
      <c r="U370" s="132"/>
    </row>
    <row r="371" spans="2:21" x14ac:dyDescent="0.25">
      <c r="B371" s="23"/>
      <c r="C371" s="91"/>
      <c r="D371" s="18" t="str">
        <f>IFERROR(VLOOKUP(Trabajos!C371,Referencias!$E$7:$F$30,2,FALSE),"")</f>
        <v/>
      </c>
      <c r="E371" s="91"/>
      <c r="F371" s="18" t="str">
        <f>IFERROR(VLOOKUP(Trabajos!$E371,Clientes,2,FALSE),"")</f>
        <v/>
      </c>
      <c r="G371" s="91"/>
      <c r="H371" s="119"/>
      <c r="I371" s="29"/>
      <c r="J371" s="19" t="str">
        <f t="shared" si="11"/>
        <v/>
      </c>
      <c r="K371" s="26"/>
      <c r="L371" s="19" t="str">
        <f>IFERROR(VLOOKUP(K371,Referencias!$H$7:$I$9,2,FALSE),"")</f>
        <v/>
      </c>
      <c r="M371" s="120"/>
      <c r="N371" s="29"/>
      <c r="O371" s="20" t="str">
        <f t="shared" si="12"/>
        <v/>
      </c>
      <c r="P371" s="21" t="str">
        <f t="shared" si="9"/>
        <v/>
      </c>
      <c r="R371" s="112"/>
      <c r="S371" s="112"/>
      <c r="T371" s="113"/>
      <c r="U371" s="132"/>
    </row>
    <row r="372" spans="2:21" x14ac:dyDescent="0.25">
      <c r="B372" s="23"/>
      <c r="C372" s="91"/>
      <c r="D372" s="18" t="str">
        <f>IFERROR(VLOOKUP(Trabajos!C372,Referencias!$E$7:$F$30,2,FALSE),"")</f>
        <v/>
      </c>
      <c r="E372" s="91"/>
      <c r="F372" s="18" t="str">
        <f>IFERROR(VLOOKUP(Trabajos!$E372,Clientes,2,FALSE),"")</f>
        <v/>
      </c>
      <c r="G372" s="91"/>
      <c r="H372" s="119"/>
      <c r="I372" s="29"/>
      <c r="J372" s="19" t="str">
        <f t="shared" si="11"/>
        <v/>
      </c>
      <c r="K372" s="26"/>
      <c r="L372" s="19" t="str">
        <f>IFERROR(VLOOKUP(K372,Referencias!$H$7:$I$9,2,FALSE),"")</f>
        <v/>
      </c>
      <c r="M372" s="120"/>
      <c r="N372" s="29"/>
      <c r="O372" s="20" t="str">
        <f t="shared" si="12"/>
        <v/>
      </c>
      <c r="P372" s="21" t="str">
        <f t="shared" si="9"/>
        <v/>
      </c>
      <c r="R372" s="112"/>
      <c r="S372" s="112"/>
      <c r="T372" s="113"/>
      <c r="U372" s="132"/>
    </row>
    <row r="373" spans="2:21" x14ac:dyDescent="0.25">
      <c r="B373" s="23"/>
      <c r="C373" s="91"/>
      <c r="D373" s="18" t="str">
        <f>IFERROR(VLOOKUP(Trabajos!C373,Referencias!$E$7:$F$30,2,FALSE),"")</f>
        <v/>
      </c>
      <c r="E373" s="91"/>
      <c r="F373" s="18" t="str">
        <f>IFERROR(VLOOKUP(Trabajos!$E373,Clientes,2,FALSE),"")</f>
        <v/>
      </c>
      <c r="G373" s="91"/>
      <c r="H373" s="119"/>
      <c r="I373" s="29"/>
      <c r="J373" s="19" t="str">
        <f t="shared" si="11"/>
        <v/>
      </c>
      <c r="K373" s="26"/>
      <c r="L373" s="19" t="str">
        <f>IFERROR(VLOOKUP(K373,Referencias!$H$7:$I$9,2,FALSE),"")</f>
        <v/>
      </c>
      <c r="M373" s="120"/>
      <c r="N373" s="29"/>
      <c r="O373" s="20" t="str">
        <f t="shared" si="12"/>
        <v/>
      </c>
      <c r="P373" s="21" t="str">
        <f t="shared" si="9"/>
        <v/>
      </c>
      <c r="R373" s="112"/>
      <c r="S373" s="112"/>
      <c r="T373" s="113"/>
      <c r="U373" s="132"/>
    </row>
    <row r="374" spans="2:21" x14ac:dyDescent="0.25">
      <c r="B374" s="23"/>
      <c r="C374" s="91"/>
      <c r="D374" s="18" t="str">
        <f>IFERROR(VLOOKUP(Trabajos!C374,Referencias!$E$7:$F$30,2,FALSE),"")</f>
        <v/>
      </c>
      <c r="E374" s="91"/>
      <c r="F374" s="18" t="str">
        <f>IFERROR(VLOOKUP(Trabajos!$E374,Clientes,2,FALSE),"")</f>
        <v/>
      </c>
      <c r="G374" s="91"/>
      <c r="H374" s="119"/>
      <c r="I374" s="29"/>
      <c r="J374" s="19" t="str">
        <f t="shared" si="11"/>
        <v/>
      </c>
      <c r="K374" s="26"/>
      <c r="L374" s="19" t="str">
        <f>IFERROR(VLOOKUP(K374,Referencias!$H$7:$I$9,2,FALSE),"")</f>
        <v/>
      </c>
      <c r="M374" s="120"/>
      <c r="N374" s="29"/>
      <c r="O374" s="20" t="str">
        <f t="shared" si="12"/>
        <v/>
      </c>
      <c r="P374" s="21" t="str">
        <f t="shared" si="9"/>
        <v/>
      </c>
      <c r="R374" s="112"/>
      <c r="S374" s="112"/>
      <c r="T374" s="113"/>
      <c r="U374" s="132"/>
    </row>
    <row r="375" spans="2:21" x14ac:dyDescent="0.25">
      <c r="B375" s="23"/>
      <c r="C375" s="91"/>
      <c r="D375" s="18" t="str">
        <f>IFERROR(VLOOKUP(Trabajos!C375,Referencias!$E$7:$F$30,2,FALSE),"")</f>
        <v/>
      </c>
      <c r="E375" s="91"/>
      <c r="F375" s="18" t="str">
        <f>IFERROR(VLOOKUP(Trabajos!$E375,Clientes,2,FALSE),"")</f>
        <v/>
      </c>
      <c r="G375" s="91"/>
      <c r="H375" s="119"/>
      <c r="I375" s="29"/>
      <c r="J375" s="19" t="str">
        <f t="shared" si="11"/>
        <v/>
      </c>
      <c r="K375" s="26"/>
      <c r="L375" s="19" t="str">
        <f>IFERROR(VLOOKUP(K375,Referencias!$H$7:$I$9,2,FALSE),"")</f>
        <v/>
      </c>
      <c r="M375" s="120"/>
      <c r="N375" s="29"/>
      <c r="O375" s="20" t="str">
        <f t="shared" si="12"/>
        <v/>
      </c>
      <c r="P375" s="21" t="str">
        <f t="shared" si="9"/>
        <v/>
      </c>
      <c r="R375" s="112"/>
      <c r="S375" s="112"/>
      <c r="T375" s="113"/>
      <c r="U375" s="132"/>
    </row>
    <row r="376" spans="2:21" x14ac:dyDescent="0.25">
      <c r="B376" s="23"/>
      <c r="C376" s="91"/>
      <c r="D376" s="18" t="str">
        <f>IFERROR(VLOOKUP(Trabajos!C376,Referencias!$E$7:$F$30,2,FALSE),"")</f>
        <v/>
      </c>
      <c r="E376" s="91"/>
      <c r="F376" s="18" t="str">
        <f>IFERROR(VLOOKUP(Trabajos!$E376,Clientes,2,FALSE),"")</f>
        <v/>
      </c>
      <c r="G376" s="91"/>
      <c r="H376" s="119"/>
      <c r="I376" s="29"/>
      <c r="J376" s="19" t="str">
        <f t="shared" si="11"/>
        <v/>
      </c>
      <c r="K376" s="26"/>
      <c r="L376" s="19" t="str">
        <f>IFERROR(VLOOKUP(K376,Referencias!$H$7:$I$9,2,FALSE),"")</f>
        <v/>
      </c>
      <c r="M376" s="120"/>
      <c r="N376" s="29"/>
      <c r="O376" s="20" t="str">
        <f t="shared" si="12"/>
        <v/>
      </c>
      <c r="P376" s="21" t="str">
        <f t="shared" si="9"/>
        <v/>
      </c>
      <c r="R376" s="112"/>
      <c r="S376" s="112"/>
      <c r="T376" s="113"/>
      <c r="U376" s="132"/>
    </row>
    <row r="377" spans="2:21" x14ac:dyDescent="0.25">
      <c r="B377" s="23"/>
      <c r="C377" s="91"/>
      <c r="D377" s="18" t="str">
        <f>IFERROR(VLOOKUP(Trabajos!C377,Referencias!$E$7:$F$30,2,FALSE),"")</f>
        <v/>
      </c>
      <c r="E377" s="91"/>
      <c r="F377" s="18" t="str">
        <f>IFERROR(VLOOKUP(Trabajos!$E377,Clientes,2,FALSE),"")</f>
        <v/>
      </c>
      <c r="G377" s="91"/>
      <c r="H377" s="119"/>
      <c r="I377" s="29"/>
      <c r="J377" s="19" t="str">
        <f t="shared" si="11"/>
        <v/>
      </c>
      <c r="K377" s="26"/>
      <c r="L377" s="19" t="str">
        <f>IFERROR(VLOOKUP(K377,Referencias!$H$7:$I$9,2,FALSE),"")</f>
        <v/>
      </c>
      <c r="M377" s="120"/>
      <c r="N377" s="29"/>
      <c r="O377" s="20" t="str">
        <f t="shared" si="12"/>
        <v/>
      </c>
      <c r="P377" s="21" t="str">
        <f t="shared" si="9"/>
        <v/>
      </c>
      <c r="R377" s="112"/>
      <c r="S377" s="112"/>
      <c r="T377" s="113"/>
      <c r="U377" s="132"/>
    </row>
    <row r="378" spans="2:21" x14ac:dyDescent="0.25">
      <c r="B378" s="23"/>
      <c r="C378" s="91"/>
      <c r="D378" s="18" t="str">
        <f>IFERROR(VLOOKUP(Trabajos!C378,Referencias!$E$7:$F$30,2,FALSE),"")</f>
        <v/>
      </c>
      <c r="E378" s="91"/>
      <c r="F378" s="18" t="str">
        <f>IFERROR(VLOOKUP(Trabajos!$E378,Clientes,2,FALSE),"")</f>
        <v/>
      </c>
      <c r="G378" s="91"/>
      <c r="H378" s="119"/>
      <c r="I378" s="29"/>
      <c r="J378" s="19" t="str">
        <f t="shared" si="11"/>
        <v/>
      </c>
      <c r="K378" s="26"/>
      <c r="L378" s="19" t="str">
        <f>IFERROR(VLOOKUP(K378,Referencias!$H$7:$I$9,2,FALSE),"")</f>
        <v/>
      </c>
      <c r="M378" s="120"/>
      <c r="N378" s="29"/>
      <c r="O378" s="20" t="str">
        <f t="shared" si="12"/>
        <v/>
      </c>
      <c r="P378" s="21" t="str">
        <f t="shared" si="9"/>
        <v/>
      </c>
      <c r="R378" s="112"/>
      <c r="S378" s="112"/>
      <c r="T378" s="113"/>
      <c r="U378" s="132"/>
    </row>
    <row r="379" spans="2:21" x14ac:dyDescent="0.25">
      <c r="B379" s="23"/>
      <c r="C379" s="91"/>
      <c r="D379" s="18" t="str">
        <f>IFERROR(VLOOKUP(Trabajos!C379,Referencias!$E$7:$F$30,2,FALSE),"")</f>
        <v/>
      </c>
      <c r="E379" s="91"/>
      <c r="F379" s="18" t="str">
        <f>IFERROR(VLOOKUP(Trabajos!$E379,Clientes,2,FALSE),"")</f>
        <v/>
      </c>
      <c r="G379" s="91"/>
      <c r="H379" s="119"/>
      <c r="I379" s="29"/>
      <c r="J379" s="19" t="str">
        <f t="shared" si="11"/>
        <v/>
      </c>
      <c r="K379" s="26"/>
      <c r="L379" s="19" t="str">
        <f>IFERROR(VLOOKUP(K379,Referencias!$H$7:$I$9,2,FALSE),"")</f>
        <v/>
      </c>
      <c r="M379" s="120"/>
      <c r="N379" s="29"/>
      <c r="O379" s="20" t="str">
        <f t="shared" si="12"/>
        <v/>
      </c>
      <c r="P379" s="21" t="str">
        <f t="shared" si="9"/>
        <v/>
      </c>
      <c r="R379" s="112"/>
      <c r="S379" s="112"/>
      <c r="T379" s="113"/>
      <c r="U379" s="132"/>
    </row>
    <row r="380" spans="2:21" x14ac:dyDescent="0.25">
      <c r="B380" s="23"/>
      <c r="C380" s="91"/>
      <c r="D380" s="18" t="str">
        <f>IFERROR(VLOOKUP(Trabajos!C380,Referencias!$E$7:$F$30,2,FALSE),"")</f>
        <v/>
      </c>
      <c r="E380" s="91"/>
      <c r="F380" s="18" t="str">
        <f>IFERROR(VLOOKUP(Trabajos!$E380,Clientes,2,FALSE),"")</f>
        <v/>
      </c>
      <c r="G380" s="91"/>
      <c r="H380" s="119"/>
      <c r="I380" s="29"/>
      <c r="J380" s="19" t="str">
        <f t="shared" si="11"/>
        <v/>
      </c>
      <c r="K380" s="26"/>
      <c r="L380" s="19" t="str">
        <f>IFERROR(VLOOKUP(K380,Referencias!$H$7:$I$9,2,FALSE),"")</f>
        <v/>
      </c>
      <c r="M380" s="120"/>
      <c r="N380" s="29"/>
      <c r="O380" s="20" t="str">
        <f t="shared" si="12"/>
        <v/>
      </c>
      <c r="P380" s="21" t="str">
        <f t="shared" si="9"/>
        <v/>
      </c>
      <c r="R380" s="112"/>
      <c r="S380" s="112"/>
      <c r="T380" s="113"/>
      <c r="U380" s="132"/>
    </row>
    <row r="381" spans="2:21" x14ac:dyDescent="0.25">
      <c r="B381" s="23"/>
      <c r="C381" s="91"/>
      <c r="D381" s="18" t="str">
        <f>IFERROR(VLOOKUP(Trabajos!C381,Referencias!$E$7:$F$30,2,FALSE),"")</f>
        <v/>
      </c>
      <c r="E381" s="91"/>
      <c r="F381" s="18" t="str">
        <f>IFERROR(VLOOKUP(Trabajos!$E381,Clientes,2,FALSE),"")</f>
        <v/>
      </c>
      <c r="G381" s="91"/>
      <c r="H381" s="119"/>
      <c r="I381" s="29"/>
      <c r="J381" s="19" t="str">
        <f t="shared" si="11"/>
        <v/>
      </c>
      <c r="K381" s="26"/>
      <c r="L381" s="19" t="str">
        <f>IFERROR(VLOOKUP(K381,Referencias!$H$7:$I$9,2,FALSE),"")</f>
        <v/>
      </c>
      <c r="M381" s="120"/>
      <c r="N381" s="29"/>
      <c r="O381" s="20" t="str">
        <f t="shared" si="12"/>
        <v/>
      </c>
      <c r="P381" s="21" t="str">
        <f t="shared" si="9"/>
        <v/>
      </c>
      <c r="R381" s="112"/>
      <c r="S381" s="112"/>
      <c r="T381" s="113"/>
      <c r="U381" s="132"/>
    </row>
    <row r="382" spans="2:21" x14ac:dyDescent="0.25">
      <c r="B382" s="23"/>
      <c r="C382" s="91"/>
      <c r="D382" s="18" t="str">
        <f>IFERROR(VLOOKUP(Trabajos!C382,Referencias!$E$7:$F$30,2,FALSE),"")</f>
        <v/>
      </c>
      <c r="E382" s="91"/>
      <c r="F382" s="18" t="str">
        <f>IFERROR(VLOOKUP(Trabajos!$E382,Clientes,2,FALSE),"")</f>
        <v/>
      </c>
      <c r="G382" s="91"/>
      <c r="H382" s="119"/>
      <c r="I382" s="29"/>
      <c r="J382" s="19" t="str">
        <f t="shared" si="11"/>
        <v/>
      </c>
      <c r="K382" s="26"/>
      <c r="L382" s="19" t="str">
        <f>IFERROR(VLOOKUP(K382,Referencias!$H$7:$I$9,2,FALSE),"")</f>
        <v/>
      </c>
      <c r="M382" s="120"/>
      <c r="N382" s="29"/>
      <c r="O382" s="20" t="str">
        <f t="shared" si="12"/>
        <v/>
      </c>
      <c r="P382" s="21" t="str">
        <f t="shared" si="9"/>
        <v/>
      </c>
      <c r="R382" s="112"/>
      <c r="S382" s="112"/>
      <c r="T382" s="113"/>
      <c r="U382" s="132"/>
    </row>
    <row r="383" spans="2:21" x14ac:dyDescent="0.25">
      <c r="B383" s="23"/>
      <c r="C383" s="91"/>
      <c r="D383" s="18" t="str">
        <f>IFERROR(VLOOKUP(Trabajos!C383,Referencias!$E$7:$F$30,2,FALSE),"")</f>
        <v/>
      </c>
      <c r="E383" s="91"/>
      <c r="F383" s="18" t="str">
        <f>IFERROR(VLOOKUP(Trabajos!$E383,Clientes,2,FALSE),"")</f>
        <v/>
      </c>
      <c r="G383" s="91"/>
      <c r="H383" s="119"/>
      <c r="I383" s="29"/>
      <c r="J383" s="19" t="str">
        <f t="shared" si="11"/>
        <v/>
      </c>
      <c r="K383" s="26"/>
      <c r="L383" s="19" t="str">
        <f>IFERROR(VLOOKUP(K383,Referencias!$H$7:$I$9,2,FALSE),"")</f>
        <v/>
      </c>
      <c r="M383" s="120"/>
      <c r="N383" s="29"/>
      <c r="O383" s="20" t="str">
        <f t="shared" si="12"/>
        <v/>
      </c>
      <c r="P383" s="21" t="str">
        <f t="shared" si="9"/>
        <v/>
      </c>
      <c r="R383" s="112"/>
      <c r="S383" s="112"/>
      <c r="T383" s="113"/>
      <c r="U383" s="132"/>
    </row>
    <row r="384" spans="2:21" x14ac:dyDescent="0.25">
      <c r="B384" s="23"/>
      <c r="C384" s="91"/>
      <c r="D384" s="18" t="str">
        <f>IFERROR(VLOOKUP(Trabajos!C384,Referencias!$E$7:$F$30,2,FALSE),"")</f>
        <v/>
      </c>
      <c r="E384" s="91"/>
      <c r="F384" s="18" t="str">
        <f>IFERROR(VLOOKUP(Trabajos!$E384,Clientes,2,FALSE),"")</f>
        <v/>
      </c>
      <c r="G384" s="91"/>
      <c r="H384" s="119"/>
      <c r="I384" s="29"/>
      <c r="J384" s="19" t="str">
        <f t="shared" si="11"/>
        <v/>
      </c>
      <c r="K384" s="26"/>
      <c r="L384" s="19" t="str">
        <f>IFERROR(VLOOKUP(K384,Referencias!$H$7:$I$9,2,FALSE),"")</f>
        <v/>
      </c>
      <c r="M384" s="120"/>
      <c r="N384" s="29"/>
      <c r="O384" s="20" t="str">
        <f t="shared" si="12"/>
        <v/>
      </c>
      <c r="P384" s="21" t="str">
        <f t="shared" si="9"/>
        <v/>
      </c>
      <c r="R384" s="112"/>
      <c r="S384" s="112"/>
      <c r="T384" s="113"/>
      <c r="U384" s="132"/>
    </row>
    <row r="385" spans="2:21" x14ac:dyDescent="0.25">
      <c r="B385" s="23"/>
      <c r="C385" s="91"/>
      <c r="D385" s="18" t="str">
        <f>IFERROR(VLOOKUP(Trabajos!C385,Referencias!$E$7:$F$30,2,FALSE),"")</f>
        <v/>
      </c>
      <c r="E385" s="91"/>
      <c r="F385" s="18" t="str">
        <f>IFERROR(VLOOKUP(Trabajos!$E385,Clientes,2,FALSE),"")</f>
        <v/>
      </c>
      <c r="G385" s="91"/>
      <c r="H385" s="119"/>
      <c r="I385" s="29"/>
      <c r="J385" s="19" t="str">
        <f t="shared" si="11"/>
        <v/>
      </c>
      <c r="K385" s="26"/>
      <c r="L385" s="19" t="str">
        <f>IFERROR(VLOOKUP(K385,Referencias!$H$7:$I$9,2,FALSE),"")</f>
        <v/>
      </c>
      <c r="M385" s="120"/>
      <c r="N385" s="29"/>
      <c r="O385" s="20" t="str">
        <f t="shared" si="12"/>
        <v/>
      </c>
      <c r="P385" s="21" t="str">
        <f t="shared" si="9"/>
        <v/>
      </c>
      <c r="R385" s="112"/>
      <c r="S385" s="112"/>
      <c r="T385" s="113"/>
      <c r="U385" s="132"/>
    </row>
    <row r="386" spans="2:21" x14ac:dyDescent="0.25">
      <c r="B386" s="23"/>
      <c r="C386" s="91"/>
      <c r="D386" s="18" t="str">
        <f>IFERROR(VLOOKUP(Trabajos!C386,Referencias!$E$7:$F$30,2,FALSE),"")</f>
        <v/>
      </c>
      <c r="E386" s="91"/>
      <c r="F386" s="18" t="str">
        <f>IFERROR(VLOOKUP(Trabajos!$E386,Clientes,2,FALSE),"")</f>
        <v/>
      </c>
      <c r="G386" s="91"/>
      <c r="H386" s="119"/>
      <c r="I386" s="29"/>
      <c r="J386" s="19" t="str">
        <f t="shared" si="11"/>
        <v/>
      </c>
      <c r="K386" s="26"/>
      <c r="L386" s="19" t="str">
        <f>IFERROR(VLOOKUP(K386,Referencias!$H$7:$I$9,2,FALSE),"")</f>
        <v/>
      </c>
      <c r="M386" s="120"/>
      <c r="N386" s="29"/>
      <c r="O386" s="20" t="str">
        <f t="shared" si="12"/>
        <v/>
      </c>
      <c r="P386" s="21" t="str">
        <f t="shared" si="9"/>
        <v/>
      </c>
      <c r="R386" s="112"/>
      <c r="S386" s="112"/>
      <c r="T386" s="113"/>
      <c r="U386" s="132"/>
    </row>
    <row r="387" spans="2:21" x14ac:dyDescent="0.25">
      <c r="B387" s="23"/>
      <c r="C387" s="91"/>
      <c r="D387" s="18" t="str">
        <f>IFERROR(VLOOKUP(Trabajos!C387,Referencias!$E$7:$F$30,2,FALSE),"")</f>
        <v/>
      </c>
      <c r="E387" s="91"/>
      <c r="F387" s="18" t="str">
        <f>IFERROR(VLOOKUP(Trabajos!$E387,Clientes,2,FALSE),"")</f>
        <v/>
      </c>
      <c r="G387" s="91"/>
      <c r="H387" s="119"/>
      <c r="I387" s="29"/>
      <c r="J387" s="19" t="str">
        <f t="shared" si="11"/>
        <v/>
      </c>
      <c r="K387" s="26"/>
      <c r="L387" s="19" t="str">
        <f>IFERROR(VLOOKUP(K387,Referencias!$H$7:$I$9,2,FALSE),"")</f>
        <v/>
      </c>
      <c r="M387" s="120"/>
      <c r="N387" s="29"/>
      <c r="O387" s="20" t="str">
        <f t="shared" si="12"/>
        <v/>
      </c>
      <c r="P387" s="21" t="str">
        <f t="shared" si="9"/>
        <v/>
      </c>
      <c r="R387" s="112"/>
      <c r="S387" s="112"/>
      <c r="T387" s="113"/>
      <c r="U387" s="132"/>
    </row>
    <row r="388" spans="2:21" x14ac:dyDescent="0.25">
      <c r="B388" s="23"/>
      <c r="C388" s="91"/>
      <c r="D388" s="18" t="str">
        <f>IFERROR(VLOOKUP(Trabajos!C388,Referencias!$E$7:$F$30,2,FALSE),"")</f>
        <v/>
      </c>
      <c r="E388" s="91"/>
      <c r="F388" s="18" t="str">
        <f>IFERROR(VLOOKUP(Trabajos!$E388,Clientes,2,FALSE),"")</f>
        <v/>
      </c>
      <c r="G388" s="91"/>
      <c r="H388" s="119"/>
      <c r="I388" s="29"/>
      <c r="J388" s="19" t="str">
        <f t="shared" si="11"/>
        <v/>
      </c>
      <c r="K388" s="26"/>
      <c r="L388" s="19" t="str">
        <f>IFERROR(VLOOKUP(K388,Referencias!$H$7:$I$9,2,FALSE),"")</f>
        <v/>
      </c>
      <c r="M388" s="120"/>
      <c r="N388" s="29"/>
      <c r="O388" s="20" t="str">
        <f t="shared" si="12"/>
        <v/>
      </c>
      <c r="P388" s="21" t="str">
        <f t="shared" si="9"/>
        <v/>
      </c>
      <c r="R388" s="112"/>
      <c r="S388" s="112"/>
      <c r="T388" s="113"/>
      <c r="U388" s="132"/>
    </row>
    <row r="389" spans="2:21" x14ac:dyDescent="0.25">
      <c r="B389" s="23"/>
      <c r="C389" s="91"/>
      <c r="D389" s="18" t="str">
        <f>IFERROR(VLOOKUP(Trabajos!C389,Referencias!$E$7:$F$30,2,FALSE),"")</f>
        <v/>
      </c>
      <c r="E389" s="91"/>
      <c r="F389" s="18" t="str">
        <f>IFERROR(VLOOKUP(Trabajos!$E389,Clientes,2,FALSE),"")</f>
        <v/>
      </c>
      <c r="G389" s="91"/>
      <c r="H389" s="119"/>
      <c r="I389" s="29"/>
      <c r="J389" s="19" t="str">
        <f t="shared" si="11"/>
        <v/>
      </c>
      <c r="K389" s="26"/>
      <c r="L389" s="19" t="str">
        <f>IFERROR(VLOOKUP(K389,Referencias!$H$7:$I$9,2,FALSE),"")</f>
        <v/>
      </c>
      <c r="M389" s="120"/>
      <c r="N389" s="29"/>
      <c r="O389" s="20" t="str">
        <f t="shared" si="12"/>
        <v/>
      </c>
      <c r="P389" s="21" t="str">
        <f t="shared" si="9"/>
        <v/>
      </c>
      <c r="R389" s="112"/>
      <c r="S389" s="112"/>
      <c r="T389" s="113"/>
      <c r="U389" s="132"/>
    </row>
    <row r="390" spans="2:21" x14ac:dyDescent="0.25">
      <c r="B390" s="23"/>
      <c r="C390" s="91"/>
      <c r="D390" s="18" t="str">
        <f>IFERROR(VLOOKUP(Trabajos!C390,Referencias!$E$7:$F$30,2,FALSE),"")</f>
        <v/>
      </c>
      <c r="E390" s="91"/>
      <c r="F390" s="18" t="str">
        <f>IFERROR(VLOOKUP(Trabajos!$E390,Clientes,2,FALSE),"")</f>
        <v/>
      </c>
      <c r="G390" s="91"/>
      <c r="H390" s="119"/>
      <c r="I390" s="29"/>
      <c r="J390" s="19" t="str">
        <f t="shared" si="11"/>
        <v/>
      </c>
      <c r="K390" s="26"/>
      <c r="L390" s="19" t="str">
        <f>IFERROR(VLOOKUP(K390,Referencias!$H$7:$I$9,2,FALSE),"")</f>
        <v/>
      </c>
      <c r="M390" s="120"/>
      <c r="N390" s="29"/>
      <c r="O390" s="20" t="str">
        <f t="shared" si="12"/>
        <v/>
      </c>
      <c r="P390" s="21" t="str">
        <f t="shared" si="9"/>
        <v/>
      </c>
      <c r="R390" s="112"/>
      <c r="S390" s="112"/>
      <c r="T390" s="113"/>
      <c r="U390" s="132"/>
    </row>
    <row r="391" spans="2:21" x14ac:dyDescent="0.25">
      <c r="B391" s="23"/>
      <c r="C391" s="91"/>
      <c r="D391" s="18" t="str">
        <f>IFERROR(VLOOKUP(Trabajos!C391,Referencias!$E$7:$F$30,2,FALSE),"")</f>
        <v/>
      </c>
      <c r="E391" s="91"/>
      <c r="F391" s="18" t="str">
        <f>IFERROR(VLOOKUP(Trabajos!$E391,Clientes,2,FALSE),"")</f>
        <v/>
      </c>
      <c r="G391" s="91"/>
      <c r="H391" s="119"/>
      <c r="I391" s="29"/>
      <c r="J391" s="19" t="str">
        <f t="shared" si="11"/>
        <v/>
      </c>
      <c r="K391" s="26"/>
      <c r="L391" s="19" t="str">
        <f>IFERROR(VLOOKUP(K391,Referencias!$H$7:$I$9,2,FALSE),"")</f>
        <v/>
      </c>
      <c r="M391" s="120"/>
      <c r="N391" s="29"/>
      <c r="O391" s="20" t="str">
        <f t="shared" si="12"/>
        <v/>
      </c>
      <c r="P391" s="21" t="str">
        <f t="shared" si="9"/>
        <v/>
      </c>
      <c r="R391" s="112"/>
      <c r="S391" s="112"/>
      <c r="T391" s="113"/>
      <c r="U391" s="132"/>
    </row>
    <row r="392" spans="2:21" x14ac:dyDescent="0.25">
      <c r="B392" s="23"/>
      <c r="C392" s="91"/>
      <c r="D392" s="18" t="str">
        <f>IFERROR(VLOOKUP(Trabajos!C392,Referencias!$E$7:$F$30,2,FALSE),"")</f>
        <v/>
      </c>
      <c r="E392" s="91"/>
      <c r="F392" s="18" t="str">
        <f>IFERROR(VLOOKUP(Trabajos!$E392,Clientes,2,FALSE),"")</f>
        <v/>
      </c>
      <c r="G392" s="91"/>
      <c r="H392" s="119"/>
      <c r="I392" s="29"/>
      <c r="J392" s="19" t="str">
        <f t="shared" si="11"/>
        <v/>
      </c>
      <c r="K392" s="26"/>
      <c r="L392" s="19" t="str">
        <f>IFERROR(VLOOKUP(K392,Referencias!$H$7:$I$9,2,FALSE),"")</f>
        <v/>
      </c>
      <c r="M392" s="120"/>
      <c r="N392" s="29"/>
      <c r="O392" s="20" t="str">
        <f t="shared" si="12"/>
        <v/>
      </c>
      <c r="P392" s="21" t="str">
        <f t="shared" si="9"/>
        <v/>
      </c>
      <c r="R392" s="112"/>
      <c r="S392" s="112"/>
      <c r="T392" s="113"/>
      <c r="U392" s="132"/>
    </row>
    <row r="393" spans="2:21" x14ac:dyDescent="0.25">
      <c r="B393" s="23"/>
      <c r="C393" s="91"/>
      <c r="D393" s="18" t="str">
        <f>IFERROR(VLOOKUP(Trabajos!C393,Referencias!$E$7:$F$30,2,FALSE),"")</f>
        <v/>
      </c>
      <c r="E393" s="91"/>
      <c r="F393" s="18" t="str">
        <f>IFERROR(VLOOKUP(Trabajos!$E393,Clientes,2,FALSE),"")</f>
        <v/>
      </c>
      <c r="G393" s="91"/>
      <c r="H393" s="119"/>
      <c r="I393" s="29"/>
      <c r="J393" s="19" t="str">
        <f t="shared" si="11"/>
        <v/>
      </c>
      <c r="K393" s="26"/>
      <c r="L393" s="19" t="str">
        <f>IFERROR(VLOOKUP(K393,Referencias!$H$7:$I$9,2,FALSE),"")</f>
        <v/>
      </c>
      <c r="M393" s="120"/>
      <c r="N393" s="29"/>
      <c r="O393" s="20" t="str">
        <f t="shared" si="12"/>
        <v/>
      </c>
      <c r="P393" s="21" t="str">
        <f t="shared" si="9"/>
        <v/>
      </c>
      <c r="R393" s="112"/>
      <c r="S393" s="112"/>
      <c r="T393" s="113">
        <f t="shared" si="10"/>
        <v>0</v>
      </c>
      <c r="U393" s="132"/>
    </row>
    <row r="394" spans="2:21" x14ac:dyDescent="0.25">
      <c r="B394" s="23"/>
      <c r="C394" s="91"/>
      <c r="D394" s="18" t="str">
        <f>IFERROR(VLOOKUP(Trabajos!C394,Referencias!$E$7:$F$30,2,FALSE),"")</f>
        <v/>
      </c>
      <c r="E394" s="91"/>
      <c r="F394" s="18" t="str">
        <f>IFERROR(VLOOKUP(Trabajos!$E394,Clientes,2,FALSE),"")</f>
        <v/>
      </c>
      <c r="G394" s="91"/>
      <c r="H394" s="119"/>
      <c r="I394" s="29"/>
      <c r="J394" s="19" t="str">
        <f t="shared" si="11"/>
        <v/>
      </c>
      <c r="K394" s="26"/>
      <c r="L394" s="19" t="str">
        <f>IFERROR(VLOOKUP(K394,Referencias!$H$7:$I$9,2,FALSE),"")</f>
        <v/>
      </c>
      <c r="M394" s="120"/>
      <c r="N394" s="29"/>
      <c r="O394" s="20" t="str">
        <f t="shared" si="12"/>
        <v/>
      </c>
      <c r="P394" s="21" t="str">
        <f t="shared" si="9"/>
        <v/>
      </c>
      <c r="R394" s="112"/>
      <c r="S394" s="112"/>
      <c r="T394" s="113">
        <f t="shared" si="10"/>
        <v>0</v>
      </c>
      <c r="U394" s="132"/>
    </row>
    <row r="395" spans="2:21" x14ac:dyDescent="0.25">
      <c r="B395" s="64" t="s">
        <v>9</v>
      </c>
      <c r="C395" s="64"/>
      <c r="D395" s="65"/>
      <c r="E395" s="66"/>
      <c r="F395" s="66"/>
      <c r="G395" s="91"/>
      <c r="H395" s="67">
        <f>SUM(H5:H394)</f>
        <v>57801</v>
      </c>
      <c r="I395" s="67"/>
      <c r="J395" s="68">
        <f>SUM(J5:J394)</f>
        <v>194775496.62999961</v>
      </c>
      <c r="K395" s="68"/>
      <c r="L395" s="68"/>
      <c r="M395" s="210"/>
      <c r="N395" s="69"/>
      <c r="O395" s="68">
        <f>SUM(O5:O394)</f>
        <v>29496847.299999982</v>
      </c>
      <c r="P395" s="68">
        <f>SUM(P5:P394)</f>
        <v>224272343.92999965</v>
      </c>
      <c r="Q395" s="22" t="s">
        <v>4</v>
      </c>
      <c r="R395" s="114">
        <f>SUM(R5:R394)</f>
        <v>3704</v>
      </c>
      <c r="S395" s="114">
        <f>SUM(S5:S394)</f>
        <v>5738</v>
      </c>
      <c r="T395" s="114">
        <f>SUM(T5:T394)</f>
        <v>37074</v>
      </c>
      <c r="U395" s="135"/>
    </row>
    <row r="396" spans="2:21" x14ac:dyDescent="0.25">
      <c r="F396" s="22" t="s">
        <v>4</v>
      </c>
      <c r="G396" s="175"/>
    </row>
    <row r="398" spans="2:21" x14ac:dyDescent="0.25">
      <c r="H398" s="40" t="s">
        <v>4</v>
      </c>
    </row>
    <row r="399" spans="2:21" x14ac:dyDescent="0.25">
      <c r="M399" s="184"/>
    </row>
    <row r="400" spans="2:21" x14ac:dyDescent="0.25">
      <c r="L400" s="202"/>
    </row>
    <row r="403" spans="4:4" x14ac:dyDescent="0.25">
      <c r="D403" s="48" t="s">
        <v>4</v>
      </c>
    </row>
  </sheetData>
  <sheetProtection formatCells="0" formatColumns="0" formatRows="0" insertColumns="0" insertRows="0" insertHyperlinks="0" deleteColumns="0" deleteRows="0" selectLockedCells="1" sort="0" autoFilter="0" pivotTables="0"/>
  <autoFilter ref="A4:U396" xr:uid="{00000000-0009-0000-0000-000000000000}"/>
  <pageMargins left="0.7" right="0.7" top="0.75" bottom="0.75" header="0.3" footer="0.3"/>
  <pageSetup paperSize="9" orientation="portrait" horizontalDpi="200" verticalDpi="200" r:id="rId1"/>
  <ignoredErrors>
    <ignoredError sqref="T5:T87 T221:T229 T89:T96 T98:T219 T231:T241 T365:T367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57"/>
  <sheetViews>
    <sheetView showGridLines="0" zoomScaleNormal="100" workbookViewId="0">
      <pane ySplit="4" topLeftCell="A71" activePane="bottomLeft" state="frozen"/>
      <selection activeCell="A2" sqref="A2"/>
      <selection pane="bottomLeft" activeCell="F92" sqref="F92"/>
    </sheetView>
  </sheetViews>
  <sheetFormatPr baseColWidth="10" defaultRowHeight="15" x14ac:dyDescent="0.25"/>
  <cols>
    <col min="1" max="1" width="7.140625" customWidth="1"/>
    <col min="2" max="2" width="10.85546875" customWidth="1"/>
    <col min="3" max="3" width="12" customWidth="1"/>
    <col min="4" max="4" width="22.5703125" customWidth="1"/>
    <col min="5" max="5" width="11.85546875" customWidth="1"/>
    <col min="6" max="6" width="22.7109375" bestFit="1" customWidth="1"/>
    <col min="7" max="7" width="27.7109375" bestFit="1" customWidth="1"/>
    <col min="8" max="8" width="11.42578125" customWidth="1"/>
    <col min="9" max="9" width="13.5703125" customWidth="1"/>
    <col min="10" max="10" width="15.140625" bestFit="1" customWidth="1"/>
    <col min="11" max="11" width="14.7109375" customWidth="1"/>
    <col min="12" max="12" width="11.42578125" customWidth="1"/>
    <col min="15" max="15" width="16" bestFit="1" customWidth="1"/>
    <col min="16" max="16" width="18.7109375" bestFit="1" customWidth="1"/>
    <col min="17" max="17" width="9.140625" customWidth="1"/>
  </cols>
  <sheetData>
    <row r="1" spans="2:21" ht="5.25" customHeight="1" x14ac:dyDescent="0.25">
      <c r="B1" s="30"/>
      <c r="C1" s="30"/>
      <c r="D1" s="30"/>
      <c r="E1" s="31"/>
      <c r="F1" s="31"/>
      <c r="G1" s="31"/>
      <c r="H1" s="32"/>
      <c r="I1" s="33"/>
      <c r="J1" s="33"/>
      <c r="K1" s="33"/>
      <c r="L1" s="33"/>
      <c r="M1" s="34"/>
      <c r="N1" s="34"/>
      <c r="O1" s="33"/>
      <c r="P1" s="33"/>
      <c r="Q1" s="31"/>
      <c r="R1" s="32"/>
      <c r="S1" s="32"/>
      <c r="T1" s="32"/>
    </row>
    <row r="2" spans="2:21" ht="26.25" customHeight="1" x14ac:dyDescent="0.4">
      <c r="B2" s="35" t="s">
        <v>28</v>
      </c>
      <c r="C2" s="35"/>
      <c r="D2" s="35"/>
      <c r="E2" s="22"/>
      <c r="F2" s="22" t="s">
        <v>4</v>
      </c>
      <c r="G2" s="22" t="s">
        <v>4</v>
      </c>
      <c r="H2" s="22"/>
      <c r="I2" s="37"/>
      <c r="J2" s="37"/>
      <c r="K2" s="37"/>
      <c r="L2" s="37"/>
      <c r="M2" s="38"/>
      <c r="N2" s="38"/>
      <c r="O2" s="22"/>
      <c r="P2" s="22"/>
      <c r="Q2" s="39"/>
      <c r="R2" s="40"/>
      <c r="S2" s="40"/>
      <c r="T2" s="40"/>
    </row>
    <row r="3" spans="2:21" ht="21" customHeight="1" x14ac:dyDescent="0.4">
      <c r="B3" s="35"/>
      <c r="C3" s="35"/>
      <c r="D3" s="35"/>
      <c r="E3" s="22"/>
      <c r="F3" s="22"/>
      <c r="G3" s="36" t="s">
        <v>9</v>
      </c>
      <c r="H3" s="197">
        <f>SUBTOTAL(9,H5:H156)</f>
        <v>80.300000000000011</v>
      </c>
      <c r="I3" s="37"/>
      <c r="J3" s="37"/>
      <c r="K3" s="37"/>
      <c r="L3" s="37"/>
      <c r="M3" s="38"/>
      <c r="N3" s="38"/>
      <c r="O3" s="36" t="s">
        <v>9</v>
      </c>
      <c r="P3" s="63">
        <f>SUBTOTAL(9,P5:P156)</f>
        <v>26437243.449999999</v>
      </c>
      <c r="Q3" s="39"/>
      <c r="R3" s="40"/>
      <c r="S3" s="40"/>
      <c r="T3" s="40"/>
    </row>
    <row r="4" spans="2:21" x14ac:dyDescent="0.25">
      <c r="B4" s="41" t="s">
        <v>0</v>
      </c>
      <c r="C4" s="41" t="s">
        <v>30</v>
      </c>
      <c r="D4" s="41" t="s">
        <v>27</v>
      </c>
      <c r="E4" s="42" t="s">
        <v>29</v>
      </c>
      <c r="F4" s="42" t="s">
        <v>6</v>
      </c>
      <c r="G4" s="42" t="s">
        <v>8</v>
      </c>
      <c r="H4" s="43" t="s">
        <v>95</v>
      </c>
      <c r="I4" s="44" t="s">
        <v>96</v>
      </c>
      <c r="J4" s="44" t="s">
        <v>5</v>
      </c>
      <c r="K4" s="44" t="s">
        <v>38</v>
      </c>
      <c r="L4" s="44" t="s">
        <v>34</v>
      </c>
      <c r="M4" s="45" t="s">
        <v>1</v>
      </c>
      <c r="N4" s="45" t="s">
        <v>2</v>
      </c>
      <c r="O4" s="44" t="s">
        <v>15</v>
      </c>
      <c r="P4" s="46" t="s">
        <v>3</v>
      </c>
      <c r="Q4" s="22"/>
      <c r="R4" s="43" t="s">
        <v>10</v>
      </c>
      <c r="S4" s="43" t="s">
        <v>11</v>
      </c>
      <c r="T4" s="47" t="s">
        <v>12</v>
      </c>
    </row>
    <row r="5" spans="2:21" x14ac:dyDescent="0.25">
      <c r="B5" s="23">
        <v>45908</v>
      </c>
      <c r="C5" s="24">
        <v>4</v>
      </c>
      <c r="D5" s="18" t="str">
        <f>IFERROR(VLOOKUP(C5,Referencias!$E$7:$F$30,2,FALSE),"")</f>
        <v>Seguimiento de cultivos</v>
      </c>
      <c r="E5" s="24">
        <v>11</v>
      </c>
      <c r="F5" s="18" t="str">
        <f t="shared" ref="F5:F39" si="0">IFERROR(VLOOKUP(E5,Clientes,2,FALSE),"")</f>
        <v>Carlos Fernando Fuertes</v>
      </c>
      <c r="G5" s="24" t="s">
        <v>230</v>
      </c>
      <c r="H5" s="125">
        <v>0.5</v>
      </c>
      <c r="I5" s="138">
        <v>200000</v>
      </c>
      <c r="J5" s="19">
        <f>IF(H5&lt;&gt;"",H5*I5,"")</f>
        <v>100000</v>
      </c>
      <c r="K5" s="26">
        <v>1</v>
      </c>
      <c r="L5" s="19" t="str">
        <f>IFERROR(VLOOKUP(K5,Referencias!$H$7:$I$9,2,FALSE),"")</f>
        <v>Tomas</v>
      </c>
      <c r="M5" s="27">
        <v>120</v>
      </c>
      <c r="N5" s="138">
        <v>650</v>
      </c>
      <c r="O5" s="20">
        <f>IF(M5&lt;&gt;"",M5*N5,"")</f>
        <v>78000</v>
      </c>
      <c r="P5" s="21">
        <f>IF(J5&lt;&gt;"",J5+O5,"")</f>
        <v>178000</v>
      </c>
      <c r="Q5" s="22"/>
      <c r="R5" s="125">
        <v>0</v>
      </c>
      <c r="S5" s="125">
        <v>0.5</v>
      </c>
      <c r="T5" s="167">
        <f>H5-R5-S5</f>
        <v>0</v>
      </c>
    </row>
    <row r="6" spans="2:21" x14ac:dyDescent="0.25">
      <c r="B6" s="23">
        <v>45912</v>
      </c>
      <c r="C6" s="24">
        <v>4</v>
      </c>
      <c r="D6" s="18" t="str">
        <f>IFERROR(VLOOKUP(C6,Referencias!$E$7:$F$30,2,FALSE),"")</f>
        <v>Seguimiento de cultivos</v>
      </c>
      <c r="E6" s="24">
        <v>107</v>
      </c>
      <c r="F6" s="18" t="str">
        <f t="shared" si="0"/>
        <v>Omar Piaggio</v>
      </c>
      <c r="G6" s="24" t="s">
        <v>242</v>
      </c>
      <c r="H6" s="125">
        <v>1</v>
      </c>
      <c r="I6" s="138">
        <v>150000</v>
      </c>
      <c r="J6" s="19">
        <f t="shared" ref="J6:J73" si="1">IF(H6&lt;&gt;"",H6*I6,"")</f>
        <v>150000</v>
      </c>
      <c r="K6" s="26">
        <v>1</v>
      </c>
      <c r="L6" s="19" t="str">
        <f>IFERROR(VLOOKUP(K6,Referencias!$H$7:$I$9,2,FALSE),"")</f>
        <v>Tomas</v>
      </c>
      <c r="M6" s="27">
        <v>225</v>
      </c>
      <c r="N6" s="138">
        <v>650</v>
      </c>
      <c r="O6" s="20">
        <f t="shared" ref="O6:O73" si="2">IF(M6&lt;&gt;"",M6*N6,"")</f>
        <v>146250</v>
      </c>
      <c r="P6" s="21">
        <f t="shared" ref="P6:P73" si="3">IF(J6&lt;&gt;"",J6+O6,"")</f>
        <v>296250</v>
      </c>
      <c r="Q6" s="22" t="s">
        <v>4</v>
      </c>
      <c r="R6" s="125">
        <v>0</v>
      </c>
      <c r="S6" s="125">
        <v>1</v>
      </c>
      <c r="T6" s="167">
        <f t="shared" ref="T6:T99" si="4">H6-R6-S6</f>
        <v>0</v>
      </c>
    </row>
    <row r="7" spans="2:21" x14ac:dyDescent="0.25">
      <c r="B7" s="23">
        <v>45917</v>
      </c>
      <c r="C7" s="24">
        <v>4</v>
      </c>
      <c r="D7" s="18" t="str">
        <f>IFERROR(VLOOKUP(C7,Referencias!$E$7:$F$30,2,FALSE),"")</f>
        <v>Seguimiento de cultivos</v>
      </c>
      <c r="E7" s="24">
        <v>107</v>
      </c>
      <c r="F7" s="18" t="str">
        <f t="shared" si="0"/>
        <v>Omar Piaggio</v>
      </c>
      <c r="G7" s="24" t="s">
        <v>242</v>
      </c>
      <c r="H7" s="195">
        <v>0</v>
      </c>
      <c r="I7" s="138">
        <v>150000</v>
      </c>
      <c r="J7" s="19">
        <f t="shared" si="1"/>
        <v>0</v>
      </c>
      <c r="K7" s="26">
        <v>1</v>
      </c>
      <c r="L7" s="19" t="str">
        <f>IFERROR(VLOOKUP(K7,Referencias!$H$7:$I$9,2,FALSE),"")</f>
        <v>Tomas</v>
      </c>
      <c r="M7" s="27">
        <v>225</v>
      </c>
      <c r="N7" s="138">
        <v>650</v>
      </c>
      <c r="O7" s="20">
        <f t="shared" si="2"/>
        <v>146250</v>
      </c>
      <c r="P7" s="21">
        <f t="shared" si="3"/>
        <v>146250</v>
      </c>
      <c r="Q7" s="22" t="s">
        <v>4</v>
      </c>
      <c r="R7" s="125">
        <v>0</v>
      </c>
      <c r="S7" s="195">
        <v>0</v>
      </c>
      <c r="T7" s="167">
        <f t="shared" si="4"/>
        <v>0</v>
      </c>
    </row>
    <row r="8" spans="2:21" x14ac:dyDescent="0.25">
      <c r="B8" s="124">
        <v>45926</v>
      </c>
      <c r="C8" s="24">
        <v>4</v>
      </c>
      <c r="D8" s="18" t="str">
        <f>IFERROR(VLOOKUP(C8,Referencias!$E$7:$F$30,2,FALSE),"")</f>
        <v>Seguimiento de cultivos</v>
      </c>
      <c r="E8" s="24">
        <v>24</v>
      </c>
      <c r="F8" s="18" t="str">
        <f t="shared" si="0"/>
        <v>Nugas S.A.</v>
      </c>
      <c r="G8" s="24" t="s">
        <v>302</v>
      </c>
      <c r="H8" s="125">
        <v>0.5</v>
      </c>
      <c r="I8" s="138">
        <v>200000</v>
      </c>
      <c r="J8" s="19">
        <f t="shared" si="1"/>
        <v>100000</v>
      </c>
      <c r="K8" s="26">
        <v>1</v>
      </c>
      <c r="L8" s="19" t="str">
        <f>IFERROR(VLOOKUP(K8,Referencias!$H$7:$I$9,2,FALSE),"")</f>
        <v>Tomas</v>
      </c>
      <c r="M8" s="120">
        <v>160</v>
      </c>
      <c r="N8" s="138">
        <v>650</v>
      </c>
      <c r="O8" s="20">
        <f t="shared" si="2"/>
        <v>104000</v>
      </c>
      <c r="P8" s="21">
        <f t="shared" si="3"/>
        <v>204000</v>
      </c>
      <c r="Q8" s="22" t="s">
        <v>4</v>
      </c>
      <c r="R8" s="125">
        <v>0</v>
      </c>
      <c r="S8" s="125">
        <v>0.5</v>
      </c>
      <c r="T8" s="167">
        <f t="shared" si="4"/>
        <v>0</v>
      </c>
    </row>
    <row r="9" spans="2:21" x14ac:dyDescent="0.25">
      <c r="B9" s="124">
        <v>45933</v>
      </c>
      <c r="C9" s="24">
        <v>4</v>
      </c>
      <c r="D9" s="18" t="str">
        <f>IFERROR(VLOOKUP(C9,Referencias!$E$7:$F$30,2,FALSE),"")</f>
        <v>Seguimiento de cultivos</v>
      </c>
      <c r="E9" s="24">
        <v>24</v>
      </c>
      <c r="F9" s="18" t="str">
        <f t="shared" si="0"/>
        <v>Nugas S.A.</v>
      </c>
      <c r="G9" s="24" t="s">
        <v>302</v>
      </c>
      <c r="H9" s="125">
        <v>0.5</v>
      </c>
      <c r="I9" s="138">
        <v>200000</v>
      </c>
      <c r="J9" s="19">
        <f t="shared" si="1"/>
        <v>100000</v>
      </c>
      <c r="K9" s="26">
        <v>3</v>
      </c>
      <c r="L9" s="19" t="str">
        <f>IFERROR(VLOOKUP(K9,Referencias!$H$7:$I$9,2,FALSE),"")</f>
        <v>Zoom</v>
      </c>
      <c r="M9" s="120">
        <v>160</v>
      </c>
      <c r="N9" s="138">
        <v>650</v>
      </c>
      <c r="O9" s="20">
        <f t="shared" si="2"/>
        <v>104000</v>
      </c>
      <c r="P9" s="21">
        <f t="shared" si="3"/>
        <v>204000</v>
      </c>
      <c r="Q9" s="22" t="s">
        <v>4</v>
      </c>
      <c r="R9" s="125">
        <v>0</v>
      </c>
      <c r="S9" s="125">
        <v>0</v>
      </c>
      <c r="T9" s="167">
        <f t="shared" si="4"/>
        <v>0.5</v>
      </c>
    </row>
    <row r="10" spans="2:21" x14ac:dyDescent="0.25">
      <c r="B10" s="124">
        <v>45934</v>
      </c>
      <c r="C10" s="24">
        <v>4</v>
      </c>
      <c r="D10" s="18" t="str">
        <f>IFERROR(VLOOKUP(C10,Referencias!$E$7:$F$30,2,FALSE),"")</f>
        <v>Seguimiento de cultivos</v>
      </c>
      <c r="E10" s="24">
        <v>107</v>
      </c>
      <c r="F10" s="18" t="str">
        <f t="shared" si="0"/>
        <v>Omar Piaggio</v>
      </c>
      <c r="G10" s="24" t="s">
        <v>242</v>
      </c>
      <c r="H10" s="125">
        <v>1</v>
      </c>
      <c r="I10" s="138">
        <v>150000</v>
      </c>
      <c r="J10" s="19">
        <f t="shared" si="1"/>
        <v>150000</v>
      </c>
      <c r="K10" s="26">
        <v>1</v>
      </c>
      <c r="L10" s="19" t="str">
        <f>IFERROR(VLOOKUP(K10,Referencias!$H$7:$I$9,2,FALSE),"")</f>
        <v>Tomas</v>
      </c>
      <c r="M10" s="27">
        <v>225</v>
      </c>
      <c r="N10" s="138">
        <v>650</v>
      </c>
      <c r="O10" s="20">
        <f t="shared" si="2"/>
        <v>146250</v>
      </c>
      <c r="P10" s="21">
        <f t="shared" si="3"/>
        <v>296250</v>
      </c>
      <c r="Q10" s="22" t="s">
        <v>4</v>
      </c>
      <c r="R10" s="125">
        <v>0</v>
      </c>
      <c r="S10" s="125">
        <v>1</v>
      </c>
      <c r="T10" s="167">
        <f t="shared" si="4"/>
        <v>0</v>
      </c>
    </row>
    <row r="11" spans="2:21" x14ac:dyDescent="0.25">
      <c r="B11" s="124">
        <v>45939</v>
      </c>
      <c r="C11" s="24">
        <v>4</v>
      </c>
      <c r="D11" s="18" t="str">
        <f>IFERROR(VLOOKUP(C11,Referencias!$E$7:$F$30,2,FALSE),"")</f>
        <v>Seguimiento de cultivos</v>
      </c>
      <c r="E11" s="24">
        <v>11</v>
      </c>
      <c r="F11" s="18" t="str">
        <f t="shared" si="0"/>
        <v>Carlos Fernando Fuertes</v>
      </c>
      <c r="G11" s="24" t="s">
        <v>230</v>
      </c>
      <c r="H11" s="125">
        <v>0.5</v>
      </c>
      <c r="I11" s="138">
        <v>200000</v>
      </c>
      <c r="J11" s="19">
        <f t="shared" si="1"/>
        <v>100000</v>
      </c>
      <c r="K11" s="26">
        <v>1</v>
      </c>
      <c r="L11" s="19" t="str">
        <f>IFERROR(VLOOKUP(K11,Referencias!$H$7:$I$9,2,FALSE),"")</f>
        <v>Tomas</v>
      </c>
      <c r="M11" s="120">
        <v>120</v>
      </c>
      <c r="N11" s="138">
        <v>650</v>
      </c>
      <c r="O11" s="20">
        <f t="shared" si="2"/>
        <v>78000</v>
      </c>
      <c r="P11" s="21">
        <f t="shared" si="3"/>
        <v>178000</v>
      </c>
      <c r="Q11" s="22" t="s">
        <v>4</v>
      </c>
      <c r="R11" s="125">
        <v>0</v>
      </c>
      <c r="S11" s="125">
        <v>0.5</v>
      </c>
      <c r="T11" s="167">
        <f t="shared" si="4"/>
        <v>0</v>
      </c>
    </row>
    <row r="12" spans="2:21" x14ac:dyDescent="0.25">
      <c r="B12" s="124">
        <v>45940</v>
      </c>
      <c r="C12" s="24">
        <v>4</v>
      </c>
      <c r="D12" s="18" t="str">
        <f>IFERROR(VLOOKUP(C12,Referencias!$E$7:$F$30,2,FALSE),"")</f>
        <v>Seguimiento de cultivos</v>
      </c>
      <c r="E12" s="24">
        <v>24</v>
      </c>
      <c r="F12" s="18" t="str">
        <f t="shared" si="0"/>
        <v>Nugas S.A.</v>
      </c>
      <c r="G12" s="24" t="s">
        <v>302</v>
      </c>
      <c r="H12" s="125">
        <v>0.5</v>
      </c>
      <c r="I12" s="138">
        <v>200000</v>
      </c>
      <c r="J12" s="19">
        <f t="shared" si="1"/>
        <v>100000</v>
      </c>
      <c r="K12" s="26">
        <v>3</v>
      </c>
      <c r="L12" s="19" t="str">
        <f>IFERROR(VLOOKUP(K12,Referencias!$H$7:$I$9,2,FALSE),"")</f>
        <v>Zoom</v>
      </c>
      <c r="M12" s="120">
        <v>160</v>
      </c>
      <c r="N12" s="138">
        <v>650</v>
      </c>
      <c r="O12" s="20">
        <f t="shared" si="2"/>
        <v>104000</v>
      </c>
      <c r="P12" s="21">
        <f t="shared" si="3"/>
        <v>204000</v>
      </c>
      <c r="Q12" s="22" t="s">
        <v>4</v>
      </c>
      <c r="R12" s="125">
        <v>0</v>
      </c>
      <c r="S12" s="195">
        <v>0</v>
      </c>
      <c r="T12" s="167">
        <f t="shared" si="4"/>
        <v>0.5</v>
      </c>
    </row>
    <row r="13" spans="2:21" x14ac:dyDescent="0.25">
      <c r="B13" s="124">
        <v>45948</v>
      </c>
      <c r="C13" s="24">
        <v>4</v>
      </c>
      <c r="D13" s="18" t="str">
        <f>IFERROR(VLOOKUP(C13,Referencias!$E$7:$F$30,2,FALSE),"")</f>
        <v>Seguimiento de cultivos</v>
      </c>
      <c r="E13" s="24">
        <v>107</v>
      </c>
      <c r="F13" s="18" t="str">
        <f t="shared" si="0"/>
        <v>Omar Piaggio</v>
      </c>
      <c r="G13" s="24" t="s">
        <v>242</v>
      </c>
      <c r="H13" s="125">
        <v>1</v>
      </c>
      <c r="I13" s="138">
        <v>150000</v>
      </c>
      <c r="J13" s="19">
        <f t="shared" si="1"/>
        <v>150000</v>
      </c>
      <c r="K13" s="26">
        <v>1</v>
      </c>
      <c r="L13" s="19" t="str">
        <f>IFERROR(VLOOKUP(K13,Referencias!$H$7:$I$9,2,FALSE),"")</f>
        <v>Tomas</v>
      </c>
      <c r="M13" s="27">
        <v>225</v>
      </c>
      <c r="N13" s="138">
        <v>650</v>
      </c>
      <c r="O13" s="20">
        <f t="shared" si="2"/>
        <v>146250</v>
      </c>
      <c r="P13" s="21">
        <f t="shared" si="3"/>
        <v>296250</v>
      </c>
      <c r="Q13" s="22"/>
      <c r="R13" s="125">
        <v>0</v>
      </c>
      <c r="S13" s="195">
        <v>1</v>
      </c>
      <c r="T13" s="167">
        <f t="shared" si="4"/>
        <v>0</v>
      </c>
      <c r="U13" t="s">
        <v>4</v>
      </c>
    </row>
    <row r="14" spans="2:21" x14ac:dyDescent="0.25">
      <c r="B14" s="124">
        <v>45950</v>
      </c>
      <c r="C14" s="24">
        <v>4</v>
      </c>
      <c r="D14" s="18" t="str">
        <f>IFERROR(VLOOKUP(C14,Referencias!$E$7:$F$30,2,FALSE),"")</f>
        <v>Seguimiento de cultivos</v>
      </c>
      <c r="E14" s="24">
        <v>107</v>
      </c>
      <c r="F14" s="18" t="str">
        <f>IFERROR(VLOOKUP(E14,Clientes,2,FALSE),"")</f>
        <v>Omar Piaggio</v>
      </c>
      <c r="G14" s="24" t="s">
        <v>242</v>
      </c>
      <c r="H14" s="125">
        <v>1</v>
      </c>
      <c r="I14" s="138">
        <v>150000</v>
      </c>
      <c r="J14" s="19">
        <f t="shared" si="1"/>
        <v>150000</v>
      </c>
      <c r="K14" s="26">
        <v>1</v>
      </c>
      <c r="L14" s="19" t="str">
        <f>IFERROR(VLOOKUP(K14,Referencias!$H$7:$I$9,2,FALSE),"")</f>
        <v>Tomas</v>
      </c>
      <c r="M14" s="27">
        <v>225</v>
      </c>
      <c r="N14" s="138">
        <v>650</v>
      </c>
      <c r="O14" s="20">
        <f t="shared" si="2"/>
        <v>146250</v>
      </c>
      <c r="P14" s="21">
        <f t="shared" si="3"/>
        <v>296250</v>
      </c>
      <c r="Q14" s="22"/>
      <c r="R14" s="125">
        <v>0</v>
      </c>
      <c r="S14" s="125">
        <v>1</v>
      </c>
      <c r="T14" s="167">
        <f t="shared" si="4"/>
        <v>0</v>
      </c>
    </row>
    <row r="15" spans="2:21" x14ac:dyDescent="0.25">
      <c r="B15" s="124">
        <v>45950</v>
      </c>
      <c r="C15" s="24">
        <v>4</v>
      </c>
      <c r="D15" s="18" t="str">
        <f>IFERROR(VLOOKUP(C15,Referencias!$E$7:$F$30,2,FALSE),"")</f>
        <v>Seguimiento de cultivos</v>
      </c>
      <c r="E15" s="24">
        <v>24</v>
      </c>
      <c r="F15" s="18" t="str">
        <f t="shared" si="0"/>
        <v>Nugas S.A.</v>
      </c>
      <c r="G15" s="24" t="s">
        <v>302</v>
      </c>
      <c r="H15" s="125">
        <v>0.5</v>
      </c>
      <c r="I15" s="138">
        <v>200000</v>
      </c>
      <c r="J15" s="19">
        <f t="shared" si="1"/>
        <v>100000</v>
      </c>
      <c r="K15" s="26">
        <v>3</v>
      </c>
      <c r="L15" s="19" t="str">
        <f>IFERROR(VLOOKUP(K15,Referencias!$H$7:$I$9,2,FALSE),"")</f>
        <v>Zoom</v>
      </c>
      <c r="M15" s="143">
        <v>160</v>
      </c>
      <c r="N15" s="138">
        <v>650</v>
      </c>
      <c r="O15" s="20">
        <f t="shared" si="2"/>
        <v>104000</v>
      </c>
      <c r="P15" s="21">
        <f t="shared" si="3"/>
        <v>204000</v>
      </c>
      <c r="Q15" s="22"/>
      <c r="R15" s="125">
        <v>0</v>
      </c>
      <c r="S15" s="125">
        <v>0</v>
      </c>
      <c r="T15" s="167">
        <f t="shared" si="4"/>
        <v>0.5</v>
      </c>
    </row>
    <row r="16" spans="2:21" x14ac:dyDescent="0.25">
      <c r="B16" s="124">
        <v>45959</v>
      </c>
      <c r="C16" s="24">
        <v>4</v>
      </c>
      <c r="D16" s="18" t="str">
        <f>IFERROR(VLOOKUP(C16,Referencias!$E$7:$F$30,2,FALSE),"")</f>
        <v>Seguimiento de cultivos</v>
      </c>
      <c r="E16" s="24">
        <v>24</v>
      </c>
      <c r="F16" s="18" t="str">
        <f t="shared" si="0"/>
        <v>Nugas S.A.</v>
      </c>
      <c r="G16" s="24" t="s">
        <v>302</v>
      </c>
      <c r="H16" s="125">
        <v>0.5</v>
      </c>
      <c r="I16" s="138">
        <v>200000</v>
      </c>
      <c r="J16" s="19">
        <f t="shared" si="1"/>
        <v>100000</v>
      </c>
      <c r="K16" s="26">
        <v>3</v>
      </c>
      <c r="L16" s="19" t="str">
        <f>IFERROR(VLOOKUP(K16,Referencias!$H$7:$I$9,2,FALSE),"")</f>
        <v>Zoom</v>
      </c>
      <c r="M16" s="120">
        <v>160</v>
      </c>
      <c r="N16" s="138">
        <v>650</v>
      </c>
      <c r="O16" s="20">
        <f t="shared" si="2"/>
        <v>104000</v>
      </c>
      <c r="P16" s="21">
        <f t="shared" si="3"/>
        <v>204000</v>
      </c>
      <c r="Q16" s="22"/>
      <c r="R16" s="125">
        <v>0</v>
      </c>
      <c r="S16" s="195">
        <v>0</v>
      </c>
      <c r="T16" s="167">
        <f t="shared" si="4"/>
        <v>0.5</v>
      </c>
    </row>
    <row r="17" spans="2:20" x14ac:dyDescent="0.25">
      <c r="B17" s="124">
        <v>45967</v>
      </c>
      <c r="C17" s="24">
        <v>4</v>
      </c>
      <c r="D17" s="18" t="str">
        <f>IFERROR(VLOOKUP(C17,Referencias!$E$7:$F$30,2,FALSE),"")</f>
        <v>Seguimiento de cultivos</v>
      </c>
      <c r="E17" s="24">
        <v>11</v>
      </c>
      <c r="F17" s="18" t="str">
        <f t="shared" si="0"/>
        <v>Carlos Fernando Fuertes</v>
      </c>
      <c r="G17" s="24" t="s">
        <v>230</v>
      </c>
      <c r="H17" s="125">
        <v>0.5</v>
      </c>
      <c r="I17" s="138">
        <v>200000</v>
      </c>
      <c r="J17" s="19">
        <f t="shared" si="1"/>
        <v>100000</v>
      </c>
      <c r="K17" s="26">
        <v>1</v>
      </c>
      <c r="L17" s="19" t="str">
        <f>IFERROR(VLOOKUP(K17,Referencias!$H$7:$I$9,2,FALSE),"")</f>
        <v>Tomas</v>
      </c>
      <c r="M17" s="120">
        <v>120</v>
      </c>
      <c r="N17" s="138">
        <v>650</v>
      </c>
      <c r="O17" s="20">
        <f t="shared" si="2"/>
        <v>78000</v>
      </c>
      <c r="P17" s="21">
        <f t="shared" si="3"/>
        <v>178000</v>
      </c>
      <c r="Q17" s="22"/>
      <c r="R17" s="125">
        <v>0</v>
      </c>
      <c r="S17" s="125">
        <v>0.5</v>
      </c>
      <c r="T17" s="167">
        <f t="shared" si="4"/>
        <v>0</v>
      </c>
    </row>
    <row r="18" spans="2:20" x14ac:dyDescent="0.25">
      <c r="B18" s="124">
        <v>45968</v>
      </c>
      <c r="C18" s="24">
        <v>4</v>
      </c>
      <c r="D18" s="18" t="str">
        <f>IFERROR(VLOOKUP(C18,Referencias!$E$7:$F$30,2,FALSE),"")</f>
        <v>Seguimiento de cultivos</v>
      </c>
      <c r="E18" s="24">
        <v>11</v>
      </c>
      <c r="F18" s="18" t="str">
        <f t="shared" si="0"/>
        <v>Carlos Fernando Fuertes</v>
      </c>
      <c r="G18" s="24" t="s">
        <v>230</v>
      </c>
      <c r="H18" s="125">
        <v>0.5</v>
      </c>
      <c r="I18" s="138">
        <v>200000</v>
      </c>
      <c r="J18" s="19">
        <f t="shared" si="1"/>
        <v>100000</v>
      </c>
      <c r="K18" s="26">
        <v>1</v>
      </c>
      <c r="L18" s="19" t="str">
        <f>IFERROR(VLOOKUP(K18,Referencias!$H$7:$I$9,2,FALSE),"")</f>
        <v>Tomas</v>
      </c>
      <c r="M18" s="120">
        <v>120</v>
      </c>
      <c r="N18" s="138">
        <v>650</v>
      </c>
      <c r="O18" s="20">
        <f t="shared" si="2"/>
        <v>78000</v>
      </c>
      <c r="P18" s="21">
        <f t="shared" si="3"/>
        <v>178000</v>
      </c>
      <c r="Q18" s="22"/>
      <c r="R18" s="125">
        <v>0</v>
      </c>
      <c r="S18" s="195">
        <v>0.5</v>
      </c>
      <c r="T18" s="167">
        <f t="shared" si="4"/>
        <v>0</v>
      </c>
    </row>
    <row r="19" spans="2:20" x14ac:dyDescent="0.25">
      <c r="B19" s="124">
        <v>45968</v>
      </c>
      <c r="C19" s="24">
        <v>4</v>
      </c>
      <c r="D19" s="18" t="str">
        <f>IFERROR(VLOOKUP(C19,Referencias!$E$7:$F$30,2,FALSE),"")</f>
        <v>Seguimiento de cultivos</v>
      </c>
      <c r="E19" s="24">
        <v>24</v>
      </c>
      <c r="F19" s="18" t="str">
        <f t="shared" si="0"/>
        <v>Nugas S.A.</v>
      </c>
      <c r="G19" s="24" t="s">
        <v>302</v>
      </c>
      <c r="H19" s="125">
        <v>0.5</v>
      </c>
      <c r="I19" s="138">
        <v>200000</v>
      </c>
      <c r="J19" s="19">
        <f t="shared" si="1"/>
        <v>100000</v>
      </c>
      <c r="K19" s="26">
        <v>3</v>
      </c>
      <c r="L19" s="19" t="str">
        <f>IFERROR(VLOOKUP(K19,Referencias!$H$7:$I$9,2,FALSE),"")</f>
        <v>Zoom</v>
      </c>
      <c r="M19" s="143">
        <v>160</v>
      </c>
      <c r="N19" s="138">
        <v>650</v>
      </c>
      <c r="O19" s="20">
        <f t="shared" si="2"/>
        <v>104000</v>
      </c>
      <c r="P19" s="21">
        <f t="shared" si="3"/>
        <v>204000</v>
      </c>
      <c r="Q19" s="22"/>
      <c r="R19" s="125">
        <v>0</v>
      </c>
      <c r="S19" s="125">
        <v>0</v>
      </c>
      <c r="T19" s="167">
        <f t="shared" si="4"/>
        <v>0.5</v>
      </c>
    </row>
    <row r="20" spans="2:20" x14ac:dyDescent="0.25">
      <c r="B20" s="192">
        <v>45970</v>
      </c>
      <c r="C20" s="24">
        <v>4</v>
      </c>
      <c r="D20" s="18" t="str">
        <f>IFERROR(VLOOKUP(C20,Referencias!$E$7:$F$30,2,FALSE),"")</f>
        <v>Seguimiento de cultivos</v>
      </c>
      <c r="E20" s="24">
        <v>107</v>
      </c>
      <c r="F20" s="18" t="str">
        <f t="shared" si="0"/>
        <v>Omar Piaggio</v>
      </c>
      <c r="G20" s="24" t="s">
        <v>242</v>
      </c>
      <c r="H20" s="125">
        <v>1</v>
      </c>
      <c r="I20" s="138">
        <v>150000</v>
      </c>
      <c r="J20" s="19">
        <f t="shared" si="1"/>
        <v>150000</v>
      </c>
      <c r="K20" s="26">
        <v>1</v>
      </c>
      <c r="L20" s="19" t="str">
        <f>IFERROR(VLOOKUP(K20,Referencias!$H$7:$I$9,2,FALSE),"")</f>
        <v>Tomas</v>
      </c>
      <c r="M20" s="27">
        <v>225</v>
      </c>
      <c r="N20" s="152">
        <v>650</v>
      </c>
      <c r="O20" s="20">
        <f t="shared" si="2"/>
        <v>146250</v>
      </c>
      <c r="P20" s="21">
        <f t="shared" si="3"/>
        <v>296250</v>
      </c>
      <c r="Q20" s="22"/>
      <c r="R20" s="125">
        <v>0</v>
      </c>
      <c r="S20" s="125">
        <v>1</v>
      </c>
      <c r="T20" s="167">
        <f t="shared" si="4"/>
        <v>0</v>
      </c>
    </row>
    <row r="21" spans="2:20" x14ac:dyDescent="0.25">
      <c r="B21" s="192">
        <v>45971</v>
      </c>
      <c r="C21" s="24">
        <v>4</v>
      </c>
      <c r="D21" s="18" t="str">
        <f>IFERROR(VLOOKUP(C21,Referencias!$E$7:$F$30,2,FALSE),"")</f>
        <v>Seguimiento de cultivos</v>
      </c>
      <c r="E21" s="24">
        <v>11</v>
      </c>
      <c r="F21" s="18" t="str">
        <f t="shared" si="0"/>
        <v>Carlos Fernando Fuertes</v>
      </c>
      <c r="G21" s="24" t="s">
        <v>230</v>
      </c>
      <c r="H21" s="125">
        <v>0.5</v>
      </c>
      <c r="I21" s="138">
        <v>200000</v>
      </c>
      <c r="J21" s="19">
        <f t="shared" si="1"/>
        <v>100000</v>
      </c>
      <c r="K21" s="26">
        <v>1</v>
      </c>
      <c r="L21" s="19" t="str">
        <f>IFERROR(VLOOKUP(K21,Referencias!$H$7:$I$9,2,FALSE),"")</f>
        <v>Tomas</v>
      </c>
      <c r="M21" s="143">
        <v>120</v>
      </c>
      <c r="N21" s="152">
        <v>650</v>
      </c>
      <c r="O21" s="20">
        <f t="shared" si="2"/>
        <v>78000</v>
      </c>
      <c r="P21" s="21">
        <f t="shared" si="3"/>
        <v>178000</v>
      </c>
      <c r="Q21" s="22"/>
      <c r="R21" s="125">
        <v>0</v>
      </c>
      <c r="S21" s="125">
        <v>0.5</v>
      </c>
      <c r="T21" s="167">
        <f t="shared" si="4"/>
        <v>0</v>
      </c>
    </row>
    <row r="22" spans="2:20" x14ac:dyDescent="0.25">
      <c r="B22" s="192">
        <v>45973</v>
      </c>
      <c r="C22" s="24">
        <v>4</v>
      </c>
      <c r="D22" s="18" t="str">
        <f>IFERROR(VLOOKUP(C22,Referencias!$E$7:$F$30,2,FALSE),"")</f>
        <v>Seguimiento de cultivos</v>
      </c>
      <c r="E22" s="24">
        <v>107</v>
      </c>
      <c r="F22" s="18" t="str">
        <f t="shared" si="0"/>
        <v>Omar Piaggio</v>
      </c>
      <c r="G22" s="24" t="s">
        <v>242</v>
      </c>
      <c r="H22" s="125">
        <v>1</v>
      </c>
      <c r="I22" s="138">
        <v>150000</v>
      </c>
      <c r="J22" s="19">
        <f t="shared" si="1"/>
        <v>150000</v>
      </c>
      <c r="K22" s="26">
        <v>1</v>
      </c>
      <c r="L22" s="19" t="str">
        <f>IFERROR(VLOOKUP(K22,Referencias!$H$7:$I$9,2,FALSE),"")</f>
        <v>Tomas</v>
      </c>
      <c r="M22" s="27">
        <v>225</v>
      </c>
      <c r="N22" s="152">
        <v>650</v>
      </c>
      <c r="O22" s="20">
        <f t="shared" si="2"/>
        <v>146250</v>
      </c>
      <c r="P22" s="21">
        <f t="shared" si="3"/>
        <v>296250</v>
      </c>
      <c r="Q22" s="22"/>
      <c r="R22" s="125">
        <v>0</v>
      </c>
      <c r="S22" s="125">
        <v>1</v>
      </c>
      <c r="T22" s="167">
        <f t="shared" si="4"/>
        <v>0</v>
      </c>
    </row>
    <row r="23" spans="2:20" x14ac:dyDescent="0.25">
      <c r="B23" s="192">
        <v>45975</v>
      </c>
      <c r="C23" s="24">
        <v>4</v>
      </c>
      <c r="D23" s="18" t="str">
        <f>IFERROR(VLOOKUP(C23,Referencias!$E$7:$F$30,2,FALSE),"")</f>
        <v>Seguimiento de cultivos</v>
      </c>
      <c r="E23" s="24">
        <v>24</v>
      </c>
      <c r="F23" s="18" t="str">
        <f t="shared" si="0"/>
        <v>Nugas S.A.</v>
      </c>
      <c r="G23" s="24" t="s">
        <v>302</v>
      </c>
      <c r="H23" s="125">
        <v>1</v>
      </c>
      <c r="I23" s="138">
        <v>200000</v>
      </c>
      <c r="J23" s="19">
        <f t="shared" si="1"/>
        <v>200000</v>
      </c>
      <c r="K23" s="26">
        <v>3</v>
      </c>
      <c r="L23" s="19" t="str">
        <f>IFERROR(VLOOKUP(K23,Referencias!$H$7:$I$9,2,FALSE),"")</f>
        <v>Zoom</v>
      </c>
      <c r="M23" s="143">
        <v>160</v>
      </c>
      <c r="N23" s="152">
        <v>650</v>
      </c>
      <c r="O23" s="20">
        <f t="shared" si="2"/>
        <v>104000</v>
      </c>
      <c r="P23" s="21">
        <f t="shared" si="3"/>
        <v>304000</v>
      </c>
      <c r="Q23" s="22"/>
      <c r="R23" s="125">
        <v>0</v>
      </c>
      <c r="S23" s="125">
        <v>0</v>
      </c>
      <c r="T23" s="167">
        <f t="shared" si="4"/>
        <v>1</v>
      </c>
    </row>
    <row r="24" spans="2:20" x14ac:dyDescent="0.25">
      <c r="B24" s="124">
        <v>45975</v>
      </c>
      <c r="C24" s="24">
        <v>4</v>
      </c>
      <c r="D24" s="18" t="str">
        <f>IFERROR(VLOOKUP(C24,Referencias!$E$7:$F$30,2,FALSE),"")</f>
        <v>Seguimiento de cultivos</v>
      </c>
      <c r="E24" s="24">
        <v>107</v>
      </c>
      <c r="F24" s="18" t="str">
        <f t="shared" si="0"/>
        <v>Omar Piaggio</v>
      </c>
      <c r="G24" s="24" t="s">
        <v>242</v>
      </c>
      <c r="H24" s="125">
        <v>1</v>
      </c>
      <c r="I24" s="138">
        <v>150000</v>
      </c>
      <c r="J24" s="19">
        <f t="shared" si="1"/>
        <v>150000</v>
      </c>
      <c r="K24" s="26">
        <v>1</v>
      </c>
      <c r="L24" s="19" t="str">
        <f>IFERROR(VLOOKUP(K24,Referencias!$H$7:$I$9,2,FALSE),"")</f>
        <v>Tomas</v>
      </c>
      <c r="M24" s="27">
        <v>225</v>
      </c>
      <c r="N24" s="152">
        <v>650</v>
      </c>
      <c r="O24" s="20">
        <f t="shared" si="2"/>
        <v>146250</v>
      </c>
      <c r="P24" s="21">
        <f t="shared" si="3"/>
        <v>296250</v>
      </c>
      <c r="Q24" s="22"/>
      <c r="R24" s="125">
        <v>0</v>
      </c>
      <c r="S24" s="125">
        <v>1</v>
      </c>
      <c r="T24" s="167">
        <f t="shared" si="4"/>
        <v>0</v>
      </c>
    </row>
    <row r="25" spans="2:20" x14ac:dyDescent="0.25">
      <c r="B25" s="124">
        <v>45986</v>
      </c>
      <c r="C25" s="24">
        <v>4</v>
      </c>
      <c r="D25" s="18" t="str">
        <f>IFERROR(VLOOKUP(C25,Referencias!$E$7:$F$30,2,FALSE),"")</f>
        <v>Seguimiento de cultivos</v>
      </c>
      <c r="E25" s="24">
        <v>24</v>
      </c>
      <c r="F25" s="18" t="str">
        <f t="shared" si="0"/>
        <v>Nugas S.A.</v>
      </c>
      <c r="G25" s="24" t="s">
        <v>302</v>
      </c>
      <c r="H25" s="125">
        <v>1</v>
      </c>
      <c r="I25" s="138">
        <v>200000</v>
      </c>
      <c r="J25" s="19">
        <f t="shared" si="1"/>
        <v>200000</v>
      </c>
      <c r="K25" s="26">
        <v>3</v>
      </c>
      <c r="L25" s="19" t="str">
        <f>IFERROR(VLOOKUP(K25,Referencias!$H$7:$I$9,2,FALSE),"")</f>
        <v>Zoom</v>
      </c>
      <c r="M25" s="120">
        <v>160</v>
      </c>
      <c r="N25" s="152">
        <v>650</v>
      </c>
      <c r="O25" s="20">
        <f t="shared" si="2"/>
        <v>104000</v>
      </c>
      <c r="P25" s="21">
        <f t="shared" si="3"/>
        <v>304000</v>
      </c>
      <c r="Q25" s="22" t="s">
        <v>4</v>
      </c>
      <c r="R25" s="125">
        <v>0</v>
      </c>
      <c r="S25" s="125">
        <v>0</v>
      </c>
      <c r="T25" s="167">
        <f t="shared" si="4"/>
        <v>1</v>
      </c>
    </row>
    <row r="26" spans="2:20" x14ac:dyDescent="0.25">
      <c r="B26" s="124">
        <v>45985</v>
      </c>
      <c r="C26" s="24">
        <v>4</v>
      </c>
      <c r="D26" s="18" t="str">
        <f>IFERROR(VLOOKUP(C26,Referencias!$E$7:$F$30,2,FALSE),"")</f>
        <v>Seguimiento de cultivos</v>
      </c>
      <c r="E26" s="24">
        <v>107</v>
      </c>
      <c r="F26" s="18" t="str">
        <f t="shared" si="0"/>
        <v>Omar Piaggio</v>
      </c>
      <c r="G26" s="24" t="s">
        <v>242</v>
      </c>
      <c r="H26" s="125">
        <v>1</v>
      </c>
      <c r="I26" s="138">
        <v>150000</v>
      </c>
      <c r="J26" s="19">
        <f t="shared" si="1"/>
        <v>150000</v>
      </c>
      <c r="K26" s="26">
        <v>1</v>
      </c>
      <c r="L26" s="19" t="str">
        <f>IFERROR(VLOOKUP(K26,Referencias!$H$7:$I$9,2,FALSE),"")</f>
        <v>Tomas</v>
      </c>
      <c r="M26" s="27">
        <v>225</v>
      </c>
      <c r="N26" s="152">
        <v>650</v>
      </c>
      <c r="O26" s="20">
        <f t="shared" si="2"/>
        <v>146250</v>
      </c>
      <c r="P26" s="21">
        <f t="shared" si="3"/>
        <v>296250</v>
      </c>
      <c r="Q26" s="22" t="s">
        <v>4</v>
      </c>
      <c r="R26" s="125">
        <v>0</v>
      </c>
      <c r="S26" s="125">
        <v>1</v>
      </c>
      <c r="T26" s="167">
        <f t="shared" si="4"/>
        <v>0</v>
      </c>
    </row>
    <row r="27" spans="2:20" x14ac:dyDescent="0.25">
      <c r="B27" s="124">
        <v>45999</v>
      </c>
      <c r="C27" s="24">
        <v>4</v>
      </c>
      <c r="D27" s="18" t="str">
        <f>IFERROR(VLOOKUP(C27,Referencias!$E$7:$F$30,2,FALSE),"")</f>
        <v>Seguimiento de cultivos</v>
      </c>
      <c r="E27" s="24">
        <v>107</v>
      </c>
      <c r="F27" s="18" t="str">
        <f t="shared" si="0"/>
        <v>Omar Piaggio</v>
      </c>
      <c r="G27" s="24" t="s">
        <v>242</v>
      </c>
      <c r="H27" s="125">
        <v>1</v>
      </c>
      <c r="I27" s="138">
        <v>150000</v>
      </c>
      <c r="J27" s="19">
        <f t="shared" si="1"/>
        <v>150000</v>
      </c>
      <c r="K27" s="26">
        <v>1</v>
      </c>
      <c r="L27" s="19" t="str">
        <f>IFERROR(VLOOKUP(K27,Referencias!$H$7:$I$9,2,FALSE),"")</f>
        <v>Tomas</v>
      </c>
      <c r="M27" s="143">
        <v>225</v>
      </c>
      <c r="N27" s="152">
        <v>650</v>
      </c>
      <c r="O27" s="20">
        <f t="shared" si="2"/>
        <v>146250</v>
      </c>
      <c r="P27" s="21">
        <f t="shared" si="3"/>
        <v>296250</v>
      </c>
      <c r="Q27" s="22"/>
      <c r="R27" s="125">
        <v>0</v>
      </c>
      <c r="S27" s="125">
        <v>1</v>
      </c>
      <c r="T27" s="167">
        <f t="shared" si="4"/>
        <v>0</v>
      </c>
    </row>
    <row r="28" spans="2:20" x14ac:dyDescent="0.25">
      <c r="B28" s="124">
        <v>45981</v>
      </c>
      <c r="C28" s="24">
        <v>4</v>
      </c>
      <c r="D28" s="18" t="str">
        <f>IFERROR(VLOOKUP(C28,Referencias!$E$7:$F$30,2,FALSE),"")</f>
        <v>Seguimiento de cultivos</v>
      </c>
      <c r="E28" s="24">
        <v>11</v>
      </c>
      <c r="F28" s="18" t="str">
        <f t="shared" si="0"/>
        <v>Carlos Fernando Fuertes</v>
      </c>
      <c r="G28" s="24" t="s">
        <v>230</v>
      </c>
      <c r="H28" s="125">
        <v>0.5</v>
      </c>
      <c r="I28" s="138">
        <v>200000</v>
      </c>
      <c r="J28" s="19">
        <f t="shared" si="1"/>
        <v>100000</v>
      </c>
      <c r="K28" s="26">
        <v>1</v>
      </c>
      <c r="L28" s="19" t="str">
        <f>IFERROR(VLOOKUP(K28,Referencias!$H$7:$I$9,2,FALSE),"")</f>
        <v>Tomas</v>
      </c>
      <c r="M28" s="120">
        <v>120</v>
      </c>
      <c r="N28" s="152">
        <v>650</v>
      </c>
      <c r="O28" s="20">
        <f t="shared" si="2"/>
        <v>78000</v>
      </c>
      <c r="P28" s="21">
        <f t="shared" si="3"/>
        <v>178000</v>
      </c>
      <c r="Q28" s="22"/>
      <c r="R28" s="125">
        <v>0</v>
      </c>
      <c r="S28" s="125">
        <v>0.5</v>
      </c>
      <c r="T28" s="167">
        <f t="shared" si="4"/>
        <v>0</v>
      </c>
    </row>
    <row r="29" spans="2:20" x14ac:dyDescent="0.25">
      <c r="B29" s="124">
        <v>46001</v>
      </c>
      <c r="C29" s="24">
        <v>4</v>
      </c>
      <c r="D29" s="18" t="str">
        <f>IFERROR(VLOOKUP(C29,Referencias!$E$7:$F$30,2,FALSE),"")</f>
        <v>Seguimiento de cultivos</v>
      </c>
      <c r="E29" s="24">
        <v>11</v>
      </c>
      <c r="F29" s="18" t="str">
        <f t="shared" si="0"/>
        <v>Carlos Fernando Fuertes</v>
      </c>
      <c r="G29" s="24" t="s">
        <v>230</v>
      </c>
      <c r="H29" s="125">
        <v>0.5</v>
      </c>
      <c r="I29" s="138">
        <v>200000</v>
      </c>
      <c r="J29" s="19">
        <f t="shared" si="1"/>
        <v>100000</v>
      </c>
      <c r="K29" s="26">
        <v>1</v>
      </c>
      <c r="L29" s="19" t="str">
        <f>IFERROR(VLOOKUP(K29,Referencias!$H$7:$I$9,2,FALSE),"")</f>
        <v>Tomas</v>
      </c>
      <c r="M29" s="143">
        <v>120</v>
      </c>
      <c r="N29" s="152">
        <v>650</v>
      </c>
      <c r="O29" s="20">
        <f t="shared" si="2"/>
        <v>78000</v>
      </c>
      <c r="P29" s="21">
        <f t="shared" si="3"/>
        <v>178000</v>
      </c>
      <c r="Q29" s="22"/>
      <c r="R29" s="125">
        <v>0</v>
      </c>
      <c r="S29" s="125">
        <v>0.5</v>
      </c>
      <c r="T29" s="167">
        <f t="shared" si="4"/>
        <v>0</v>
      </c>
    </row>
    <row r="30" spans="2:20" x14ac:dyDescent="0.25">
      <c r="B30" s="124">
        <v>46002</v>
      </c>
      <c r="C30" s="24">
        <v>4</v>
      </c>
      <c r="D30" s="18" t="str">
        <f>IFERROR(VLOOKUP(C30,Referencias!$E$7:$F$30,2,FALSE),"")</f>
        <v>Seguimiento de cultivos</v>
      </c>
      <c r="E30" s="24">
        <v>24</v>
      </c>
      <c r="F30" s="18" t="str">
        <f t="shared" si="0"/>
        <v>Nugas S.A.</v>
      </c>
      <c r="G30" s="24" t="s">
        <v>302</v>
      </c>
      <c r="H30" s="125">
        <v>1</v>
      </c>
      <c r="I30" s="138">
        <v>200000</v>
      </c>
      <c r="J30" s="19">
        <f t="shared" si="1"/>
        <v>200000</v>
      </c>
      <c r="K30" s="26">
        <v>1</v>
      </c>
      <c r="L30" s="19" t="str">
        <f>IFERROR(VLOOKUP(K30,Referencias!$H$7:$I$9,2,FALSE),"")</f>
        <v>Tomas</v>
      </c>
      <c r="M30" s="143">
        <v>160</v>
      </c>
      <c r="N30" s="152">
        <v>650</v>
      </c>
      <c r="O30" s="20">
        <f t="shared" si="2"/>
        <v>104000</v>
      </c>
      <c r="P30" s="21">
        <f t="shared" si="3"/>
        <v>304000</v>
      </c>
      <c r="Q30" s="22"/>
      <c r="R30" s="125">
        <v>0</v>
      </c>
      <c r="S30" s="125">
        <v>1</v>
      </c>
      <c r="T30" s="167">
        <f t="shared" si="4"/>
        <v>0</v>
      </c>
    </row>
    <row r="31" spans="2:20" x14ac:dyDescent="0.25">
      <c r="B31" s="124">
        <v>46007</v>
      </c>
      <c r="C31" s="24">
        <v>4</v>
      </c>
      <c r="D31" s="18" t="str">
        <f>IFERROR(VLOOKUP(C31,Referencias!$E$7:$F$30,2,FALSE),"")</f>
        <v>Seguimiento de cultivos</v>
      </c>
      <c r="E31" s="24">
        <v>107</v>
      </c>
      <c r="F31" s="18" t="str">
        <f t="shared" si="0"/>
        <v>Omar Piaggio</v>
      </c>
      <c r="G31" s="24" t="s">
        <v>242</v>
      </c>
      <c r="H31" s="125">
        <v>1</v>
      </c>
      <c r="I31" s="138">
        <v>150000</v>
      </c>
      <c r="J31" s="19">
        <f t="shared" si="1"/>
        <v>150000</v>
      </c>
      <c r="K31" s="26">
        <v>1</v>
      </c>
      <c r="L31" s="19" t="str">
        <f>IFERROR(VLOOKUP(K31,Referencias!$H$7:$I$9,2,FALSE),"")</f>
        <v>Tomas</v>
      </c>
      <c r="M31" s="143">
        <v>225</v>
      </c>
      <c r="N31" s="152">
        <v>650</v>
      </c>
      <c r="O31" s="20">
        <f t="shared" si="2"/>
        <v>146250</v>
      </c>
      <c r="P31" s="21">
        <f t="shared" si="3"/>
        <v>296250</v>
      </c>
      <c r="Q31" s="22"/>
      <c r="R31" s="125">
        <v>0</v>
      </c>
      <c r="S31" s="125">
        <v>1</v>
      </c>
      <c r="T31" s="167">
        <f t="shared" si="4"/>
        <v>0</v>
      </c>
    </row>
    <row r="32" spans="2:20" x14ac:dyDescent="0.25">
      <c r="B32" s="124">
        <v>46009</v>
      </c>
      <c r="C32" s="24">
        <v>4</v>
      </c>
      <c r="D32" s="18" t="str">
        <f>IFERROR(VLOOKUP(C32,Referencias!$E$7:$F$30,2,FALSE),"")</f>
        <v>Seguimiento de cultivos</v>
      </c>
      <c r="E32" s="24">
        <v>107</v>
      </c>
      <c r="F32" s="18" t="str">
        <f t="shared" si="0"/>
        <v>Omar Piaggio</v>
      </c>
      <c r="G32" s="24" t="s">
        <v>242</v>
      </c>
      <c r="H32" s="125">
        <v>1</v>
      </c>
      <c r="I32" s="138">
        <v>150000</v>
      </c>
      <c r="J32" s="19">
        <f t="shared" si="1"/>
        <v>150000</v>
      </c>
      <c r="K32" s="26">
        <v>1</v>
      </c>
      <c r="L32" s="19" t="str">
        <f>IFERROR(VLOOKUP(K32,Referencias!$H$7:$I$9,2,FALSE),"")</f>
        <v>Tomas</v>
      </c>
      <c r="M32" s="143">
        <v>225</v>
      </c>
      <c r="N32" s="152">
        <v>650</v>
      </c>
      <c r="O32" s="20">
        <f t="shared" si="2"/>
        <v>146250</v>
      </c>
      <c r="P32" s="21">
        <f t="shared" si="3"/>
        <v>296250</v>
      </c>
      <c r="Q32" s="22"/>
      <c r="R32" s="125">
        <v>0</v>
      </c>
      <c r="S32" s="125">
        <v>1</v>
      </c>
      <c r="T32" s="167">
        <f t="shared" si="4"/>
        <v>0</v>
      </c>
    </row>
    <row r="33" spans="2:20" x14ac:dyDescent="0.25">
      <c r="B33" s="124">
        <v>46015</v>
      </c>
      <c r="C33" s="24">
        <v>4</v>
      </c>
      <c r="D33" s="18" t="str">
        <f>IFERROR(VLOOKUP(C33,Referencias!$E$7:$F$30,2,FALSE),"")</f>
        <v>Seguimiento de cultivos</v>
      </c>
      <c r="E33" s="24">
        <v>107</v>
      </c>
      <c r="F33" s="18" t="str">
        <f t="shared" si="0"/>
        <v>Omar Piaggio</v>
      </c>
      <c r="G33" s="24" t="s">
        <v>242</v>
      </c>
      <c r="H33" s="125">
        <v>1</v>
      </c>
      <c r="I33" s="138">
        <v>150000</v>
      </c>
      <c r="J33" s="19">
        <f t="shared" si="1"/>
        <v>150000</v>
      </c>
      <c r="K33" s="26">
        <v>1</v>
      </c>
      <c r="L33" s="19" t="str">
        <f>IFERROR(VLOOKUP(K33,Referencias!$H$7:$I$9,2,FALSE),"")</f>
        <v>Tomas</v>
      </c>
      <c r="M33" s="143">
        <v>225</v>
      </c>
      <c r="N33" s="152">
        <v>650</v>
      </c>
      <c r="O33" s="20">
        <f t="shared" si="2"/>
        <v>146250</v>
      </c>
      <c r="P33" s="21">
        <f t="shared" si="3"/>
        <v>296250</v>
      </c>
      <c r="Q33" s="22" t="s">
        <v>4</v>
      </c>
      <c r="R33" s="125">
        <v>0</v>
      </c>
      <c r="S33" s="125">
        <v>1</v>
      </c>
      <c r="T33" s="167">
        <f t="shared" si="4"/>
        <v>0</v>
      </c>
    </row>
    <row r="34" spans="2:20" x14ac:dyDescent="0.25">
      <c r="B34" s="124">
        <v>46018</v>
      </c>
      <c r="C34" s="24">
        <v>4</v>
      </c>
      <c r="D34" s="18" t="str">
        <f>IFERROR(VLOOKUP(C34,Referencias!$E$7:$F$30,2,FALSE),"")</f>
        <v>Seguimiento de cultivos</v>
      </c>
      <c r="E34" s="24">
        <v>107</v>
      </c>
      <c r="F34" s="18" t="str">
        <f t="shared" si="0"/>
        <v>Omar Piaggio</v>
      </c>
      <c r="G34" s="24" t="s">
        <v>242</v>
      </c>
      <c r="H34" s="125">
        <v>1</v>
      </c>
      <c r="I34" s="138">
        <v>150000</v>
      </c>
      <c r="J34" s="19">
        <f t="shared" si="1"/>
        <v>150000</v>
      </c>
      <c r="K34" s="26">
        <v>1</v>
      </c>
      <c r="L34" s="19" t="str">
        <f>IFERROR(VLOOKUP(K34,Referencias!$H$7:$I$9,2,FALSE),"")</f>
        <v>Tomas</v>
      </c>
      <c r="M34" s="143">
        <v>225</v>
      </c>
      <c r="N34" s="152">
        <v>650</v>
      </c>
      <c r="O34" s="20">
        <f t="shared" si="2"/>
        <v>146250</v>
      </c>
      <c r="P34" s="21">
        <f t="shared" si="3"/>
        <v>296250</v>
      </c>
      <c r="Q34" s="22"/>
      <c r="R34" s="125">
        <v>0</v>
      </c>
      <c r="S34" s="125">
        <v>1</v>
      </c>
      <c r="T34" s="167">
        <f t="shared" si="4"/>
        <v>0</v>
      </c>
    </row>
    <row r="35" spans="2:20" x14ac:dyDescent="0.25">
      <c r="B35" s="124">
        <v>46018</v>
      </c>
      <c r="C35" s="24">
        <v>4</v>
      </c>
      <c r="D35" s="18" t="str">
        <f>IFERROR(VLOOKUP(C35,Referencias!$E$7:$F$30,2,FALSE),"")</f>
        <v>Seguimiento de cultivos</v>
      </c>
      <c r="E35" s="24">
        <v>11</v>
      </c>
      <c r="F35" s="18" t="str">
        <f>IFERROR(VLOOKUP(E35,Clientes,2,FALSE),"")</f>
        <v>Carlos Fernando Fuertes</v>
      </c>
      <c r="G35" s="24" t="s">
        <v>230</v>
      </c>
      <c r="H35" s="125">
        <v>0.5</v>
      </c>
      <c r="I35" s="138">
        <v>200000</v>
      </c>
      <c r="J35" s="19">
        <f>IF(H35&lt;&gt;"",H35*I35,"")</f>
        <v>100000</v>
      </c>
      <c r="K35" s="26">
        <v>1</v>
      </c>
      <c r="L35" s="19" t="str">
        <f>IFERROR(VLOOKUP(K35,Referencias!$H$7:$I$9,2,FALSE),"")</f>
        <v>Tomas</v>
      </c>
      <c r="M35" s="143">
        <v>120</v>
      </c>
      <c r="N35" s="152">
        <v>650</v>
      </c>
      <c r="O35" s="20">
        <f>IF(M35&lt;&gt;"",M35*N35,"")</f>
        <v>78000</v>
      </c>
      <c r="P35" s="21">
        <f>IF(J35&lt;&gt;"",J35+O35,"")</f>
        <v>178000</v>
      </c>
      <c r="Q35" s="22"/>
      <c r="R35" s="125">
        <v>0</v>
      </c>
      <c r="S35" s="125">
        <v>0.5</v>
      </c>
      <c r="T35" s="167">
        <f t="shared" si="4"/>
        <v>0</v>
      </c>
    </row>
    <row r="36" spans="2:20" x14ac:dyDescent="0.25">
      <c r="B36" s="124">
        <v>46020</v>
      </c>
      <c r="C36" s="24">
        <v>4</v>
      </c>
      <c r="D36" s="18" t="str">
        <f>IFERROR(VLOOKUP(C36,Referencias!$E$7:$F$30,2,FALSE),"")</f>
        <v>Seguimiento de cultivos</v>
      </c>
      <c r="E36" s="24">
        <v>107</v>
      </c>
      <c r="F36" s="18" t="str">
        <f t="shared" si="0"/>
        <v>Omar Piaggio</v>
      </c>
      <c r="G36" s="24" t="s">
        <v>242</v>
      </c>
      <c r="H36" s="125">
        <v>1</v>
      </c>
      <c r="I36" s="138">
        <v>150000</v>
      </c>
      <c r="J36" s="19">
        <f t="shared" si="1"/>
        <v>150000</v>
      </c>
      <c r="K36" s="26">
        <v>1</v>
      </c>
      <c r="L36" s="19" t="str">
        <f>IFERROR(VLOOKUP(K36,Referencias!$H$7:$I$9,2,FALSE),"")</f>
        <v>Tomas</v>
      </c>
      <c r="M36" s="143">
        <v>225</v>
      </c>
      <c r="N36" s="152">
        <v>650</v>
      </c>
      <c r="O36" s="20">
        <f t="shared" si="2"/>
        <v>146250</v>
      </c>
      <c r="P36" s="21">
        <f t="shared" si="3"/>
        <v>296250</v>
      </c>
      <c r="Q36" s="22"/>
      <c r="R36" s="125">
        <v>0</v>
      </c>
      <c r="S36" s="125">
        <v>1</v>
      </c>
      <c r="T36" s="167">
        <f t="shared" si="4"/>
        <v>0</v>
      </c>
    </row>
    <row r="37" spans="2:20" x14ac:dyDescent="0.25">
      <c r="B37" s="124">
        <v>46021</v>
      </c>
      <c r="C37" s="24">
        <v>4</v>
      </c>
      <c r="D37" s="18" t="str">
        <f>IFERROR(VLOOKUP(C37,Referencias!$E$7:$F$30,2,FALSE),"")</f>
        <v>Seguimiento de cultivos</v>
      </c>
      <c r="E37" s="24">
        <v>11</v>
      </c>
      <c r="F37" s="18" t="str">
        <f t="shared" si="0"/>
        <v>Carlos Fernando Fuertes</v>
      </c>
      <c r="G37" s="24" t="s">
        <v>230</v>
      </c>
      <c r="H37" s="125">
        <v>0.5</v>
      </c>
      <c r="I37" s="138">
        <v>200000</v>
      </c>
      <c r="J37" s="19">
        <f t="shared" si="1"/>
        <v>100000</v>
      </c>
      <c r="K37" s="26">
        <v>1</v>
      </c>
      <c r="L37" s="19" t="str">
        <f>IFERROR(VLOOKUP(K37,Referencias!$H$7:$I$9,2,FALSE),"")</f>
        <v>Tomas</v>
      </c>
      <c r="M37" s="143">
        <v>120</v>
      </c>
      <c r="N37" s="152">
        <v>650</v>
      </c>
      <c r="O37" s="20">
        <f t="shared" si="2"/>
        <v>78000</v>
      </c>
      <c r="P37" s="21">
        <f t="shared" si="3"/>
        <v>178000</v>
      </c>
      <c r="Q37" s="22"/>
      <c r="R37" s="125">
        <v>0</v>
      </c>
      <c r="S37" s="125">
        <v>0.5</v>
      </c>
      <c r="T37" s="167">
        <f t="shared" si="4"/>
        <v>0</v>
      </c>
    </row>
    <row r="38" spans="2:20" x14ac:dyDescent="0.25">
      <c r="B38" s="124">
        <v>46025</v>
      </c>
      <c r="C38" s="24">
        <v>4</v>
      </c>
      <c r="D38" s="18" t="str">
        <f>IFERROR(VLOOKUP(C38,Referencias!$E$7:$F$30,2,FALSE),"")</f>
        <v>Seguimiento de cultivos</v>
      </c>
      <c r="E38" s="24">
        <v>24</v>
      </c>
      <c r="F38" s="18" t="str">
        <f t="shared" si="0"/>
        <v>Nugas S.A.</v>
      </c>
      <c r="G38" s="24" t="s">
        <v>302</v>
      </c>
      <c r="H38" s="125">
        <v>1</v>
      </c>
      <c r="I38" s="138">
        <v>200000</v>
      </c>
      <c r="J38" s="19">
        <f t="shared" si="1"/>
        <v>200000</v>
      </c>
      <c r="K38" s="26">
        <v>1</v>
      </c>
      <c r="L38" s="19" t="str">
        <f>IFERROR(VLOOKUP(K38,Referencias!$H$7:$I$9,2,FALSE),"")</f>
        <v>Tomas</v>
      </c>
      <c r="M38" s="143">
        <v>160</v>
      </c>
      <c r="N38" s="152">
        <v>700</v>
      </c>
      <c r="O38" s="20">
        <f t="shared" si="2"/>
        <v>112000</v>
      </c>
      <c r="P38" s="21">
        <f t="shared" si="3"/>
        <v>312000</v>
      </c>
      <c r="Q38" s="22"/>
      <c r="R38" s="125">
        <v>0</v>
      </c>
      <c r="S38" s="125">
        <v>1</v>
      </c>
      <c r="T38" s="167">
        <f t="shared" si="4"/>
        <v>0</v>
      </c>
    </row>
    <row r="39" spans="2:20" x14ac:dyDescent="0.25">
      <c r="B39" s="124">
        <v>45997</v>
      </c>
      <c r="C39" s="24">
        <v>5</v>
      </c>
      <c r="D39" s="18" t="str">
        <f>IFERROR(VLOOKUP(C39,Referencias!$E$7:$F$30,2,FALSE),"")</f>
        <v>Control de cosecha</v>
      </c>
      <c r="E39" s="24">
        <v>33</v>
      </c>
      <c r="F39" s="18" t="str">
        <f t="shared" si="0"/>
        <v>Espartina S.A.</v>
      </c>
      <c r="G39" s="24" t="s">
        <v>290</v>
      </c>
      <c r="H39" s="125">
        <v>1</v>
      </c>
      <c r="I39" s="138">
        <v>100000</v>
      </c>
      <c r="J39" s="19">
        <f t="shared" si="1"/>
        <v>100000</v>
      </c>
      <c r="K39" s="26">
        <v>3</v>
      </c>
      <c r="L39" s="19" t="str">
        <f>IFERROR(VLOOKUP(K39,Referencias!$H$7:$I$9,2,FALSE),"")</f>
        <v>Zoom</v>
      </c>
      <c r="M39" s="143">
        <v>236</v>
      </c>
      <c r="N39" s="152">
        <v>668.15</v>
      </c>
      <c r="O39" s="20">
        <f t="shared" si="2"/>
        <v>157683.4</v>
      </c>
      <c r="P39" s="21">
        <f t="shared" si="3"/>
        <v>257683.4</v>
      </c>
      <c r="Q39" s="22"/>
      <c r="R39" s="125">
        <v>0</v>
      </c>
      <c r="S39" s="125">
        <v>0</v>
      </c>
      <c r="T39" s="167">
        <f t="shared" si="4"/>
        <v>1</v>
      </c>
    </row>
    <row r="40" spans="2:20" x14ac:dyDescent="0.25">
      <c r="B40" s="124">
        <v>45999</v>
      </c>
      <c r="C40" s="24">
        <v>5</v>
      </c>
      <c r="D40" s="18" t="str">
        <f>IFERROR(VLOOKUP(C40,Referencias!$E$7:$F$30,2,FALSE),"")</f>
        <v>Control de cosecha</v>
      </c>
      <c r="E40" s="24">
        <v>33</v>
      </c>
      <c r="F40" s="18" t="str">
        <f t="shared" ref="F40:F71" si="5">IFERROR(VLOOKUP(E40,Clientes,2,FALSE),"")</f>
        <v>Espartina S.A.</v>
      </c>
      <c r="G40" s="24" t="s">
        <v>264</v>
      </c>
      <c r="H40" s="125">
        <v>1</v>
      </c>
      <c r="I40" s="138">
        <v>100000</v>
      </c>
      <c r="J40" s="19">
        <f t="shared" si="1"/>
        <v>100000</v>
      </c>
      <c r="K40" s="26">
        <v>3</v>
      </c>
      <c r="L40" s="19" t="str">
        <f>IFERROR(VLOOKUP(K40,Referencias!$H$7:$I$9,2,FALSE),"")</f>
        <v>Zoom</v>
      </c>
      <c r="M40" s="143">
        <v>224</v>
      </c>
      <c r="N40" s="152">
        <v>668.15</v>
      </c>
      <c r="O40" s="20">
        <f t="shared" si="2"/>
        <v>149665.60000000001</v>
      </c>
      <c r="P40" s="21">
        <f t="shared" si="3"/>
        <v>249665.6</v>
      </c>
      <c r="Q40" s="22"/>
      <c r="R40" s="125">
        <v>0</v>
      </c>
      <c r="S40" s="125">
        <v>0</v>
      </c>
      <c r="T40" s="167">
        <f t="shared" si="4"/>
        <v>1</v>
      </c>
    </row>
    <row r="41" spans="2:20" x14ac:dyDescent="0.25">
      <c r="B41" s="124">
        <v>46008</v>
      </c>
      <c r="C41" s="24">
        <v>5</v>
      </c>
      <c r="D41" s="18" t="str">
        <f>IFERROR(VLOOKUP(C41,Referencias!$E$7:$F$30,2,FALSE),"")</f>
        <v>Control de cosecha</v>
      </c>
      <c r="E41" s="24">
        <v>33</v>
      </c>
      <c r="F41" s="18" t="str">
        <f t="shared" si="5"/>
        <v>Espartina S.A.</v>
      </c>
      <c r="G41" s="24" t="s">
        <v>461</v>
      </c>
      <c r="H41" s="125">
        <v>1</v>
      </c>
      <c r="I41" s="138">
        <v>100000</v>
      </c>
      <c r="J41" s="19">
        <f t="shared" si="1"/>
        <v>100000</v>
      </c>
      <c r="K41" s="26">
        <v>3</v>
      </c>
      <c r="L41" s="19" t="str">
        <f>IFERROR(VLOOKUP(K41,Referencias!$H$7:$I$9,2,FALSE),"")</f>
        <v>Zoom</v>
      </c>
      <c r="M41" s="143">
        <v>273</v>
      </c>
      <c r="N41" s="152">
        <v>668.15</v>
      </c>
      <c r="O41" s="20">
        <f t="shared" si="2"/>
        <v>182404.94999999998</v>
      </c>
      <c r="P41" s="21">
        <f t="shared" si="3"/>
        <v>282404.94999999995</v>
      </c>
      <c r="Q41" s="22"/>
      <c r="R41" s="125">
        <v>0</v>
      </c>
      <c r="S41" s="125">
        <v>0</v>
      </c>
      <c r="T41" s="167">
        <f t="shared" si="4"/>
        <v>1</v>
      </c>
    </row>
    <row r="42" spans="2:20" x14ac:dyDescent="0.25">
      <c r="B42" s="124">
        <v>46009</v>
      </c>
      <c r="C42" s="24">
        <v>5</v>
      </c>
      <c r="D42" s="18" t="str">
        <f>IFERROR(VLOOKUP(C42,Referencias!$E$7:$F$30,2,FALSE),"")</f>
        <v>Control de cosecha</v>
      </c>
      <c r="E42" s="24">
        <v>33</v>
      </c>
      <c r="F42" s="18" t="str">
        <f t="shared" si="5"/>
        <v>Espartina S.A.</v>
      </c>
      <c r="G42" s="24" t="s">
        <v>461</v>
      </c>
      <c r="H42" s="125">
        <v>1</v>
      </c>
      <c r="I42" s="138">
        <v>100000</v>
      </c>
      <c r="J42" s="19">
        <f t="shared" si="1"/>
        <v>100000</v>
      </c>
      <c r="K42" s="26">
        <v>3</v>
      </c>
      <c r="L42" s="19" t="str">
        <f>IFERROR(VLOOKUP(K42,Referencias!$H$7:$I$9,2,FALSE),"")</f>
        <v>Zoom</v>
      </c>
      <c r="M42" s="143">
        <v>276</v>
      </c>
      <c r="N42" s="152">
        <v>668.15</v>
      </c>
      <c r="O42" s="20">
        <f t="shared" si="2"/>
        <v>184409.4</v>
      </c>
      <c r="P42" s="21">
        <f t="shared" si="3"/>
        <v>284409.40000000002</v>
      </c>
      <c r="Q42" s="22"/>
      <c r="R42" s="125">
        <v>0</v>
      </c>
      <c r="S42" s="125">
        <v>0</v>
      </c>
      <c r="T42" s="167">
        <f t="shared" si="4"/>
        <v>1</v>
      </c>
    </row>
    <row r="43" spans="2:20" x14ac:dyDescent="0.25">
      <c r="B43" s="124">
        <v>46010</v>
      </c>
      <c r="C43" s="24">
        <v>5</v>
      </c>
      <c r="D43" s="18" t="str">
        <f>IFERROR(VLOOKUP(C43,Referencias!$E$7:$F$30,2,FALSE),"")</f>
        <v>Control de cosecha</v>
      </c>
      <c r="E43" s="24">
        <v>33</v>
      </c>
      <c r="F43" s="18" t="str">
        <f t="shared" si="5"/>
        <v>Espartina S.A.</v>
      </c>
      <c r="G43" s="24" t="s">
        <v>461</v>
      </c>
      <c r="H43" s="125">
        <v>1</v>
      </c>
      <c r="I43" s="138">
        <v>100000</v>
      </c>
      <c r="J43" s="19">
        <f t="shared" si="1"/>
        <v>100000</v>
      </c>
      <c r="K43" s="26">
        <v>3</v>
      </c>
      <c r="L43" s="19" t="str">
        <f>IFERROR(VLOOKUP(K43,Referencias!$H$7:$I$9,2,FALSE),"")</f>
        <v>Zoom</v>
      </c>
      <c r="M43" s="143">
        <v>295</v>
      </c>
      <c r="N43" s="152">
        <v>668.15</v>
      </c>
      <c r="O43" s="20">
        <f t="shared" si="2"/>
        <v>197104.25</v>
      </c>
      <c r="P43" s="21">
        <f t="shared" si="3"/>
        <v>297104.25</v>
      </c>
      <c r="Q43" s="22"/>
      <c r="R43" s="126">
        <v>0</v>
      </c>
      <c r="S43" s="126">
        <v>0</v>
      </c>
      <c r="T43" s="167">
        <f t="shared" si="4"/>
        <v>1</v>
      </c>
    </row>
    <row r="44" spans="2:20" x14ac:dyDescent="0.25">
      <c r="B44" s="124">
        <v>46012</v>
      </c>
      <c r="C44" s="24">
        <v>5</v>
      </c>
      <c r="D44" s="18" t="str">
        <f>IFERROR(VLOOKUP(C44,Referencias!$E$7:$F$30,2,FALSE),"")</f>
        <v>Control de cosecha</v>
      </c>
      <c r="E44" s="24">
        <v>33</v>
      </c>
      <c r="F44" s="18" t="str">
        <f t="shared" si="5"/>
        <v>Espartina S.A.</v>
      </c>
      <c r="G44" s="24" t="s">
        <v>461</v>
      </c>
      <c r="H44" s="125">
        <v>1</v>
      </c>
      <c r="I44" s="138">
        <v>100000</v>
      </c>
      <c r="J44" s="19">
        <f t="shared" si="1"/>
        <v>100000</v>
      </c>
      <c r="K44" s="26">
        <v>3</v>
      </c>
      <c r="L44" s="19" t="str">
        <f>IFERROR(VLOOKUP(K44,Referencias!$H$7:$I$9,2,FALSE),"")</f>
        <v>Zoom</v>
      </c>
      <c r="M44" s="143">
        <v>273</v>
      </c>
      <c r="N44" s="152">
        <v>668.15</v>
      </c>
      <c r="O44" s="20">
        <f t="shared" si="2"/>
        <v>182404.94999999998</v>
      </c>
      <c r="P44" s="21">
        <f t="shared" si="3"/>
        <v>282404.94999999995</v>
      </c>
      <c r="Q44" s="22"/>
      <c r="R44" s="126">
        <v>0</v>
      </c>
      <c r="S44" s="198">
        <v>0</v>
      </c>
      <c r="T44" s="167">
        <f t="shared" si="4"/>
        <v>1</v>
      </c>
    </row>
    <row r="45" spans="2:20" x14ac:dyDescent="0.25">
      <c r="B45" s="124">
        <v>46013</v>
      </c>
      <c r="C45" s="24">
        <v>5</v>
      </c>
      <c r="D45" s="18" t="str">
        <f>IFERROR(VLOOKUP(C45,Referencias!$E$7:$F$30,2,FALSE),"")</f>
        <v>Control de cosecha</v>
      </c>
      <c r="E45" s="24">
        <v>33</v>
      </c>
      <c r="F45" s="18" t="str">
        <f t="shared" si="5"/>
        <v>Espartina S.A.</v>
      </c>
      <c r="G45" s="24" t="s">
        <v>461</v>
      </c>
      <c r="H45" s="125">
        <v>1</v>
      </c>
      <c r="I45" s="138">
        <v>100000</v>
      </c>
      <c r="J45" s="19">
        <f t="shared" si="1"/>
        <v>100000</v>
      </c>
      <c r="K45" s="26">
        <v>3</v>
      </c>
      <c r="L45" s="19" t="str">
        <f>IFERROR(VLOOKUP(K45,Referencias!$H$7:$I$9,2,FALSE),"")</f>
        <v>Zoom</v>
      </c>
      <c r="M45" s="143">
        <v>285</v>
      </c>
      <c r="N45" s="152">
        <v>668.15</v>
      </c>
      <c r="O45" s="20">
        <f t="shared" si="2"/>
        <v>190422.75</v>
      </c>
      <c r="P45" s="21">
        <f t="shared" si="3"/>
        <v>290422.75</v>
      </c>
      <c r="Q45" s="22"/>
      <c r="R45" s="126">
        <v>0</v>
      </c>
      <c r="S45" s="126">
        <v>0</v>
      </c>
      <c r="T45" s="126">
        <f t="shared" si="4"/>
        <v>1</v>
      </c>
    </row>
    <row r="46" spans="2:20" x14ac:dyDescent="0.25">
      <c r="B46" s="124">
        <v>46014</v>
      </c>
      <c r="C46" s="24">
        <v>5</v>
      </c>
      <c r="D46" s="18" t="str">
        <f>IFERROR(VLOOKUP(C46,Referencias!$E$7:$F$30,2,FALSE),"")</f>
        <v>Control de cosecha</v>
      </c>
      <c r="E46" s="24">
        <v>33</v>
      </c>
      <c r="F46" s="18" t="str">
        <f t="shared" si="5"/>
        <v>Espartina S.A.</v>
      </c>
      <c r="G46" s="24" t="s">
        <v>461</v>
      </c>
      <c r="H46" s="125">
        <v>1</v>
      </c>
      <c r="I46" s="138">
        <v>100000</v>
      </c>
      <c r="J46" s="19">
        <f t="shared" si="1"/>
        <v>100000</v>
      </c>
      <c r="K46" s="26">
        <v>3</v>
      </c>
      <c r="L46" s="19" t="str">
        <f>IFERROR(VLOOKUP(K46,Referencias!$H$7:$I$9,2,FALSE),"")</f>
        <v>Zoom</v>
      </c>
      <c r="M46" s="143">
        <v>280</v>
      </c>
      <c r="N46" s="152">
        <v>668.15</v>
      </c>
      <c r="O46" s="20">
        <f t="shared" si="2"/>
        <v>187082</v>
      </c>
      <c r="P46" s="21">
        <f t="shared" si="3"/>
        <v>287082</v>
      </c>
      <c r="Q46" s="22"/>
      <c r="R46" s="126">
        <v>0</v>
      </c>
      <c r="S46" s="126">
        <v>0</v>
      </c>
      <c r="T46" s="126">
        <f t="shared" si="4"/>
        <v>1</v>
      </c>
    </row>
    <row r="47" spans="2:20" x14ac:dyDescent="0.25">
      <c r="B47" s="124">
        <v>46015</v>
      </c>
      <c r="C47" s="24">
        <v>5</v>
      </c>
      <c r="D47" s="18" t="str">
        <f>IFERROR(VLOOKUP(C47,Referencias!$E$7:$F$30,2,FALSE),"")</f>
        <v>Control de cosecha</v>
      </c>
      <c r="E47" s="24">
        <v>33</v>
      </c>
      <c r="F47" s="18" t="str">
        <f t="shared" si="5"/>
        <v>Espartina S.A.</v>
      </c>
      <c r="G47" s="24" t="s">
        <v>462</v>
      </c>
      <c r="H47" s="125">
        <v>1</v>
      </c>
      <c r="I47" s="138">
        <v>100000</v>
      </c>
      <c r="J47" s="19">
        <f t="shared" si="1"/>
        <v>100000</v>
      </c>
      <c r="K47" s="26">
        <v>3</v>
      </c>
      <c r="L47" s="19" t="str">
        <f>IFERROR(VLOOKUP(K47,Referencias!$H$7:$I$9,2,FALSE),"")</f>
        <v>Zoom</v>
      </c>
      <c r="M47" s="143">
        <v>315</v>
      </c>
      <c r="N47" s="152">
        <v>668.15</v>
      </c>
      <c r="O47" s="20">
        <f t="shared" si="2"/>
        <v>210467.25</v>
      </c>
      <c r="P47" s="21">
        <f t="shared" si="3"/>
        <v>310467.25</v>
      </c>
      <c r="Q47" s="22"/>
      <c r="R47" s="126">
        <v>0</v>
      </c>
      <c r="S47" s="126">
        <v>0</v>
      </c>
      <c r="T47" s="126">
        <f t="shared" si="4"/>
        <v>1</v>
      </c>
    </row>
    <row r="48" spans="2:20" x14ac:dyDescent="0.25">
      <c r="B48" s="124">
        <v>46016</v>
      </c>
      <c r="C48" s="24">
        <v>5</v>
      </c>
      <c r="D48" s="18" t="str">
        <f>IFERROR(VLOOKUP(C48,Referencias!$E$7:$F$30,2,FALSE),"")</f>
        <v>Control de cosecha</v>
      </c>
      <c r="E48" s="24">
        <v>33</v>
      </c>
      <c r="F48" s="18" t="str">
        <f t="shared" si="5"/>
        <v>Espartina S.A.</v>
      </c>
      <c r="G48" s="24" t="s">
        <v>463</v>
      </c>
      <c r="H48" s="125">
        <v>1</v>
      </c>
      <c r="I48" s="138">
        <v>100000</v>
      </c>
      <c r="J48" s="19">
        <f t="shared" si="1"/>
        <v>100000</v>
      </c>
      <c r="K48" s="26">
        <v>3</v>
      </c>
      <c r="L48" s="19" t="str">
        <f>IFERROR(VLOOKUP(K48,Referencias!$H$7:$I$9,2,FALSE),"")</f>
        <v>Zoom</v>
      </c>
      <c r="M48" s="143">
        <v>274</v>
      </c>
      <c r="N48" s="152">
        <v>668.15</v>
      </c>
      <c r="O48" s="20">
        <f t="shared" si="2"/>
        <v>183073.1</v>
      </c>
      <c r="P48" s="21">
        <f t="shared" si="3"/>
        <v>283073.09999999998</v>
      </c>
      <c r="Q48" s="22"/>
      <c r="R48" s="126">
        <v>0</v>
      </c>
      <c r="S48" s="126">
        <v>0</v>
      </c>
      <c r="T48" s="126">
        <f t="shared" si="4"/>
        <v>1</v>
      </c>
    </row>
    <row r="49" spans="2:20" x14ac:dyDescent="0.25">
      <c r="B49" s="124">
        <v>46017</v>
      </c>
      <c r="C49" s="24">
        <v>5</v>
      </c>
      <c r="D49" s="18" t="str">
        <f>IFERROR(VLOOKUP(C49,Referencias!$E$7:$F$30,2,FALSE),"")</f>
        <v>Control de cosecha</v>
      </c>
      <c r="E49" s="24">
        <v>33</v>
      </c>
      <c r="F49" s="18" t="str">
        <f t="shared" si="5"/>
        <v>Espartina S.A.</v>
      </c>
      <c r="G49" s="91" t="s">
        <v>463</v>
      </c>
      <c r="H49" s="125">
        <v>1</v>
      </c>
      <c r="I49" s="138">
        <v>100000</v>
      </c>
      <c r="J49" s="19">
        <f t="shared" si="1"/>
        <v>100000</v>
      </c>
      <c r="K49" s="26">
        <v>3</v>
      </c>
      <c r="L49" s="19" t="str">
        <f>IFERROR(VLOOKUP(K49,Referencias!$H$7:$I$9,2,FALSE),"")</f>
        <v>Zoom</v>
      </c>
      <c r="M49" s="143">
        <v>292</v>
      </c>
      <c r="N49" s="152">
        <v>668.15</v>
      </c>
      <c r="O49" s="20">
        <f t="shared" si="2"/>
        <v>195099.8</v>
      </c>
      <c r="P49" s="21">
        <f t="shared" si="3"/>
        <v>295099.8</v>
      </c>
      <c r="Q49" s="22"/>
      <c r="R49" s="126">
        <v>0</v>
      </c>
      <c r="S49" s="126">
        <v>0</v>
      </c>
      <c r="T49" s="126">
        <f t="shared" si="4"/>
        <v>1</v>
      </c>
    </row>
    <row r="50" spans="2:20" x14ac:dyDescent="0.25">
      <c r="B50" s="124">
        <v>46018</v>
      </c>
      <c r="C50" s="24">
        <v>5</v>
      </c>
      <c r="D50" s="18" t="str">
        <f>IFERROR(VLOOKUP(C50,Referencias!$E$7:$F$30,2,FALSE),"")</f>
        <v>Control de cosecha</v>
      </c>
      <c r="E50" s="24">
        <v>33</v>
      </c>
      <c r="F50" s="18" t="str">
        <f t="shared" si="5"/>
        <v>Espartina S.A.</v>
      </c>
      <c r="G50" s="24" t="s">
        <v>463</v>
      </c>
      <c r="H50" s="125">
        <v>1</v>
      </c>
      <c r="I50" s="138">
        <v>100000</v>
      </c>
      <c r="J50" s="19">
        <f t="shared" si="1"/>
        <v>100000</v>
      </c>
      <c r="K50" s="26">
        <v>3</v>
      </c>
      <c r="L50" s="19" t="str">
        <f>IFERROR(VLOOKUP(K50,Referencias!$H$7:$I$9,2,FALSE),"")</f>
        <v>Zoom</v>
      </c>
      <c r="M50" s="143">
        <v>280</v>
      </c>
      <c r="N50" s="152">
        <v>668.15</v>
      </c>
      <c r="O50" s="20">
        <f t="shared" si="2"/>
        <v>187082</v>
      </c>
      <c r="P50" s="21">
        <f t="shared" si="3"/>
        <v>287082</v>
      </c>
      <c r="Q50" s="22"/>
      <c r="R50" s="126">
        <v>0</v>
      </c>
      <c r="S50" s="126">
        <v>0</v>
      </c>
      <c r="T50" s="126">
        <f t="shared" si="4"/>
        <v>1</v>
      </c>
    </row>
    <row r="51" spans="2:20" x14ac:dyDescent="0.25">
      <c r="B51" s="124">
        <v>46019</v>
      </c>
      <c r="C51" s="91">
        <v>5</v>
      </c>
      <c r="D51" s="18" t="str">
        <f>IFERROR(VLOOKUP(C51,Referencias!$E$7:$F$30,2,FALSE),"")</f>
        <v>Control de cosecha</v>
      </c>
      <c r="E51" s="24">
        <v>33</v>
      </c>
      <c r="F51" s="18" t="str">
        <f t="shared" si="5"/>
        <v>Espartina S.A.</v>
      </c>
      <c r="G51" s="24" t="s">
        <v>463</v>
      </c>
      <c r="H51" s="125">
        <v>1</v>
      </c>
      <c r="I51" s="138">
        <v>100000</v>
      </c>
      <c r="J51" s="19">
        <f t="shared" si="1"/>
        <v>100000</v>
      </c>
      <c r="K51" s="26">
        <v>3</v>
      </c>
      <c r="L51" s="19" t="str">
        <f>IFERROR(VLOOKUP(K51,Referencias!$H$7:$I$9,2,FALSE),"")</f>
        <v>Zoom</v>
      </c>
      <c r="M51" s="143">
        <v>282</v>
      </c>
      <c r="N51" s="152">
        <v>668.15</v>
      </c>
      <c r="O51" s="20">
        <f t="shared" si="2"/>
        <v>188418.3</v>
      </c>
      <c r="P51" s="21">
        <f t="shared" si="3"/>
        <v>288418.3</v>
      </c>
      <c r="Q51" s="22"/>
      <c r="R51" s="126">
        <v>0</v>
      </c>
      <c r="S51" s="126">
        <v>0</v>
      </c>
      <c r="T51" s="126">
        <f t="shared" si="4"/>
        <v>1</v>
      </c>
    </row>
    <row r="52" spans="2:20" x14ac:dyDescent="0.25">
      <c r="B52" s="124">
        <v>46020</v>
      </c>
      <c r="C52" s="91">
        <v>5</v>
      </c>
      <c r="D52" s="18" t="str">
        <f>IFERROR(VLOOKUP(C52,Referencias!$E$7:$F$30,2,FALSE),"")</f>
        <v>Control de cosecha</v>
      </c>
      <c r="E52" s="24">
        <v>33</v>
      </c>
      <c r="F52" s="18" t="str">
        <f t="shared" si="5"/>
        <v>Espartina S.A.</v>
      </c>
      <c r="G52" s="91" t="s">
        <v>463</v>
      </c>
      <c r="H52" s="125">
        <v>1</v>
      </c>
      <c r="I52" s="138">
        <v>100000</v>
      </c>
      <c r="J52" s="19">
        <f t="shared" si="1"/>
        <v>100000</v>
      </c>
      <c r="K52" s="26">
        <v>3</v>
      </c>
      <c r="L52" s="19" t="str">
        <f>IFERROR(VLOOKUP(K52,Referencias!$H$7:$I$9,2,FALSE),"")</f>
        <v>Zoom</v>
      </c>
      <c r="M52" s="120">
        <v>278</v>
      </c>
      <c r="N52" s="152">
        <v>668.15</v>
      </c>
      <c r="O52" s="20">
        <f t="shared" si="2"/>
        <v>185745.69999999998</v>
      </c>
      <c r="P52" s="21">
        <f t="shared" si="3"/>
        <v>285745.69999999995</v>
      </c>
      <c r="Q52" s="22"/>
      <c r="R52" s="126">
        <v>0</v>
      </c>
      <c r="S52" s="126">
        <v>0</v>
      </c>
      <c r="T52" s="126">
        <f t="shared" si="4"/>
        <v>1</v>
      </c>
    </row>
    <row r="53" spans="2:20" x14ac:dyDescent="0.25">
      <c r="B53" s="124">
        <v>46032</v>
      </c>
      <c r="C53" s="91">
        <v>4</v>
      </c>
      <c r="D53" s="18" t="str">
        <f>IFERROR(VLOOKUP(C53,Referencias!$E$7:$F$30,2,FALSE),"")</f>
        <v>Seguimiento de cultivos</v>
      </c>
      <c r="E53" s="91">
        <v>24</v>
      </c>
      <c r="F53" s="18" t="str">
        <f t="shared" si="5"/>
        <v>Nugas S.A.</v>
      </c>
      <c r="G53" s="91" t="s">
        <v>302</v>
      </c>
      <c r="H53" s="125">
        <v>1</v>
      </c>
      <c r="I53" s="138">
        <v>200000</v>
      </c>
      <c r="J53" s="19">
        <f t="shared" si="1"/>
        <v>200000</v>
      </c>
      <c r="K53" s="26">
        <v>3</v>
      </c>
      <c r="L53" s="19" t="str">
        <f>IFERROR(VLOOKUP(K53,Referencias!$H$7:$I$9,2,FALSE),"")</f>
        <v>Zoom</v>
      </c>
      <c r="M53" s="120">
        <v>160</v>
      </c>
      <c r="N53" s="138">
        <v>700</v>
      </c>
      <c r="O53" s="20">
        <f t="shared" si="2"/>
        <v>112000</v>
      </c>
      <c r="P53" s="21">
        <f t="shared" si="3"/>
        <v>312000</v>
      </c>
      <c r="Q53" s="22"/>
      <c r="R53" s="126">
        <v>0</v>
      </c>
      <c r="S53" s="126">
        <v>0</v>
      </c>
      <c r="T53" s="126">
        <f t="shared" si="4"/>
        <v>1</v>
      </c>
    </row>
    <row r="54" spans="2:20" x14ac:dyDescent="0.25">
      <c r="B54" s="124">
        <v>46032</v>
      </c>
      <c r="C54" s="91">
        <v>4</v>
      </c>
      <c r="D54" s="18" t="str">
        <f>IFERROR(VLOOKUP(C54,Referencias!$E$7:$F$30,2,FALSE),"")</f>
        <v>Seguimiento de cultivos</v>
      </c>
      <c r="E54" s="91">
        <v>107</v>
      </c>
      <c r="F54" s="18" t="str">
        <f t="shared" si="5"/>
        <v>Omar Piaggio</v>
      </c>
      <c r="G54" s="91" t="s">
        <v>242</v>
      </c>
      <c r="H54" s="125">
        <v>1</v>
      </c>
      <c r="I54" s="138">
        <v>150000</v>
      </c>
      <c r="J54" s="19">
        <f t="shared" si="1"/>
        <v>150000</v>
      </c>
      <c r="K54" s="26">
        <v>1</v>
      </c>
      <c r="L54" s="19" t="str">
        <f>IFERROR(VLOOKUP(K54,Referencias!$H$7:$I$9,2,FALSE),"")</f>
        <v>Tomas</v>
      </c>
      <c r="M54" s="143">
        <v>225</v>
      </c>
      <c r="N54" s="138">
        <v>700</v>
      </c>
      <c r="O54" s="20">
        <f t="shared" si="2"/>
        <v>157500</v>
      </c>
      <c r="P54" s="21">
        <f t="shared" si="3"/>
        <v>307500</v>
      </c>
      <c r="Q54" s="22"/>
      <c r="R54" s="126">
        <v>0</v>
      </c>
      <c r="S54" s="126">
        <v>1</v>
      </c>
      <c r="T54" s="126">
        <f t="shared" si="4"/>
        <v>0</v>
      </c>
    </row>
    <row r="55" spans="2:20" x14ac:dyDescent="0.25">
      <c r="B55" s="124">
        <v>46032</v>
      </c>
      <c r="C55" s="91">
        <v>4</v>
      </c>
      <c r="D55" s="18" t="str">
        <f>IFERROR(VLOOKUP(C55,Referencias!$E$7:$F$30,2,FALSE),"")</f>
        <v>Seguimiento de cultivos</v>
      </c>
      <c r="E55" s="91">
        <v>11</v>
      </c>
      <c r="F55" s="18" t="str">
        <f t="shared" si="5"/>
        <v>Carlos Fernando Fuertes</v>
      </c>
      <c r="G55" s="24" t="s">
        <v>230</v>
      </c>
      <c r="H55" s="125">
        <v>0.5</v>
      </c>
      <c r="I55" s="138">
        <v>200000</v>
      </c>
      <c r="J55" s="19">
        <f t="shared" si="1"/>
        <v>100000</v>
      </c>
      <c r="K55" s="26">
        <v>1</v>
      </c>
      <c r="L55" s="19" t="str">
        <f>IFERROR(VLOOKUP(K55,Referencias!$H$7:$I$9,2,FALSE),"")</f>
        <v>Tomas</v>
      </c>
      <c r="M55" s="120">
        <v>120</v>
      </c>
      <c r="N55" s="138">
        <v>700</v>
      </c>
      <c r="O55" s="20">
        <f t="shared" si="2"/>
        <v>84000</v>
      </c>
      <c r="P55" s="21">
        <f t="shared" si="3"/>
        <v>184000</v>
      </c>
      <c r="Q55" s="22"/>
      <c r="R55" s="126">
        <v>0</v>
      </c>
      <c r="S55" s="126">
        <v>0.5</v>
      </c>
      <c r="T55" s="126">
        <f t="shared" si="4"/>
        <v>0</v>
      </c>
    </row>
    <row r="56" spans="2:20" x14ac:dyDescent="0.25">
      <c r="B56" s="124">
        <v>46041</v>
      </c>
      <c r="C56" s="91">
        <v>4</v>
      </c>
      <c r="D56" s="18" t="str">
        <f>IFERROR(VLOOKUP(C56,Referencias!$E$7:$F$30,2,FALSE),"")</f>
        <v>Seguimiento de cultivos</v>
      </c>
      <c r="E56" s="91">
        <v>24</v>
      </c>
      <c r="F56" s="18" t="str">
        <f t="shared" si="5"/>
        <v>Nugas S.A.</v>
      </c>
      <c r="G56" s="91" t="s">
        <v>302</v>
      </c>
      <c r="H56" s="125">
        <v>1</v>
      </c>
      <c r="I56" s="138">
        <v>200000</v>
      </c>
      <c r="J56" s="19">
        <f t="shared" si="1"/>
        <v>200000</v>
      </c>
      <c r="K56" s="26">
        <v>3</v>
      </c>
      <c r="L56" s="19" t="str">
        <f>IFERROR(VLOOKUP(K56,Referencias!$H$7:$I$9,2,FALSE),"")</f>
        <v>Zoom</v>
      </c>
      <c r="M56" s="143">
        <v>160</v>
      </c>
      <c r="N56" s="138">
        <v>700</v>
      </c>
      <c r="O56" s="20">
        <f t="shared" si="2"/>
        <v>112000</v>
      </c>
      <c r="P56" s="21">
        <f t="shared" si="3"/>
        <v>312000</v>
      </c>
      <c r="Q56" s="22"/>
      <c r="R56" s="126">
        <v>0</v>
      </c>
      <c r="S56" s="126">
        <v>0</v>
      </c>
      <c r="T56" s="126">
        <f t="shared" si="4"/>
        <v>1</v>
      </c>
    </row>
    <row r="57" spans="2:20" x14ac:dyDescent="0.25">
      <c r="B57" s="124">
        <v>46049</v>
      </c>
      <c r="C57" s="91">
        <v>4</v>
      </c>
      <c r="D57" s="18" t="str">
        <f>IFERROR(VLOOKUP(C57,Referencias!$E$7:$F$30,2,FALSE),"")</f>
        <v>Seguimiento de cultivos</v>
      </c>
      <c r="E57" s="91">
        <v>24</v>
      </c>
      <c r="F57" s="18" t="str">
        <f t="shared" si="5"/>
        <v>Nugas S.A.</v>
      </c>
      <c r="G57" s="91" t="s">
        <v>302</v>
      </c>
      <c r="H57" s="125">
        <v>1</v>
      </c>
      <c r="I57" s="138">
        <v>200000</v>
      </c>
      <c r="J57" s="19">
        <f t="shared" si="1"/>
        <v>200000</v>
      </c>
      <c r="K57" s="26">
        <v>3</v>
      </c>
      <c r="L57" s="19" t="str">
        <f>IFERROR(VLOOKUP(K57,Referencias!$H$7:$I$9,2,FALSE),"")</f>
        <v>Zoom</v>
      </c>
      <c r="M57" s="143">
        <v>160</v>
      </c>
      <c r="N57" s="138">
        <v>700</v>
      </c>
      <c r="O57" s="20">
        <f t="shared" si="2"/>
        <v>112000</v>
      </c>
      <c r="P57" s="21">
        <f t="shared" si="3"/>
        <v>312000</v>
      </c>
      <c r="Q57" s="22"/>
      <c r="R57" s="126">
        <v>0</v>
      </c>
      <c r="S57" s="126">
        <v>0</v>
      </c>
      <c r="T57" s="126">
        <f t="shared" si="4"/>
        <v>1</v>
      </c>
    </row>
    <row r="58" spans="2:20" x14ac:dyDescent="0.25">
      <c r="B58" s="124">
        <v>46050</v>
      </c>
      <c r="C58" s="91">
        <v>4</v>
      </c>
      <c r="D58" s="18" t="str">
        <f>IFERROR(VLOOKUP(C58,Referencias!$E$7:$F$30,2,FALSE),"")</f>
        <v>Seguimiento de cultivos</v>
      </c>
      <c r="E58" s="91">
        <v>107</v>
      </c>
      <c r="F58" s="18" t="str">
        <f>IFERROR(VLOOKUP(E58,Clientes,2,FALSE),"")</f>
        <v>Omar Piaggio</v>
      </c>
      <c r="G58" s="91" t="s">
        <v>242</v>
      </c>
      <c r="H58" s="125">
        <v>1</v>
      </c>
      <c r="I58" s="138">
        <v>150000</v>
      </c>
      <c r="J58" s="19">
        <f>IF(H58&lt;&gt;"",H58*I58,"")</f>
        <v>150000</v>
      </c>
      <c r="K58" s="26">
        <v>1</v>
      </c>
      <c r="L58" s="19" t="str">
        <f>IFERROR(VLOOKUP(K58,Referencias!$H$7:$I$9,2,FALSE),"")</f>
        <v>Tomas</v>
      </c>
      <c r="M58" s="143">
        <v>225</v>
      </c>
      <c r="N58" s="138">
        <v>700</v>
      </c>
      <c r="O58" s="20">
        <f>IF(M58&lt;&gt;"",M58*N58,"")</f>
        <v>157500</v>
      </c>
      <c r="P58" s="21">
        <f>IF(J58&lt;&gt;"",J58+O58,"")</f>
        <v>307500</v>
      </c>
      <c r="Q58" s="22"/>
      <c r="R58" s="126">
        <v>0</v>
      </c>
      <c r="S58" s="126">
        <v>1</v>
      </c>
      <c r="T58" s="126">
        <f t="shared" si="4"/>
        <v>0</v>
      </c>
    </row>
    <row r="59" spans="2:20" x14ac:dyDescent="0.25">
      <c r="B59" s="124">
        <v>46050</v>
      </c>
      <c r="C59" s="91">
        <v>4</v>
      </c>
      <c r="D59" s="18" t="str">
        <f>IFERROR(VLOOKUP(C59,Referencias!$E$7:$F$30,2,FALSE),"")</f>
        <v>Seguimiento de cultivos</v>
      </c>
      <c r="E59" s="91">
        <v>11</v>
      </c>
      <c r="F59" s="18" t="str">
        <f t="shared" si="5"/>
        <v>Carlos Fernando Fuertes</v>
      </c>
      <c r="G59" s="91" t="s">
        <v>230</v>
      </c>
      <c r="H59" s="125">
        <v>0.5</v>
      </c>
      <c r="I59" s="138">
        <v>200000</v>
      </c>
      <c r="J59" s="19">
        <f t="shared" si="1"/>
        <v>100000</v>
      </c>
      <c r="K59" s="26">
        <v>1</v>
      </c>
      <c r="L59" s="19" t="str">
        <f>IFERROR(VLOOKUP(K59,Referencias!$H$7:$I$9,2,FALSE),"")</f>
        <v>Tomas</v>
      </c>
      <c r="M59" s="143">
        <v>120</v>
      </c>
      <c r="N59" s="138">
        <v>700</v>
      </c>
      <c r="O59" s="20">
        <f t="shared" si="2"/>
        <v>84000</v>
      </c>
      <c r="P59" s="21">
        <f t="shared" si="3"/>
        <v>184000</v>
      </c>
      <c r="Q59" s="22" t="s">
        <v>4</v>
      </c>
      <c r="R59" s="126">
        <v>0</v>
      </c>
      <c r="S59" s="126">
        <v>0.5</v>
      </c>
      <c r="T59" s="126">
        <f t="shared" si="4"/>
        <v>0</v>
      </c>
    </row>
    <row r="60" spans="2:20" x14ac:dyDescent="0.25">
      <c r="B60" s="124">
        <v>46055</v>
      </c>
      <c r="C60" s="91">
        <v>4</v>
      </c>
      <c r="D60" s="18" t="str">
        <f>IFERROR(VLOOKUP(C60,Referencias!$E$7:$F$30,2,FALSE),"")</f>
        <v>Seguimiento de cultivos</v>
      </c>
      <c r="E60" s="91">
        <v>24</v>
      </c>
      <c r="F60" s="18" t="str">
        <f t="shared" si="5"/>
        <v>Nugas S.A.</v>
      </c>
      <c r="G60" s="91" t="s">
        <v>302</v>
      </c>
      <c r="H60" s="125">
        <v>1</v>
      </c>
      <c r="I60" s="138">
        <v>200000</v>
      </c>
      <c r="J60" s="19">
        <f t="shared" si="1"/>
        <v>200000</v>
      </c>
      <c r="K60" s="26">
        <v>3</v>
      </c>
      <c r="L60" s="19" t="str">
        <f>IFERROR(VLOOKUP(K60,Referencias!$H$7:$I$9,2,FALSE),"")</f>
        <v>Zoom</v>
      </c>
      <c r="M60" s="120">
        <v>160</v>
      </c>
      <c r="N60" s="138">
        <v>700</v>
      </c>
      <c r="O60" s="20">
        <f t="shared" si="2"/>
        <v>112000</v>
      </c>
      <c r="P60" s="21">
        <f t="shared" si="3"/>
        <v>312000</v>
      </c>
      <c r="Q60" s="22"/>
      <c r="R60" s="126">
        <v>0</v>
      </c>
      <c r="S60" s="126">
        <v>0</v>
      </c>
      <c r="T60" s="126">
        <f t="shared" si="4"/>
        <v>1</v>
      </c>
    </row>
    <row r="61" spans="2:20" x14ac:dyDescent="0.25">
      <c r="B61" s="124">
        <v>46064</v>
      </c>
      <c r="C61" s="91">
        <v>4</v>
      </c>
      <c r="D61" s="18" t="str">
        <f>IFERROR(VLOOKUP(C61,Referencias!$E$7:$F$30,2,FALSE),"")</f>
        <v>Seguimiento de cultivos</v>
      </c>
      <c r="E61" s="91">
        <v>24</v>
      </c>
      <c r="F61" s="18" t="str">
        <f t="shared" si="5"/>
        <v>Nugas S.A.</v>
      </c>
      <c r="G61" s="91" t="s">
        <v>302</v>
      </c>
      <c r="H61" s="125">
        <v>1</v>
      </c>
      <c r="I61" s="138">
        <v>200000</v>
      </c>
      <c r="J61" s="19">
        <f t="shared" si="1"/>
        <v>200000</v>
      </c>
      <c r="K61" s="26">
        <v>3</v>
      </c>
      <c r="L61" s="19" t="str">
        <f>IFERROR(VLOOKUP(K61,Referencias!$H$7:$I$9,2,FALSE),"")</f>
        <v>Zoom</v>
      </c>
      <c r="M61" s="143">
        <v>160</v>
      </c>
      <c r="N61" s="138">
        <v>700</v>
      </c>
      <c r="O61" s="20">
        <f t="shared" si="2"/>
        <v>112000</v>
      </c>
      <c r="P61" s="21">
        <f t="shared" si="3"/>
        <v>312000</v>
      </c>
      <c r="Q61" s="22"/>
      <c r="R61" s="126">
        <v>0</v>
      </c>
      <c r="S61" s="126">
        <v>0</v>
      </c>
      <c r="T61" s="126">
        <f t="shared" si="4"/>
        <v>1</v>
      </c>
    </row>
    <row r="62" spans="2:20" x14ac:dyDescent="0.25">
      <c r="B62" s="124">
        <v>46066</v>
      </c>
      <c r="C62" s="91">
        <v>4</v>
      </c>
      <c r="D62" s="18" t="str">
        <f>IFERROR(VLOOKUP(C62,Referencias!$E$7:$F$30,2,FALSE),"")</f>
        <v>Seguimiento de cultivos</v>
      </c>
      <c r="E62" s="91">
        <v>107</v>
      </c>
      <c r="F62" s="18" t="str">
        <f t="shared" si="5"/>
        <v>Omar Piaggio</v>
      </c>
      <c r="G62" s="91" t="s">
        <v>242</v>
      </c>
      <c r="H62" s="125">
        <v>1</v>
      </c>
      <c r="I62" s="138">
        <v>150000</v>
      </c>
      <c r="J62" s="19">
        <f t="shared" si="1"/>
        <v>150000</v>
      </c>
      <c r="K62" s="26">
        <v>1</v>
      </c>
      <c r="L62" s="19" t="str">
        <f>IFERROR(VLOOKUP(K62,Referencias!$H$7:$I$9,2,FALSE),"")</f>
        <v>Tomas</v>
      </c>
      <c r="M62" s="120">
        <v>225</v>
      </c>
      <c r="N62" s="138">
        <v>700</v>
      </c>
      <c r="O62" s="20">
        <f t="shared" si="2"/>
        <v>157500</v>
      </c>
      <c r="P62" s="21">
        <f t="shared" si="3"/>
        <v>307500</v>
      </c>
      <c r="Q62" s="22"/>
      <c r="R62" s="126">
        <v>0</v>
      </c>
      <c r="S62" s="126">
        <v>1</v>
      </c>
      <c r="T62" s="126">
        <f t="shared" si="4"/>
        <v>0</v>
      </c>
    </row>
    <row r="63" spans="2:20" x14ac:dyDescent="0.25">
      <c r="B63" s="124">
        <v>46066</v>
      </c>
      <c r="C63" s="91">
        <v>4</v>
      </c>
      <c r="D63" s="18" t="str">
        <f>IFERROR(VLOOKUP(C63,Referencias!$E$7:$F$30,2,FALSE),"")</f>
        <v>Seguimiento de cultivos</v>
      </c>
      <c r="E63" s="91">
        <v>11</v>
      </c>
      <c r="F63" s="18" t="str">
        <f t="shared" si="5"/>
        <v>Carlos Fernando Fuertes</v>
      </c>
      <c r="G63" s="91" t="s">
        <v>230</v>
      </c>
      <c r="H63" s="125">
        <v>0.5</v>
      </c>
      <c r="I63" s="138">
        <v>200000</v>
      </c>
      <c r="J63" s="19">
        <f t="shared" si="1"/>
        <v>100000</v>
      </c>
      <c r="K63" s="26">
        <v>1</v>
      </c>
      <c r="L63" s="19" t="str">
        <f>IFERROR(VLOOKUP(K63,Referencias!$H$7:$I$9,2,FALSE),"")</f>
        <v>Tomas</v>
      </c>
      <c r="M63" s="120">
        <v>120</v>
      </c>
      <c r="N63" s="138">
        <v>700</v>
      </c>
      <c r="O63" s="20">
        <f t="shared" si="2"/>
        <v>84000</v>
      </c>
      <c r="P63" s="21">
        <f t="shared" si="3"/>
        <v>184000</v>
      </c>
      <c r="Q63" s="22"/>
      <c r="R63" s="126">
        <v>0</v>
      </c>
      <c r="S63" s="126">
        <v>0.5</v>
      </c>
      <c r="T63" s="126">
        <f t="shared" si="4"/>
        <v>0</v>
      </c>
    </row>
    <row r="64" spans="2:20" x14ac:dyDescent="0.25">
      <c r="B64" s="124">
        <v>46075</v>
      </c>
      <c r="C64" s="91">
        <v>4</v>
      </c>
      <c r="D64" s="18" t="str">
        <f>IFERROR(VLOOKUP(C64,Referencias!$E$7:$F$30,2,FALSE),"")</f>
        <v>Seguimiento de cultivos</v>
      </c>
      <c r="E64" s="91">
        <v>24</v>
      </c>
      <c r="F64" s="18" t="str">
        <f t="shared" si="5"/>
        <v>Nugas S.A.</v>
      </c>
      <c r="G64" s="91" t="s">
        <v>302</v>
      </c>
      <c r="H64" s="125">
        <v>1</v>
      </c>
      <c r="I64" s="138">
        <v>200000</v>
      </c>
      <c r="J64" s="19">
        <f t="shared" si="1"/>
        <v>200000</v>
      </c>
      <c r="K64" s="26">
        <v>3</v>
      </c>
      <c r="L64" s="19" t="str">
        <f>IFERROR(VLOOKUP(K64,Referencias!$H$7:$I$9,2,FALSE),"")</f>
        <v>Zoom</v>
      </c>
      <c r="M64" s="143">
        <v>160</v>
      </c>
      <c r="N64" s="138">
        <v>700</v>
      </c>
      <c r="O64" s="20">
        <f t="shared" si="2"/>
        <v>112000</v>
      </c>
      <c r="P64" s="21">
        <f t="shared" si="3"/>
        <v>312000</v>
      </c>
      <c r="Q64" s="22"/>
      <c r="R64" s="126">
        <v>0</v>
      </c>
      <c r="S64" s="126">
        <v>0</v>
      </c>
      <c r="T64" s="126">
        <f t="shared" si="4"/>
        <v>1</v>
      </c>
    </row>
    <row r="65" spans="2:20" x14ac:dyDescent="0.25">
      <c r="B65" s="124">
        <v>46078</v>
      </c>
      <c r="C65" s="91">
        <v>4</v>
      </c>
      <c r="D65" s="18" t="str">
        <f>IFERROR(VLOOKUP(C65,Referencias!$E$7:$F$30,2,FALSE),"")</f>
        <v>Seguimiento de cultivos</v>
      </c>
      <c r="E65" s="91">
        <v>107</v>
      </c>
      <c r="F65" s="18" t="str">
        <f t="shared" si="5"/>
        <v>Omar Piaggio</v>
      </c>
      <c r="G65" s="91" t="s">
        <v>242</v>
      </c>
      <c r="H65" s="125">
        <v>1</v>
      </c>
      <c r="I65" s="138">
        <v>150000</v>
      </c>
      <c r="J65" s="19">
        <f t="shared" si="1"/>
        <v>150000</v>
      </c>
      <c r="K65" s="26">
        <v>1</v>
      </c>
      <c r="L65" s="19" t="str">
        <f>IFERROR(VLOOKUP(K65,Referencias!$H$7:$I$9,2,FALSE),"")</f>
        <v>Tomas</v>
      </c>
      <c r="M65" s="120">
        <v>225</v>
      </c>
      <c r="N65" s="152">
        <v>700</v>
      </c>
      <c r="O65" s="20">
        <f t="shared" si="2"/>
        <v>157500</v>
      </c>
      <c r="P65" s="21">
        <f t="shared" si="3"/>
        <v>307500</v>
      </c>
      <c r="Q65" s="22"/>
      <c r="R65" s="126">
        <v>0</v>
      </c>
      <c r="S65" s="126">
        <v>1</v>
      </c>
      <c r="T65" s="126">
        <f t="shared" si="4"/>
        <v>0</v>
      </c>
    </row>
    <row r="66" spans="2:20" x14ac:dyDescent="0.25">
      <c r="B66" s="124">
        <v>46078</v>
      </c>
      <c r="C66" s="91">
        <v>4</v>
      </c>
      <c r="D66" s="18" t="str">
        <f>IFERROR(VLOOKUP(C66,Referencias!$E$7:$F$30,2,FALSE),"")</f>
        <v>Seguimiento de cultivos</v>
      </c>
      <c r="E66" s="91">
        <v>11</v>
      </c>
      <c r="F66" s="18" t="str">
        <f t="shared" si="5"/>
        <v>Carlos Fernando Fuertes</v>
      </c>
      <c r="G66" s="91" t="s">
        <v>230</v>
      </c>
      <c r="H66" s="125">
        <v>0.5</v>
      </c>
      <c r="I66" s="138">
        <v>200000</v>
      </c>
      <c r="J66" s="19">
        <f t="shared" si="1"/>
        <v>100000</v>
      </c>
      <c r="K66" s="26">
        <v>1</v>
      </c>
      <c r="L66" s="19" t="str">
        <f>IFERROR(VLOOKUP(K66,Referencias!$H$7:$I$9,2,FALSE),"")</f>
        <v>Tomas</v>
      </c>
      <c r="M66" s="120">
        <v>120</v>
      </c>
      <c r="N66" s="138">
        <v>700</v>
      </c>
      <c r="O66" s="20">
        <f t="shared" si="2"/>
        <v>84000</v>
      </c>
      <c r="P66" s="21">
        <f t="shared" si="3"/>
        <v>184000</v>
      </c>
      <c r="Q66" s="22"/>
      <c r="R66" s="126">
        <v>0</v>
      </c>
      <c r="S66" s="126">
        <v>0.5</v>
      </c>
      <c r="T66" s="126">
        <f t="shared" si="4"/>
        <v>0</v>
      </c>
    </row>
    <row r="67" spans="2:20" x14ac:dyDescent="0.25">
      <c r="B67" s="124">
        <v>46082</v>
      </c>
      <c r="C67" s="91">
        <v>4</v>
      </c>
      <c r="D67" s="18" t="str">
        <f>IFERROR(VLOOKUP(C67,Referencias!$E$7:$F$30,2,FALSE),"")</f>
        <v>Seguimiento de cultivos</v>
      </c>
      <c r="E67" s="91">
        <v>24</v>
      </c>
      <c r="F67" s="18" t="str">
        <f t="shared" si="5"/>
        <v>Nugas S.A.</v>
      </c>
      <c r="G67" s="91" t="s">
        <v>302</v>
      </c>
      <c r="H67" s="125">
        <v>1</v>
      </c>
      <c r="I67" s="138">
        <v>200000</v>
      </c>
      <c r="J67" s="19">
        <f t="shared" si="1"/>
        <v>200000</v>
      </c>
      <c r="K67" s="26">
        <v>3</v>
      </c>
      <c r="L67" s="19" t="str">
        <f>IFERROR(VLOOKUP(K67,Referencias!$H$7:$I$9,2,FALSE),"")</f>
        <v>Zoom</v>
      </c>
      <c r="M67" s="120">
        <v>160</v>
      </c>
      <c r="N67" s="152">
        <v>700</v>
      </c>
      <c r="O67" s="20">
        <f t="shared" si="2"/>
        <v>112000</v>
      </c>
      <c r="P67" s="21">
        <f t="shared" si="3"/>
        <v>312000</v>
      </c>
      <c r="Q67" s="22"/>
      <c r="R67" s="126">
        <v>0</v>
      </c>
      <c r="S67" s="126">
        <v>0</v>
      </c>
      <c r="T67" s="126">
        <f t="shared" si="4"/>
        <v>1</v>
      </c>
    </row>
    <row r="68" spans="2:20" x14ac:dyDescent="0.25">
      <c r="B68" s="124">
        <v>46089</v>
      </c>
      <c r="C68" s="91">
        <v>4</v>
      </c>
      <c r="D68" s="18" t="str">
        <f>IFERROR(VLOOKUP(C68,Referencias!$E$7:$F$30,2,FALSE),"")</f>
        <v>Seguimiento de cultivos</v>
      </c>
      <c r="E68" s="91">
        <v>24</v>
      </c>
      <c r="F68" s="18" t="str">
        <f>IFERROR(VLOOKUP(E68,Clientes,2,FALSE),"")</f>
        <v>Nugas S.A.</v>
      </c>
      <c r="G68" s="91" t="s">
        <v>302</v>
      </c>
      <c r="H68" s="125">
        <v>1</v>
      </c>
      <c r="I68" s="138">
        <v>200000</v>
      </c>
      <c r="J68" s="19">
        <f t="shared" si="1"/>
        <v>200000</v>
      </c>
      <c r="K68" s="26">
        <v>3</v>
      </c>
      <c r="L68" s="19" t="str">
        <f>IFERROR(VLOOKUP(K68,Referencias!$H$7:$I$9,2,FALSE),"")</f>
        <v>Zoom</v>
      </c>
      <c r="M68" s="143">
        <v>160</v>
      </c>
      <c r="N68" s="152">
        <v>700</v>
      </c>
      <c r="O68" s="20">
        <f t="shared" si="2"/>
        <v>112000</v>
      </c>
      <c r="P68" s="21">
        <f t="shared" si="3"/>
        <v>312000</v>
      </c>
      <c r="Q68" s="22"/>
      <c r="R68" s="126">
        <v>0</v>
      </c>
      <c r="S68" s="126">
        <v>0</v>
      </c>
      <c r="T68" s="126">
        <f t="shared" si="4"/>
        <v>1</v>
      </c>
    </row>
    <row r="69" spans="2:20" x14ac:dyDescent="0.25">
      <c r="B69" s="124">
        <v>46093</v>
      </c>
      <c r="C69" s="91">
        <v>4</v>
      </c>
      <c r="D69" s="18" t="str">
        <f>IFERROR(VLOOKUP(C69,Referencias!$E$7:$F$30,2,FALSE),"")</f>
        <v>Seguimiento de cultivos</v>
      </c>
      <c r="E69" s="91">
        <v>107</v>
      </c>
      <c r="F69" s="18" t="str">
        <f>IFERROR(VLOOKUP(E69,Clientes,2,FALSE),"")</f>
        <v>Omar Piaggio</v>
      </c>
      <c r="G69" s="91" t="s">
        <v>242</v>
      </c>
      <c r="H69" s="125">
        <v>1</v>
      </c>
      <c r="I69" s="138">
        <v>150000</v>
      </c>
      <c r="J69" s="19">
        <f t="shared" si="1"/>
        <v>150000</v>
      </c>
      <c r="K69" s="26">
        <v>1</v>
      </c>
      <c r="L69" s="19" t="str">
        <f>IFERROR(VLOOKUP(K69,Referencias!$H$7:$I$9,2,FALSE),"")</f>
        <v>Tomas</v>
      </c>
      <c r="M69" s="143">
        <v>225</v>
      </c>
      <c r="N69" s="152">
        <v>700</v>
      </c>
      <c r="O69" s="20">
        <f t="shared" si="2"/>
        <v>157500</v>
      </c>
      <c r="P69" s="21">
        <f t="shared" si="3"/>
        <v>307500</v>
      </c>
      <c r="Q69" s="22"/>
      <c r="R69" s="126">
        <v>0</v>
      </c>
      <c r="S69" s="126">
        <v>1</v>
      </c>
      <c r="T69" s="126">
        <f t="shared" si="4"/>
        <v>0</v>
      </c>
    </row>
    <row r="70" spans="2:20" x14ac:dyDescent="0.25">
      <c r="B70" s="124">
        <v>46093</v>
      </c>
      <c r="C70" s="91">
        <v>4</v>
      </c>
      <c r="D70" s="18" t="str">
        <f>IFERROR(VLOOKUP(C70,Referencias!$E$7:$F$30,2,FALSE),"")</f>
        <v>Seguimiento de cultivos</v>
      </c>
      <c r="E70" s="91">
        <v>11</v>
      </c>
      <c r="F70" s="18" t="str">
        <f t="shared" si="5"/>
        <v>Carlos Fernando Fuertes</v>
      </c>
      <c r="G70" s="91" t="s">
        <v>230</v>
      </c>
      <c r="H70" s="125">
        <v>0.5</v>
      </c>
      <c r="I70" s="138">
        <v>200000</v>
      </c>
      <c r="J70" s="19">
        <f t="shared" si="1"/>
        <v>100000</v>
      </c>
      <c r="K70" s="26">
        <v>1</v>
      </c>
      <c r="L70" s="19" t="str">
        <f>IFERROR(VLOOKUP(K70,Referencias!$H$7:$I$9,2,FALSE),"")</f>
        <v>Tomas</v>
      </c>
      <c r="M70" s="143">
        <v>120</v>
      </c>
      <c r="N70" s="152">
        <v>700</v>
      </c>
      <c r="O70" s="20">
        <f t="shared" si="2"/>
        <v>84000</v>
      </c>
      <c r="P70" s="21">
        <f t="shared" si="3"/>
        <v>184000</v>
      </c>
      <c r="Q70" s="22"/>
      <c r="R70" s="126">
        <v>0</v>
      </c>
      <c r="S70" s="126">
        <v>0.5</v>
      </c>
      <c r="T70" s="126">
        <f t="shared" si="4"/>
        <v>0</v>
      </c>
    </row>
    <row r="71" spans="2:20" x14ac:dyDescent="0.25">
      <c r="B71" s="124">
        <v>46101</v>
      </c>
      <c r="C71" s="91">
        <v>4</v>
      </c>
      <c r="D71" s="18" t="str">
        <f>IFERROR(VLOOKUP(C71,Referencias!$E$7:$F$30,2,FALSE),"")</f>
        <v>Seguimiento de cultivos</v>
      </c>
      <c r="E71" s="91">
        <v>24</v>
      </c>
      <c r="F71" s="18" t="str">
        <f t="shared" si="5"/>
        <v>Nugas S.A.</v>
      </c>
      <c r="G71" s="91" t="s">
        <v>302</v>
      </c>
      <c r="H71" s="125">
        <v>0.7</v>
      </c>
      <c r="I71" s="138">
        <v>200000</v>
      </c>
      <c r="J71" s="19">
        <f t="shared" si="1"/>
        <v>140000</v>
      </c>
      <c r="K71" s="26">
        <v>3</v>
      </c>
      <c r="L71" s="19" t="str">
        <f>IFERROR(VLOOKUP(K71,Referencias!$H$7:$I$9,2,FALSE),"")</f>
        <v>Zoom</v>
      </c>
      <c r="M71" s="120">
        <v>160</v>
      </c>
      <c r="N71" s="152">
        <v>850</v>
      </c>
      <c r="O71" s="20">
        <f t="shared" si="2"/>
        <v>136000</v>
      </c>
      <c r="P71" s="21">
        <f t="shared" si="3"/>
        <v>276000</v>
      </c>
      <c r="Q71" s="22"/>
      <c r="R71" s="126">
        <v>0</v>
      </c>
      <c r="S71" s="126">
        <v>0</v>
      </c>
      <c r="T71" s="126">
        <f t="shared" si="4"/>
        <v>0.7</v>
      </c>
    </row>
    <row r="72" spans="2:20" x14ac:dyDescent="0.25">
      <c r="B72" s="124">
        <v>46105</v>
      </c>
      <c r="C72" s="91">
        <v>4</v>
      </c>
      <c r="D72" s="18" t="str">
        <f>IFERROR(VLOOKUP(C72,Referencias!$E$7:$F$30,2,FALSE),"")</f>
        <v>Seguimiento de cultivos</v>
      </c>
      <c r="E72" s="91">
        <v>11</v>
      </c>
      <c r="F72" s="18" t="str">
        <f t="shared" ref="F72:F103" si="6">IFERROR(VLOOKUP(E72,Clientes,2,FALSE),"")</f>
        <v>Carlos Fernando Fuertes</v>
      </c>
      <c r="G72" s="91" t="s">
        <v>230</v>
      </c>
      <c r="H72" s="125">
        <v>0.5</v>
      </c>
      <c r="I72" s="138">
        <v>200000</v>
      </c>
      <c r="J72" s="19">
        <f t="shared" si="1"/>
        <v>100000</v>
      </c>
      <c r="K72" s="26">
        <v>1</v>
      </c>
      <c r="L72" s="19" t="str">
        <f>IFERROR(VLOOKUP(K72,Referencias!$H$7:$I$9,2,FALSE),"")</f>
        <v>Tomas</v>
      </c>
      <c r="M72" s="143">
        <v>120</v>
      </c>
      <c r="N72" s="152">
        <v>850</v>
      </c>
      <c r="O72" s="20">
        <f t="shared" si="2"/>
        <v>102000</v>
      </c>
      <c r="P72" s="21">
        <f t="shared" si="3"/>
        <v>202000</v>
      </c>
      <c r="Q72" s="22"/>
      <c r="R72" s="126">
        <v>0</v>
      </c>
      <c r="S72" s="126">
        <v>0.5</v>
      </c>
      <c r="T72" s="126">
        <f t="shared" si="4"/>
        <v>0</v>
      </c>
    </row>
    <row r="73" spans="2:20" x14ac:dyDescent="0.25">
      <c r="B73" s="124">
        <v>46105</v>
      </c>
      <c r="C73" s="91">
        <v>4</v>
      </c>
      <c r="D73" s="18" t="str">
        <f>IFERROR(VLOOKUP(C73,Referencias!$E$7:$F$30,2,FALSE),"")</f>
        <v>Seguimiento de cultivos</v>
      </c>
      <c r="E73" s="91">
        <v>107</v>
      </c>
      <c r="F73" s="18" t="str">
        <f t="shared" si="6"/>
        <v>Omar Piaggio</v>
      </c>
      <c r="G73" s="91" t="s">
        <v>242</v>
      </c>
      <c r="H73" s="125">
        <v>1</v>
      </c>
      <c r="I73" s="138">
        <v>150000</v>
      </c>
      <c r="J73" s="19">
        <f t="shared" si="1"/>
        <v>150000</v>
      </c>
      <c r="K73" s="26">
        <v>1</v>
      </c>
      <c r="L73" s="19" t="str">
        <f>IFERROR(VLOOKUP(K73,Referencias!$H$7:$I$9,2,FALSE),"")</f>
        <v>Tomas</v>
      </c>
      <c r="M73" s="143">
        <v>225</v>
      </c>
      <c r="N73" s="152">
        <v>850</v>
      </c>
      <c r="O73" s="20">
        <f t="shared" si="2"/>
        <v>191250</v>
      </c>
      <c r="P73" s="21">
        <f t="shared" si="3"/>
        <v>341250</v>
      </c>
      <c r="Q73" s="22"/>
      <c r="R73" s="126">
        <v>0</v>
      </c>
      <c r="S73" s="126">
        <v>1</v>
      </c>
      <c r="T73" s="126">
        <f t="shared" si="4"/>
        <v>0</v>
      </c>
    </row>
    <row r="74" spans="2:20" x14ac:dyDescent="0.25">
      <c r="B74" s="124">
        <v>46107</v>
      </c>
      <c r="C74" s="157">
        <v>4</v>
      </c>
      <c r="D74" s="18" t="str">
        <f>IFERROR(VLOOKUP(C74,Referencias!$E$7:$F$30,2,FALSE),"")</f>
        <v>Seguimiento de cultivos</v>
      </c>
      <c r="E74" s="91">
        <v>107</v>
      </c>
      <c r="F74" s="18" t="str">
        <f t="shared" si="6"/>
        <v>Omar Piaggio</v>
      </c>
      <c r="G74" s="91" t="s">
        <v>242</v>
      </c>
      <c r="H74" s="125">
        <v>1</v>
      </c>
      <c r="I74" s="138">
        <v>150000</v>
      </c>
      <c r="J74" s="19">
        <f t="shared" ref="J74:J156" si="7">IF(H74&lt;&gt;"",H74*I74,"")</f>
        <v>150000</v>
      </c>
      <c r="K74" s="26">
        <v>1</v>
      </c>
      <c r="L74" s="19" t="str">
        <f>IFERROR(VLOOKUP(K74,Referencias!$H$7:$I$9,2,FALSE),"")</f>
        <v>Tomas</v>
      </c>
      <c r="M74" s="120">
        <v>280</v>
      </c>
      <c r="N74" s="152">
        <v>850</v>
      </c>
      <c r="O74" s="20">
        <f t="shared" ref="O74:O156" si="8">IF(M74&lt;&gt;"",M74*N74,"")</f>
        <v>238000</v>
      </c>
      <c r="P74" s="21">
        <f t="shared" ref="P74:P156" si="9">IF(J74&lt;&gt;"",J74+O74,"")</f>
        <v>388000</v>
      </c>
      <c r="Q74" s="22"/>
      <c r="R74" s="126">
        <v>0</v>
      </c>
      <c r="S74" s="126">
        <v>1</v>
      </c>
      <c r="T74" s="126">
        <f t="shared" si="4"/>
        <v>0</v>
      </c>
    </row>
    <row r="75" spans="2:20" x14ac:dyDescent="0.25">
      <c r="B75" s="124">
        <v>46108</v>
      </c>
      <c r="C75" s="157">
        <v>4</v>
      </c>
      <c r="D75" s="18" t="str">
        <f>IFERROR(VLOOKUP(C75,Referencias!$E$7:$F$30,2,FALSE),"")</f>
        <v>Seguimiento de cultivos</v>
      </c>
      <c r="E75" s="91">
        <v>107</v>
      </c>
      <c r="F75" s="18" t="str">
        <f t="shared" si="6"/>
        <v>Omar Piaggio</v>
      </c>
      <c r="G75" s="91" t="s">
        <v>242</v>
      </c>
      <c r="H75" s="125">
        <v>1</v>
      </c>
      <c r="I75" s="138">
        <v>150000</v>
      </c>
      <c r="J75" s="19">
        <f t="shared" si="7"/>
        <v>150000</v>
      </c>
      <c r="K75" s="26">
        <v>1</v>
      </c>
      <c r="L75" s="19" t="str">
        <f>IFERROR(VLOOKUP(K75,Referencias!$H$7:$I$9,2,FALSE),"")</f>
        <v>Tomas</v>
      </c>
      <c r="M75" s="120">
        <v>280</v>
      </c>
      <c r="N75" s="152">
        <v>850</v>
      </c>
      <c r="O75" s="20">
        <f t="shared" si="8"/>
        <v>238000</v>
      </c>
      <c r="P75" s="21">
        <f t="shared" si="9"/>
        <v>388000</v>
      </c>
      <c r="Q75" s="22"/>
      <c r="R75" s="126">
        <v>0</v>
      </c>
      <c r="S75" s="126">
        <v>1</v>
      </c>
      <c r="T75" s="126">
        <f t="shared" si="4"/>
        <v>0</v>
      </c>
    </row>
    <row r="76" spans="2:20" x14ac:dyDescent="0.25">
      <c r="B76" s="124">
        <v>46109</v>
      </c>
      <c r="C76" s="157">
        <v>4</v>
      </c>
      <c r="D76" s="18" t="str">
        <f>IFERROR(VLOOKUP(C76,Referencias!$E$7:$F$30,2,FALSE),"")</f>
        <v>Seguimiento de cultivos</v>
      </c>
      <c r="E76" s="91">
        <v>107</v>
      </c>
      <c r="F76" s="18" t="str">
        <f t="shared" si="6"/>
        <v>Omar Piaggio</v>
      </c>
      <c r="G76" s="91" t="s">
        <v>242</v>
      </c>
      <c r="H76" s="125">
        <v>1</v>
      </c>
      <c r="I76" s="138">
        <v>150000</v>
      </c>
      <c r="J76" s="19">
        <f t="shared" si="7"/>
        <v>150000</v>
      </c>
      <c r="K76" s="26">
        <v>1</v>
      </c>
      <c r="L76" s="19" t="str">
        <f>IFERROR(VLOOKUP(K76,Referencias!$H$7:$I$9,2,FALSE),"")</f>
        <v>Tomas</v>
      </c>
      <c r="M76" s="120">
        <v>280</v>
      </c>
      <c r="N76" s="152">
        <v>850</v>
      </c>
      <c r="O76" s="20">
        <f t="shared" si="8"/>
        <v>238000</v>
      </c>
      <c r="P76" s="21">
        <f t="shared" si="9"/>
        <v>388000</v>
      </c>
      <c r="Q76" s="22"/>
      <c r="R76" s="126">
        <v>0</v>
      </c>
      <c r="S76" s="126">
        <v>1</v>
      </c>
      <c r="T76" s="126">
        <f t="shared" si="4"/>
        <v>0</v>
      </c>
    </row>
    <row r="77" spans="2:20" x14ac:dyDescent="0.25">
      <c r="B77" s="124">
        <v>46110</v>
      </c>
      <c r="C77" s="91">
        <v>4</v>
      </c>
      <c r="D77" s="18" t="str">
        <f>IFERROR(VLOOKUP(C77,Referencias!$E$7:$F$30,2,FALSE),"")</f>
        <v>Seguimiento de cultivos</v>
      </c>
      <c r="E77" s="91">
        <v>107</v>
      </c>
      <c r="F77" s="18" t="str">
        <f t="shared" si="6"/>
        <v>Omar Piaggio</v>
      </c>
      <c r="G77" s="91" t="s">
        <v>242</v>
      </c>
      <c r="H77" s="125">
        <v>1</v>
      </c>
      <c r="I77" s="138">
        <v>150000</v>
      </c>
      <c r="J77" s="19">
        <f t="shared" si="7"/>
        <v>150000</v>
      </c>
      <c r="K77" s="26">
        <v>1</v>
      </c>
      <c r="L77" s="19" t="str">
        <f>IFERROR(VLOOKUP(K77,Referencias!$H$7:$I$9,2,FALSE),"")</f>
        <v>Tomas</v>
      </c>
      <c r="M77" s="120">
        <v>280</v>
      </c>
      <c r="N77" s="152">
        <v>850</v>
      </c>
      <c r="O77" s="20">
        <f t="shared" si="8"/>
        <v>238000</v>
      </c>
      <c r="P77" s="21">
        <f t="shared" si="9"/>
        <v>388000</v>
      </c>
      <c r="Q77" s="22"/>
      <c r="R77" s="126">
        <v>0</v>
      </c>
      <c r="S77" s="126">
        <v>1</v>
      </c>
      <c r="T77" s="126">
        <f t="shared" si="4"/>
        <v>0</v>
      </c>
    </row>
    <row r="78" spans="2:20" x14ac:dyDescent="0.25">
      <c r="B78" s="124">
        <v>46111</v>
      </c>
      <c r="C78" s="91">
        <v>4</v>
      </c>
      <c r="D78" s="18" t="str">
        <f>IFERROR(VLOOKUP(C78,Referencias!$E$7:$F$30,2,FALSE),"")</f>
        <v>Seguimiento de cultivos</v>
      </c>
      <c r="E78" s="91">
        <v>107</v>
      </c>
      <c r="F78" s="18" t="str">
        <f t="shared" si="6"/>
        <v>Omar Piaggio</v>
      </c>
      <c r="G78" s="91" t="s">
        <v>242</v>
      </c>
      <c r="H78" s="125">
        <v>1</v>
      </c>
      <c r="I78" s="138">
        <v>150000</v>
      </c>
      <c r="J78" s="19">
        <f t="shared" si="7"/>
        <v>150000</v>
      </c>
      <c r="K78" s="26">
        <v>1</v>
      </c>
      <c r="L78" s="19" t="str">
        <f>IFERROR(VLOOKUP(K78,Referencias!$H$7:$I$9,2,FALSE),"")</f>
        <v>Tomas</v>
      </c>
      <c r="M78" s="120">
        <v>280</v>
      </c>
      <c r="N78" s="152">
        <v>850</v>
      </c>
      <c r="O78" s="20">
        <f t="shared" si="8"/>
        <v>238000</v>
      </c>
      <c r="P78" s="21">
        <f t="shared" si="9"/>
        <v>388000</v>
      </c>
      <c r="Q78" s="22"/>
      <c r="R78" s="126">
        <v>0</v>
      </c>
      <c r="S78" s="126">
        <v>1</v>
      </c>
      <c r="T78" s="126">
        <f t="shared" si="4"/>
        <v>0</v>
      </c>
    </row>
    <row r="79" spans="2:20" x14ac:dyDescent="0.25">
      <c r="B79" s="124">
        <v>46111</v>
      </c>
      <c r="C79" s="91">
        <v>4</v>
      </c>
      <c r="D79" s="18" t="str">
        <f>IFERROR(VLOOKUP(C79,Referencias!$E$7:$F$30,2,FALSE),"")</f>
        <v>Seguimiento de cultivos</v>
      </c>
      <c r="E79" s="91">
        <v>24</v>
      </c>
      <c r="F79" s="18" t="str">
        <f t="shared" si="6"/>
        <v>Nugas S.A.</v>
      </c>
      <c r="G79" s="91" t="s">
        <v>302</v>
      </c>
      <c r="H79" s="125">
        <v>0.7</v>
      </c>
      <c r="I79" s="138">
        <v>200000</v>
      </c>
      <c r="J79" s="19">
        <f t="shared" si="7"/>
        <v>140000</v>
      </c>
      <c r="K79" s="26">
        <v>3</v>
      </c>
      <c r="L79" s="19" t="str">
        <f>IFERROR(VLOOKUP(K79,Referencias!$H$7:$I$9,2,FALSE),"")</f>
        <v>Zoom</v>
      </c>
      <c r="M79" s="120">
        <v>160</v>
      </c>
      <c r="N79" s="152">
        <v>850</v>
      </c>
      <c r="O79" s="20">
        <f t="shared" si="8"/>
        <v>136000</v>
      </c>
      <c r="P79" s="21">
        <f t="shared" si="9"/>
        <v>276000</v>
      </c>
      <c r="Q79" s="22"/>
      <c r="R79" s="126">
        <v>0</v>
      </c>
      <c r="S79" s="126">
        <v>0</v>
      </c>
      <c r="T79" s="126">
        <f t="shared" si="4"/>
        <v>0.7</v>
      </c>
    </row>
    <row r="80" spans="2:20" x14ac:dyDescent="0.25">
      <c r="B80" s="124">
        <v>46130</v>
      </c>
      <c r="C80" s="91">
        <v>4</v>
      </c>
      <c r="D80" s="18" t="str">
        <f>IFERROR(VLOOKUP(C80,Referencias!$E$7:$F$30,2,FALSE),"")</f>
        <v>Seguimiento de cultivos</v>
      </c>
      <c r="E80" s="91">
        <v>24</v>
      </c>
      <c r="F80" s="18" t="str">
        <f t="shared" si="6"/>
        <v>Nugas S.A.</v>
      </c>
      <c r="G80" s="91" t="s">
        <v>302</v>
      </c>
      <c r="H80" s="125">
        <v>0.7</v>
      </c>
      <c r="I80" s="138">
        <v>200000</v>
      </c>
      <c r="J80" s="19">
        <f t="shared" si="7"/>
        <v>140000</v>
      </c>
      <c r="K80" s="26">
        <v>3</v>
      </c>
      <c r="L80" s="19" t="str">
        <f>IFERROR(VLOOKUP(K80,Referencias!$H$7:$I$9,2,FALSE),"")</f>
        <v>Zoom</v>
      </c>
      <c r="M80" s="120">
        <v>160</v>
      </c>
      <c r="N80" s="152">
        <v>850</v>
      </c>
      <c r="O80" s="20">
        <f t="shared" si="8"/>
        <v>136000</v>
      </c>
      <c r="P80" s="21">
        <f t="shared" si="9"/>
        <v>276000</v>
      </c>
      <c r="Q80" s="22"/>
      <c r="R80" s="126">
        <v>0</v>
      </c>
      <c r="S80" s="126">
        <v>0</v>
      </c>
      <c r="T80" s="126">
        <f t="shared" si="4"/>
        <v>0.7</v>
      </c>
    </row>
    <row r="81" spans="2:23" x14ac:dyDescent="0.25">
      <c r="B81" s="124">
        <v>46137</v>
      </c>
      <c r="C81" s="91">
        <v>4</v>
      </c>
      <c r="D81" s="18" t="str">
        <f>IFERROR(VLOOKUP(C81,Referencias!$E$7:$F$30,2,FALSE),"")</f>
        <v>Seguimiento de cultivos</v>
      </c>
      <c r="E81" s="91">
        <v>107</v>
      </c>
      <c r="F81" s="18" t="str">
        <f t="shared" si="6"/>
        <v>Omar Piaggio</v>
      </c>
      <c r="G81" s="91" t="s">
        <v>242</v>
      </c>
      <c r="H81" s="125">
        <v>1</v>
      </c>
      <c r="I81" s="138">
        <v>150000</v>
      </c>
      <c r="J81" s="19">
        <f t="shared" si="7"/>
        <v>150000</v>
      </c>
      <c r="K81" s="26">
        <v>1</v>
      </c>
      <c r="L81" s="19" t="str">
        <f>IFERROR(VLOOKUP(K81,Referencias!$H$7:$I$9,2,FALSE),"")</f>
        <v>Tomas</v>
      </c>
      <c r="M81" s="120">
        <v>225</v>
      </c>
      <c r="N81" s="152">
        <v>850</v>
      </c>
      <c r="O81" s="20">
        <f>IF(M81&lt;&gt;"",M81*N81,"")</f>
        <v>191250</v>
      </c>
      <c r="P81" s="21">
        <f t="shared" si="9"/>
        <v>341250</v>
      </c>
      <c r="Q81" s="22"/>
      <c r="R81" s="126">
        <v>0</v>
      </c>
      <c r="S81" s="126">
        <v>1</v>
      </c>
      <c r="T81" s="126">
        <f t="shared" si="4"/>
        <v>0</v>
      </c>
    </row>
    <row r="82" spans="2:23" x14ac:dyDescent="0.25">
      <c r="B82" s="124">
        <v>46138</v>
      </c>
      <c r="C82" s="91">
        <v>4</v>
      </c>
      <c r="D82" s="18" t="str">
        <f>IFERROR(VLOOKUP(C82,Referencias!$E$7:$F$30,2,FALSE),"")</f>
        <v>Seguimiento de cultivos</v>
      </c>
      <c r="E82" s="91">
        <v>11</v>
      </c>
      <c r="F82" s="18" t="str">
        <f t="shared" si="6"/>
        <v>Carlos Fernando Fuertes</v>
      </c>
      <c r="G82" s="91" t="s">
        <v>230</v>
      </c>
      <c r="H82" s="125">
        <v>0.5</v>
      </c>
      <c r="I82" s="138">
        <v>200000</v>
      </c>
      <c r="J82" s="19">
        <f t="shared" si="7"/>
        <v>100000</v>
      </c>
      <c r="K82" s="26">
        <v>1</v>
      </c>
      <c r="L82" s="19" t="str">
        <f>IFERROR(VLOOKUP(K82,Referencias!$H$7:$I$9,2,FALSE),"")</f>
        <v>Tomas</v>
      </c>
      <c r="M82" s="120">
        <v>120</v>
      </c>
      <c r="N82" s="152">
        <v>850</v>
      </c>
      <c r="O82" s="20">
        <f>IF(M82&lt;&gt;"",M82*N82,"")</f>
        <v>102000</v>
      </c>
      <c r="P82" s="21">
        <f t="shared" si="9"/>
        <v>202000</v>
      </c>
      <c r="Q82" s="22"/>
      <c r="R82" s="126">
        <v>0</v>
      </c>
      <c r="S82" s="126">
        <v>0.5</v>
      </c>
      <c r="T82" s="126">
        <f t="shared" si="4"/>
        <v>0</v>
      </c>
    </row>
    <row r="83" spans="2:23" x14ac:dyDescent="0.25">
      <c r="B83" s="124">
        <v>46141</v>
      </c>
      <c r="C83" s="91">
        <v>4</v>
      </c>
      <c r="D83" s="18" t="str">
        <f>IFERROR(VLOOKUP(C83,Referencias!$E$7:$F$30,2,FALSE),"")</f>
        <v>Seguimiento de cultivos</v>
      </c>
      <c r="E83" s="91">
        <v>24</v>
      </c>
      <c r="F83" s="18" t="str">
        <f t="shared" si="6"/>
        <v>Nugas S.A.</v>
      </c>
      <c r="G83" s="91" t="s">
        <v>302</v>
      </c>
      <c r="H83" s="125">
        <v>0.7</v>
      </c>
      <c r="I83" s="138">
        <v>200000</v>
      </c>
      <c r="J83" s="19">
        <f t="shared" si="7"/>
        <v>140000</v>
      </c>
      <c r="K83" s="26">
        <v>3</v>
      </c>
      <c r="L83" s="19" t="str">
        <f>IFERROR(VLOOKUP(K83,Referencias!$H$7:$I$9,2,FALSE),"")</f>
        <v>Zoom</v>
      </c>
      <c r="M83" s="143">
        <v>160</v>
      </c>
      <c r="N83" s="152">
        <v>850</v>
      </c>
      <c r="O83" s="20">
        <f t="shared" si="8"/>
        <v>136000</v>
      </c>
      <c r="P83" s="21">
        <f t="shared" si="9"/>
        <v>276000</v>
      </c>
      <c r="Q83" s="22"/>
      <c r="R83" s="126">
        <v>0</v>
      </c>
      <c r="S83" s="126">
        <v>0</v>
      </c>
      <c r="T83" s="126">
        <f t="shared" si="4"/>
        <v>0.7</v>
      </c>
    </row>
    <row r="84" spans="2:23" x14ac:dyDescent="0.25">
      <c r="B84" s="124">
        <v>46172</v>
      </c>
      <c r="C84" s="91">
        <v>5</v>
      </c>
      <c r="D84" s="18" t="str">
        <f>IFERROR(VLOOKUP(C84,Referencias!$E$7:$F$30,2,FALSE),"")</f>
        <v>Control de cosecha</v>
      </c>
      <c r="E84" s="91">
        <v>103</v>
      </c>
      <c r="F84" s="18" t="str">
        <f t="shared" si="6"/>
        <v>AgroFranVis SRL</v>
      </c>
      <c r="G84" s="91" t="s">
        <v>487</v>
      </c>
      <c r="H84" s="125">
        <v>1</v>
      </c>
      <c r="I84" s="138">
        <v>124920</v>
      </c>
      <c r="J84" s="19">
        <f t="shared" si="7"/>
        <v>124920</v>
      </c>
      <c r="K84" s="26">
        <v>3</v>
      </c>
      <c r="L84" s="19" t="str">
        <f>IFERROR(VLOOKUP(K84,Referencias!$H$7:$I$9,2,FALSE),"")</f>
        <v>Zoom</v>
      </c>
      <c r="M84" s="120">
        <v>210</v>
      </c>
      <c r="N84" s="152">
        <v>850</v>
      </c>
      <c r="O84" s="20">
        <f t="shared" si="8"/>
        <v>178500</v>
      </c>
      <c r="P84" s="21">
        <f t="shared" si="9"/>
        <v>303420</v>
      </c>
      <c r="Q84" s="22"/>
      <c r="R84" s="126">
        <v>0</v>
      </c>
      <c r="S84" s="126">
        <v>0</v>
      </c>
      <c r="T84" s="126">
        <f t="shared" si="4"/>
        <v>1</v>
      </c>
    </row>
    <row r="85" spans="2:23" x14ac:dyDescent="0.25">
      <c r="B85" s="124">
        <v>46174</v>
      </c>
      <c r="C85" s="91">
        <v>5</v>
      </c>
      <c r="D85" s="18" t="str">
        <f>IFERROR(VLOOKUP(C85,Referencias!$E$7:$F$30,2,FALSE),"")</f>
        <v>Control de cosecha</v>
      </c>
      <c r="E85" s="91">
        <v>103</v>
      </c>
      <c r="F85" s="18" t="str">
        <f t="shared" si="6"/>
        <v>AgroFranVis SRL</v>
      </c>
      <c r="G85" s="91" t="s">
        <v>487</v>
      </c>
      <c r="H85" s="125">
        <v>1</v>
      </c>
      <c r="I85" s="138">
        <v>124920</v>
      </c>
      <c r="J85" s="19">
        <f t="shared" si="7"/>
        <v>124920</v>
      </c>
      <c r="K85" s="26">
        <v>3</v>
      </c>
      <c r="L85" s="19" t="str">
        <f>IFERROR(VLOOKUP(K85,Referencias!$H$7:$I$9,2,FALSE),"")</f>
        <v>Zoom</v>
      </c>
      <c r="M85" s="143">
        <v>210</v>
      </c>
      <c r="N85" s="152">
        <v>850</v>
      </c>
      <c r="O85" s="20">
        <f t="shared" si="8"/>
        <v>178500</v>
      </c>
      <c r="P85" s="21">
        <f t="shared" si="9"/>
        <v>303420</v>
      </c>
      <c r="Q85" s="22"/>
      <c r="R85" s="126">
        <v>0</v>
      </c>
      <c r="S85" s="126">
        <v>0</v>
      </c>
      <c r="T85" s="126">
        <f t="shared" si="4"/>
        <v>1</v>
      </c>
    </row>
    <row r="86" spans="2:23" x14ac:dyDescent="0.25">
      <c r="B86" s="124">
        <v>46175</v>
      </c>
      <c r="C86" s="91">
        <v>5</v>
      </c>
      <c r="D86" s="18" t="str">
        <f>IFERROR(VLOOKUP(C86,Referencias!$E$7:$F$30,2,FALSE),"")</f>
        <v>Control de cosecha</v>
      </c>
      <c r="E86" s="91">
        <v>103</v>
      </c>
      <c r="F86" s="18" t="str">
        <f t="shared" si="6"/>
        <v>AgroFranVis SRL</v>
      </c>
      <c r="G86" s="91" t="s">
        <v>487</v>
      </c>
      <c r="H86" s="125">
        <v>1</v>
      </c>
      <c r="I86" s="138">
        <v>124920</v>
      </c>
      <c r="J86" s="19">
        <f t="shared" si="7"/>
        <v>124920</v>
      </c>
      <c r="K86" s="26">
        <v>3</v>
      </c>
      <c r="L86" s="19" t="str">
        <f>IFERROR(VLOOKUP(K86,Referencias!$H$7:$I$9,2,FALSE),"")</f>
        <v>Zoom</v>
      </c>
      <c r="M86" s="120">
        <v>210</v>
      </c>
      <c r="N86" s="152">
        <v>850</v>
      </c>
      <c r="O86" s="20">
        <f t="shared" si="8"/>
        <v>178500</v>
      </c>
      <c r="P86" s="21">
        <f t="shared" si="9"/>
        <v>303420</v>
      </c>
      <c r="Q86" s="22"/>
      <c r="R86" s="126">
        <v>0</v>
      </c>
      <c r="S86" s="126">
        <v>0</v>
      </c>
      <c r="T86" s="126">
        <f t="shared" si="4"/>
        <v>1</v>
      </c>
    </row>
    <row r="87" spans="2:23" x14ac:dyDescent="0.25">
      <c r="B87" s="124">
        <v>46176</v>
      </c>
      <c r="C87" s="91">
        <v>5</v>
      </c>
      <c r="D87" s="18" t="str">
        <f>IFERROR(VLOOKUP(C87,Referencias!$E$7:$F$30,2,FALSE),"")</f>
        <v>Control de cosecha</v>
      </c>
      <c r="E87" s="91">
        <v>103</v>
      </c>
      <c r="F87" s="18" t="str">
        <f t="shared" si="6"/>
        <v>AgroFranVis SRL</v>
      </c>
      <c r="G87" s="91" t="s">
        <v>487</v>
      </c>
      <c r="H87" s="125">
        <v>1</v>
      </c>
      <c r="I87" s="138">
        <v>124920</v>
      </c>
      <c r="J87" s="19">
        <f t="shared" si="7"/>
        <v>124920</v>
      </c>
      <c r="K87" s="26">
        <v>3</v>
      </c>
      <c r="L87" s="19" t="str">
        <f>IFERROR(VLOOKUP(K87,Referencias!$H$7:$I$9,2,FALSE),"")</f>
        <v>Zoom</v>
      </c>
      <c r="M87" s="120">
        <v>210</v>
      </c>
      <c r="N87" s="152">
        <v>850</v>
      </c>
      <c r="O87" s="20">
        <f t="shared" si="8"/>
        <v>178500</v>
      </c>
      <c r="P87" s="21">
        <f t="shared" si="9"/>
        <v>303420</v>
      </c>
      <c r="Q87" s="22"/>
      <c r="R87" s="126">
        <v>0</v>
      </c>
      <c r="S87" s="126">
        <v>0</v>
      </c>
      <c r="T87" s="126">
        <f t="shared" si="4"/>
        <v>1</v>
      </c>
    </row>
    <row r="88" spans="2:23" x14ac:dyDescent="0.25">
      <c r="B88" s="124">
        <v>46164</v>
      </c>
      <c r="C88" s="91">
        <v>4</v>
      </c>
      <c r="D88" s="18" t="str">
        <f>IFERROR(VLOOKUP(C88,Referencias!$E$7:$F$30,2,FALSE),"")</f>
        <v>Seguimiento de cultivos</v>
      </c>
      <c r="E88" s="91">
        <v>107</v>
      </c>
      <c r="F88" s="18" t="str">
        <f t="shared" si="6"/>
        <v>Omar Piaggio</v>
      </c>
      <c r="G88" s="91" t="s">
        <v>242</v>
      </c>
      <c r="H88" s="125">
        <v>1</v>
      </c>
      <c r="I88" s="138">
        <v>150000</v>
      </c>
      <c r="J88" s="19">
        <f t="shared" si="7"/>
        <v>150000</v>
      </c>
      <c r="K88" s="26">
        <v>1</v>
      </c>
      <c r="L88" s="19" t="str">
        <f>IFERROR(VLOOKUP(K88,Referencias!$H$7:$I$9,2,FALSE),"")</f>
        <v>Tomas</v>
      </c>
      <c r="M88" s="120">
        <v>225</v>
      </c>
      <c r="N88" s="152">
        <v>850</v>
      </c>
      <c r="O88" s="20">
        <f t="shared" si="8"/>
        <v>191250</v>
      </c>
      <c r="P88" s="21">
        <f t="shared" si="9"/>
        <v>341250</v>
      </c>
      <c r="Q88" s="22"/>
      <c r="R88" s="126">
        <v>0</v>
      </c>
      <c r="S88" s="126">
        <v>1</v>
      </c>
      <c r="T88" s="126">
        <f t="shared" si="4"/>
        <v>0</v>
      </c>
    </row>
    <row r="89" spans="2:23" x14ac:dyDescent="0.25">
      <c r="B89" s="124">
        <v>46167</v>
      </c>
      <c r="C89" s="91">
        <v>4</v>
      </c>
      <c r="D89" s="18" t="str">
        <f>IFERROR(VLOOKUP(C89,Referencias!$E$7:$F$30,2,FALSE),"")</f>
        <v>Seguimiento de cultivos</v>
      </c>
      <c r="E89" s="91">
        <v>107</v>
      </c>
      <c r="F89" s="18" t="str">
        <f t="shared" si="6"/>
        <v>Omar Piaggio</v>
      </c>
      <c r="G89" s="91" t="s">
        <v>242</v>
      </c>
      <c r="H89" s="125">
        <v>1</v>
      </c>
      <c r="I89" s="138">
        <v>150000</v>
      </c>
      <c r="J89" s="19">
        <f t="shared" si="7"/>
        <v>150000</v>
      </c>
      <c r="K89" s="26">
        <v>1</v>
      </c>
      <c r="L89" s="19" t="str">
        <f>IFERROR(VLOOKUP(K89,Referencias!$H$7:$I$9,2,FALSE),"")</f>
        <v>Tomas</v>
      </c>
      <c r="M89" s="120">
        <v>225</v>
      </c>
      <c r="N89" s="152">
        <v>850</v>
      </c>
      <c r="O89" s="20">
        <f t="shared" si="8"/>
        <v>191250</v>
      </c>
      <c r="P89" s="21">
        <f t="shared" si="9"/>
        <v>341250</v>
      </c>
      <c r="Q89" s="22"/>
      <c r="R89" s="126">
        <v>0</v>
      </c>
      <c r="S89" s="126">
        <v>1</v>
      </c>
      <c r="T89" s="126">
        <f t="shared" si="4"/>
        <v>0</v>
      </c>
    </row>
    <row r="90" spans="2:23" x14ac:dyDescent="0.25">
      <c r="B90" s="124">
        <v>46169</v>
      </c>
      <c r="C90" s="91">
        <v>4</v>
      </c>
      <c r="D90" s="18" t="str">
        <f>IFERROR(VLOOKUP(C90,Referencias!$E$7:$F$30,2,FALSE),"")</f>
        <v>Seguimiento de cultivos</v>
      </c>
      <c r="E90" s="91">
        <v>107</v>
      </c>
      <c r="F90" s="18" t="str">
        <f t="shared" si="6"/>
        <v>Omar Piaggio</v>
      </c>
      <c r="G90" s="91" t="s">
        <v>242</v>
      </c>
      <c r="H90" s="125">
        <v>1</v>
      </c>
      <c r="I90" s="138">
        <v>150000</v>
      </c>
      <c r="J90" s="19">
        <f t="shared" si="7"/>
        <v>150000</v>
      </c>
      <c r="K90" s="26">
        <v>1</v>
      </c>
      <c r="L90" s="19" t="str">
        <f>IFERROR(VLOOKUP(K90,Referencias!$H$7:$I$9,2,FALSE),"")</f>
        <v>Tomas</v>
      </c>
      <c r="M90" s="120">
        <v>225</v>
      </c>
      <c r="N90" s="152">
        <v>850</v>
      </c>
      <c r="O90" s="20">
        <f t="shared" si="8"/>
        <v>191250</v>
      </c>
      <c r="P90" s="21">
        <f t="shared" si="9"/>
        <v>341250</v>
      </c>
      <c r="Q90" s="22"/>
      <c r="R90" s="126">
        <v>0</v>
      </c>
      <c r="S90" s="126">
        <v>1</v>
      </c>
      <c r="T90" s="126">
        <f t="shared" si="4"/>
        <v>0</v>
      </c>
    </row>
    <row r="91" spans="2:23" x14ac:dyDescent="0.25">
      <c r="B91" s="124">
        <v>46170</v>
      </c>
      <c r="C91" s="91">
        <v>4</v>
      </c>
      <c r="D91" s="18" t="str">
        <f>IFERROR(VLOOKUP(C91,Referencias!$E$7:$F$30,2,FALSE),"")</f>
        <v>Seguimiento de cultivos</v>
      </c>
      <c r="E91" s="91">
        <v>11</v>
      </c>
      <c r="F91" s="18" t="str">
        <f t="shared" si="6"/>
        <v>Carlos Fernando Fuertes</v>
      </c>
      <c r="G91" s="91" t="s">
        <v>230</v>
      </c>
      <c r="H91" s="125">
        <v>1</v>
      </c>
      <c r="I91" s="138">
        <v>252000</v>
      </c>
      <c r="J91" s="19">
        <f t="shared" si="7"/>
        <v>252000</v>
      </c>
      <c r="K91" s="26">
        <v>1</v>
      </c>
      <c r="L91" s="19" t="str">
        <f>IFERROR(VLOOKUP(K91,Referencias!$H$7:$I$9,2,FALSE),"")</f>
        <v>Tomas</v>
      </c>
      <c r="M91" s="120">
        <v>120</v>
      </c>
      <c r="N91" s="152">
        <v>850</v>
      </c>
      <c r="O91" s="20">
        <f t="shared" si="8"/>
        <v>102000</v>
      </c>
      <c r="P91" s="21">
        <f t="shared" si="9"/>
        <v>354000</v>
      </c>
      <c r="Q91" s="22"/>
      <c r="R91" s="126">
        <v>0</v>
      </c>
      <c r="S91" s="126">
        <v>1</v>
      </c>
      <c r="T91" s="126">
        <f t="shared" si="4"/>
        <v>0</v>
      </c>
    </row>
    <row r="92" spans="2:23" x14ac:dyDescent="0.25">
      <c r="B92" s="124">
        <v>46171</v>
      </c>
      <c r="C92" s="91">
        <v>4</v>
      </c>
      <c r="D92" s="18" t="str">
        <f>IFERROR(VLOOKUP(C92,Referencias!$E$7:$F$30,2,FALSE),"")</f>
        <v>Seguimiento de cultivos</v>
      </c>
      <c r="E92" s="91">
        <v>107</v>
      </c>
      <c r="F92" s="18" t="str">
        <f t="shared" si="6"/>
        <v>Omar Piaggio</v>
      </c>
      <c r="G92" s="91" t="s">
        <v>242</v>
      </c>
      <c r="H92" s="125">
        <v>1</v>
      </c>
      <c r="I92" s="138">
        <v>150000</v>
      </c>
      <c r="J92" s="19">
        <f t="shared" si="7"/>
        <v>150000</v>
      </c>
      <c r="K92" s="26">
        <v>1</v>
      </c>
      <c r="L92" s="19" t="str">
        <f>IFERROR(VLOOKUP(K92,Referencias!$H$7:$I$9,2,FALSE),"")</f>
        <v>Tomas</v>
      </c>
      <c r="M92" s="120">
        <v>280</v>
      </c>
      <c r="N92" s="152">
        <v>850</v>
      </c>
      <c r="O92" s="20">
        <f t="shared" si="8"/>
        <v>238000</v>
      </c>
      <c r="P92" s="21">
        <f t="shared" si="9"/>
        <v>388000</v>
      </c>
      <c r="Q92" s="22"/>
      <c r="R92" s="126">
        <v>0</v>
      </c>
      <c r="S92" s="126">
        <v>1</v>
      </c>
      <c r="T92" s="126">
        <f t="shared" si="4"/>
        <v>0</v>
      </c>
    </row>
    <row r="93" spans="2:23" x14ac:dyDescent="0.25">
      <c r="B93" s="124">
        <v>46188</v>
      </c>
      <c r="C93" s="91">
        <v>4</v>
      </c>
      <c r="D93" s="18" t="str">
        <f>IFERROR(VLOOKUP(C93,Referencias!$E$7:$F$30,2,FALSE),"")</f>
        <v>Seguimiento de cultivos</v>
      </c>
      <c r="E93" s="91">
        <v>107</v>
      </c>
      <c r="F93" s="18" t="str">
        <f t="shared" si="6"/>
        <v>Omar Piaggio</v>
      </c>
      <c r="G93" s="91" t="s">
        <v>242</v>
      </c>
      <c r="H93" s="125">
        <v>1</v>
      </c>
      <c r="I93" s="138">
        <v>150000</v>
      </c>
      <c r="J93" s="19">
        <f t="shared" si="7"/>
        <v>150000</v>
      </c>
      <c r="K93" s="26">
        <v>1</v>
      </c>
      <c r="L93" s="19" t="str">
        <f>IFERROR(VLOOKUP(K93,Referencias!$H$7:$I$9,2,FALSE),"")</f>
        <v>Tomas</v>
      </c>
      <c r="M93" s="120">
        <v>225</v>
      </c>
      <c r="N93" s="152">
        <v>850</v>
      </c>
      <c r="O93" s="20">
        <f t="shared" si="8"/>
        <v>191250</v>
      </c>
      <c r="P93" s="21">
        <f t="shared" si="9"/>
        <v>341250</v>
      </c>
      <c r="Q93" s="22"/>
      <c r="R93" s="126">
        <v>0</v>
      </c>
      <c r="S93" s="126">
        <v>1</v>
      </c>
      <c r="T93" s="126">
        <f t="shared" si="4"/>
        <v>0</v>
      </c>
    </row>
    <row r="94" spans="2:23" x14ac:dyDescent="0.25">
      <c r="B94" s="124">
        <v>46189</v>
      </c>
      <c r="C94" s="91">
        <v>4</v>
      </c>
      <c r="D94" s="18" t="str">
        <f>IFERROR(VLOOKUP(C94,Referencias!$E$7:$F$30,2,FALSE),"")</f>
        <v>Seguimiento de cultivos</v>
      </c>
      <c r="E94" s="91">
        <v>11</v>
      </c>
      <c r="F94" s="18" t="str">
        <f t="shared" si="6"/>
        <v>Carlos Fernando Fuertes</v>
      </c>
      <c r="G94" s="91" t="s">
        <v>230</v>
      </c>
      <c r="H94" s="125">
        <v>0.5</v>
      </c>
      <c r="I94" s="138">
        <v>252000</v>
      </c>
      <c r="J94" s="19">
        <f t="shared" si="7"/>
        <v>126000</v>
      </c>
      <c r="K94" s="26">
        <v>1</v>
      </c>
      <c r="L94" s="19" t="str">
        <f>IFERROR(VLOOKUP(K94,Referencias!$H$7:$I$9,2,FALSE),"")</f>
        <v>Tomas</v>
      </c>
      <c r="M94" s="120">
        <v>120</v>
      </c>
      <c r="N94" s="152">
        <v>850</v>
      </c>
      <c r="O94" s="20">
        <f t="shared" si="8"/>
        <v>102000</v>
      </c>
      <c r="P94" s="21">
        <f t="shared" si="9"/>
        <v>228000</v>
      </c>
      <c r="Q94" s="22"/>
      <c r="R94" s="126">
        <v>0</v>
      </c>
      <c r="S94" s="126">
        <v>0.5</v>
      </c>
      <c r="T94" s="126">
        <f t="shared" si="4"/>
        <v>0</v>
      </c>
      <c r="W94" s="189"/>
    </row>
    <row r="95" spans="2:23" x14ac:dyDescent="0.25">
      <c r="B95" s="124">
        <v>46193</v>
      </c>
      <c r="C95" s="91">
        <v>4</v>
      </c>
      <c r="D95" s="18" t="str">
        <f>IFERROR(VLOOKUP(C95,Referencias!$E$7:$F$30,2,FALSE),"")</f>
        <v>Seguimiento de cultivos</v>
      </c>
      <c r="E95" s="91">
        <v>107</v>
      </c>
      <c r="F95" s="18" t="str">
        <f t="shared" si="6"/>
        <v>Omar Piaggio</v>
      </c>
      <c r="G95" s="91" t="s">
        <v>242</v>
      </c>
      <c r="H95" s="125">
        <v>1</v>
      </c>
      <c r="I95" s="138">
        <v>150000</v>
      </c>
      <c r="J95" s="19">
        <f t="shared" si="7"/>
        <v>150000</v>
      </c>
      <c r="K95" s="26">
        <v>1</v>
      </c>
      <c r="L95" s="19" t="str">
        <f>IFERROR(VLOOKUP(K95,Referencias!$H$7:$I$9,2,FALSE),"")</f>
        <v>Tomas</v>
      </c>
      <c r="M95" s="120">
        <v>225</v>
      </c>
      <c r="N95" s="152">
        <v>850</v>
      </c>
      <c r="O95" s="20">
        <f t="shared" si="8"/>
        <v>191250</v>
      </c>
      <c r="P95" s="21">
        <f t="shared" si="9"/>
        <v>341250</v>
      </c>
      <c r="Q95" s="22"/>
      <c r="R95" s="126">
        <v>0</v>
      </c>
      <c r="S95" s="126">
        <v>1</v>
      </c>
      <c r="T95" s="126">
        <f t="shared" si="4"/>
        <v>0</v>
      </c>
    </row>
    <row r="96" spans="2:23" x14ac:dyDescent="0.25">
      <c r="B96" s="124">
        <v>46202</v>
      </c>
      <c r="C96" s="91">
        <v>4</v>
      </c>
      <c r="D96" s="18" t="str">
        <f>IFERROR(VLOOKUP(C96,Referencias!$E$7:$F$30,2,FALSE),"")</f>
        <v>Seguimiento de cultivos</v>
      </c>
      <c r="E96" s="91">
        <v>107</v>
      </c>
      <c r="F96" s="18" t="str">
        <f t="shared" si="6"/>
        <v>Omar Piaggio</v>
      </c>
      <c r="G96" s="91" t="s">
        <v>242</v>
      </c>
      <c r="H96" s="125">
        <v>1</v>
      </c>
      <c r="I96" s="138">
        <v>150000</v>
      </c>
      <c r="J96" s="19">
        <f t="shared" si="7"/>
        <v>150000</v>
      </c>
      <c r="K96" s="26">
        <v>1</v>
      </c>
      <c r="L96" s="19" t="str">
        <f>IFERROR(VLOOKUP(K96,Referencias!$H$7:$I$9,2,FALSE),"")</f>
        <v>Tomas</v>
      </c>
      <c r="M96" s="120">
        <v>225</v>
      </c>
      <c r="N96" s="152">
        <v>850</v>
      </c>
      <c r="O96" s="20">
        <f t="shared" si="8"/>
        <v>191250</v>
      </c>
      <c r="P96" s="21">
        <f t="shared" si="9"/>
        <v>341250</v>
      </c>
      <c r="Q96" s="22"/>
      <c r="R96" s="126">
        <v>0</v>
      </c>
      <c r="S96" s="126">
        <v>1</v>
      </c>
      <c r="T96" s="126">
        <f t="shared" si="4"/>
        <v>0</v>
      </c>
    </row>
    <row r="97" spans="2:20" x14ac:dyDescent="0.25">
      <c r="B97" s="124">
        <v>46206</v>
      </c>
      <c r="C97" s="91">
        <v>4</v>
      </c>
      <c r="D97" s="18" t="str">
        <f>IFERROR(VLOOKUP(C97,Referencias!$E$7:$F$30,2,FALSE),"")</f>
        <v>Seguimiento de cultivos</v>
      </c>
      <c r="E97" s="91">
        <v>11</v>
      </c>
      <c r="F97" s="18" t="str">
        <f t="shared" si="6"/>
        <v>Carlos Fernando Fuertes</v>
      </c>
      <c r="G97" s="91" t="s">
        <v>230</v>
      </c>
      <c r="H97" s="125">
        <v>0.5</v>
      </c>
      <c r="I97" s="138">
        <v>252000</v>
      </c>
      <c r="J97" s="19">
        <f t="shared" si="7"/>
        <v>126000</v>
      </c>
      <c r="K97" s="26">
        <v>1</v>
      </c>
      <c r="L97" s="19" t="str">
        <f>IFERROR(VLOOKUP(K97,Referencias!$H$7:$I$9,2,FALSE),"")</f>
        <v>Tomas</v>
      </c>
      <c r="M97" s="120">
        <v>120</v>
      </c>
      <c r="N97" s="152">
        <v>850</v>
      </c>
      <c r="O97" s="20">
        <f t="shared" si="8"/>
        <v>102000</v>
      </c>
      <c r="P97" s="21">
        <f t="shared" si="9"/>
        <v>228000</v>
      </c>
      <c r="Q97" s="22"/>
      <c r="R97" s="126">
        <v>0</v>
      </c>
      <c r="S97" s="126">
        <v>0.5</v>
      </c>
      <c r="T97" s="126">
        <f t="shared" si="4"/>
        <v>0</v>
      </c>
    </row>
    <row r="98" spans="2:20" x14ac:dyDescent="0.25">
      <c r="B98" s="124">
        <v>46219</v>
      </c>
      <c r="C98" s="91">
        <v>4</v>
      </c>
      <c r="D98" s="18" t="str">
        <f>IFERROR(VLOOKUP(C98,Referencias!$E$7:$F$30,2,FALSE),"")</f>
        <v>Seguimiento de cultivos</v>
      </c>
      <c r="E98" s="91">
        <v>11</v>
      </c>
      <c r="F98" s="18" t="str">
        <f t="shared" si="6"/>
        <v>Carlos Fernando Fuertes</v>
      </c>
      <c r="G98" s="91" t="s">
        <v>230</v>
      </c>
      <c r="H98" s="125">
        <v>0.5</v>
      </c>
      <c r="I98" s="138">
        <v>252000</v>
      </c>
      <c r="J98" s="19">
        <f t="shared" si="7"/>
        <v>126000</v>
      </c>
      <c r="K98" s="26">
        <v>1</v>
      </c>
      <c r="L98" s="19" t="str">
        <f>IFERROR(VLOOKUP(K98,Referencias!$H$7:$I$9,2,FALSE),"")</f>
        <v>Tomas</v>
      </c>
      <c r="M98" s="120">
        <v>120</v>
      </c>
      <c r="N98" s="152">
        <v>850</v>
      </c>
      <c r="O98" s="20">
        <f t="shared" si="8"/>
        <v>102000</v>
      </c>
      <c r="P98" s="21">
        <f t="shared" si="9"/>
        <v>228000</v>
      </c>
      <c r="Q98" s="22"/>
      <c r="R98" s="126">
        <v>0</v>
      </c>
      <c r="S98" s="126">
        <v>0.5</v>
      </c>
      <c r="T98" s="126">
        <f t="shared" si="4"/>
        <v>0</v>
      </c>
    </row>
    <row r="99" spans="2:20" x14ac:dyDescent="0.25">
      <c r="B99" s="124">
        <v>46219</v>
      </c>
      <c r="C99" s="91">
        <v>4</v>
      </c>
      <c r="D99" s="18" t="str">
        <f>IFERROR(VLOOKUP(C99,Referencias!$E$7:$F$30,2,FALSE),"")</f>
        <v>Seguimiento de cultivos</v>
      </c>
      <c r="E99" s="91">
        <v>107</v>
      </c>
      <c r="F99" s="18" t="str">
        <f t="shared" si="6"/>
        <v>Omar Piaggio</v>
      </c>
      <c r="G99" s="91" t="s">
        <v>242</v>
      </c>
      <c r="H99" s="125">
        <v>1</v>
      </c>
      <c r="I99" s="138">
        <v>150000</v>
      </c>
      <c r="J99" s="19">
        <f t="shared" si="7"/>
        <v>150000</v>
      </c>
      <c r="K99" s="26">
        <v>1</v>
      </c>
      <c r="L99" s="19" t="str">
        <f>IFERROR(VLOOKUP(K99,Referencias!$H$7:$I$9,2,FALSE),"")</f>
        <v>Tomas</v>
      </c>
      <c r="M99" s="120">
        <v>225</v>
      </c>
      <c r="N99" s="152">
        <v>850</v>
      </c>
      <c r="O99" s="20">
        <f t="shared" si="8"/>
        <v>191250</v>
      </c>
      <c r="P99" s="21">
        <f t="shared" si="9"/>
        <v>341250</v>
      </c>
      <c r="Q99" s="22"/>
      <c r="R99" s="126">
        <v>0</v>
      </c>
      <c r="S99" s="126">
        <v>1</v>
      </c>
      <c r="T99" s="126">
        <f t="shared" si="4"/>
        <v>0</v>
      </c>
    </row>
    <row r="100" spans="2:20" x14ac:dyDescent="0.25">
      <c r="B100" s="124"/>
      <c r="C100" s="91"/>
      <c r="D100" s="18" t="str">
        <f>IFERROR(VLOOKUP(C100,Referencias!$E$7:$F$30,2,FALSE),"")</f>
        <v/>
      </c>
      <c r="E100" s="91"/>
      <c r="F100" s="18" t="str">
        <f t="shared" si="6"/>
        <v/>
      </c>
      <c r="G100" s="91"/>
      <c r="H100" s="125"/>
      <c r="I100" s="138"/>
      <c r="J100" s="19" t="str">
        <f t="shared" si="7"/>
        <v/>
      </c>
      <c r="K100" s="26"/>
      <c r="L100" s="19" t="str">
        <f>IFERROR(VLOOKUP(K100,Referencias!$H$7:$I$9,2,FALSE),"")</f>
        <v/>
      </c>
      <c r="M100" s="120"/>
      <c r="N100" s="152"/>
      <c r="O100" s="20" t="str">
        <f t="shared" si="8"/>
        <v/>
      </c>
      <c r="P100" s="21" t="str">
        <f t="shared" si="9"/>
        <v/>
      </c>
      <c r="Q100" s="22"/>
      <c r="R100" s="126"/>
      <c r="S100" s="126"/>
      <c r="T100" s="126"/>
    </row>
    <row r="101" spans="2:20" x14ac:dyDescent="0.25">
      <c r="B101" s="124"/>
      <c r="C101" s="91"/>
      <c r="D101" s="18" t="str">
        <f>IFERROR(VLOOKUP(C101,Referencias!$E$7:$F$30,2,FALSE),"")</f>
        <v/>
      </c>
      <c r="E101" s="91"/>
      <c r="F101" s="18" t="str">
        <f t="shared" si="6"/>
        <v/>
      </c>
      <c r="G101" s="91"/>
      <c r="H101" s="125"/>
      <c r="I101" s="138"/>
      <c r="J101" s="19" t="str">
        <f t="shared" si="7"/>
        <v/>
      </c>
      <c r="K101" s="26"/>
      <c r="L101" s="19" t="str">
        <f>IFERROR(VLOOKUP(K101,Referencias!$H$7:$I$9,2,FALSE),"")</f>
        <v/>
      </c>
      <c r="M101" s="120"/>
      <c r="N101" s="29"/>
      <c r="O101" s="20" t="str">
        <f t="shared" si="8"/>
        <v/>
      </c>
      <c r="P101" s="21" t="str">
        <f t="shared" si="9"/>
        <v/>
      </c>
      <c r="Q101" s="22"/>
      <c r="R101" s="126"/>
      <c r="S101" s="126"/>
      <c r="T101" s="126"/>
    </row>
    <row r="102" spans="2:20" x14ac:dyDescent="0.25">
      <c r="B102" s="124"/>
      <c r="C102" s="91"/>
      <c r="D102" s="18" t="str">
        <f>IFERROR(VLOOKUP(C102,Referencias!$E$7:$F$30,2,FALSE),"")</f>
        <v/>
      </c>
      <c r="E102" s="91"/>
      <c r="F102" s="18" t="str">
        <f t="shared" si="6"/>
        <v/>
      </c>
      <c r="G102" s="91"/>
      <c r="H102" s="125"/>
      <c r="I102" s="138"/>
      <c r="J102" s="19" t="str">
        <f t="shared" si="7"/>
        <v/>
      </c>
      <c r="K102" s="26"/>
      <c r="L102" s="19" t="str">
        <f>IFERROR(VLOOKUP(K102,Referencias!$H$7:$I$9,2,FALSE),"")</f>
        <v/>
      </c>
      <c r="M102" s="120"/>
      <c r="N102" s="29"/>
      <c r="O102" s="20" t="str">
        <f t="shared" si="8"/>
        <v/>
      </c>
      <c r="P102" s="21" t="str">
        <f t="shared" si="9"/>
        <v/>
      </c>
      <c r="Q102" s="22"/>
      <c r="R102" s="126"/>
      <c r="S102" s="126"/>
      <c r="T102" s="126"/>
    </row>
    <row r="103" spans="2:20" x14ac:dyDescent="0.25">
      <c r="B103" s="124"/>
      <c r="C103" s="91"/>
      <c r="D103" s="18" t="str">
        <f>IFERROR(VLOOKUP(C103,Referencias!$E$7:$F$30,2,FALSE),"")</f>
        <v/>
      </c>
      <c r="E103" s="91"/>
      <c r="F103" s="18" t="str">
        <f t="shared" si="6"/>
        <v/>
      </c>
      <c r="G103" s="91"/>
      <c r="H103" s="125"/>
      <c r="I103" s="138"/>
      <c r="J103" s="19" t="str">
        <f t="shared" si="7"/>
        <v/>
      </c>
      <c r="K103" s="26"/>
      <c r="L103" s="19" t="str">
        <f>IFERROR(VLOOKUP(K103,Referencias!$H$7:$I$9,2,FALSE),"")</f>
        <v/>
      </c>
      <c r="M103" s="120"/>
      <c r="N103" s="29"/>
      <c r="O103" s="20" t="str">
        <f t="shared" si="8"/>
        <v/>
      </c>
      <c r="P103" s="21" t="str">
        <f t="shared" si="9"/>
        <v/>
      </c>
      <c r="Q103" s="22"/>
      <c r="R103" s="126"/>
      <c r="S103" s="126"/>
      <c r="T103" s="126"/>
    </row>
    <row r="104" spans="2:20" x14ac:dyDescent="0.25">
      <c r="B104" s="124"/>
      <c r="C104" s="91"/>
      <c r="D104" s="18" t="str">
        <f>IFERROR(VLOOKUP(C104,Referencias!$E$7:$F$30,2,FALSE),"")</f>
        <v/>
      </c>
      <c r="E104" s="91"/>
      <c r="F104" s="18" t="str">
        <f t="shared" ref="F104:F135" si="10">IFERROR(VLOOKUP(E104,Clientes,2,FALSE),"")</f>
        <v/>
      </c>
      <c r="G104" s="91"/>
      <c r="H104" s="125"/>
      <c r="I104" s="138"/>
      <c r="J104" s="19" t="str">
        <f t="shared" si="7"/>
        <v/>
      </c>
      <c r="K104" s="26"/>
      <c r="L104" s="19" t="str">
        <f>IFERROR(VLOOKUP(K104,Referencias!$H$7:$I$9,2,FALSE),"")</f>
        <v/>
      </c>
      <c r="M104" s="120"/>
      <c r="N104" s="29"/>
      <c r="O104" s="20" t="str">
        <f t="shared" si="8"/>
        <v/>
      </c>
      <c r="P104" s="21" t="str">
        <f t="shared" si="9"/>
        <v/>
      </c>
      <c r="Q104" s="22"/>
      <c r="R104" s="126"/>
      <c r="S104" s="126"/>
      <c r="T104" s="126"/>
    </row>
    <row r="105" spans="2:20" x14ac:dyDescent="0.25">
      <c r="B105" s="124"/>
      <c r="C105" s="91"/>
      <c r="D105" s="18" t="str">
        <f>IFERROR(VLOOKUP(C105,Referencias!$E$7:$F$30,2,FALSE),"")</f>
        <v/>
      </c>
      <c r="E105" s="91"/>
      <c r="F105" s="18" t="str">
        <f t="shared" si="10"/>
        <v/>
      </c>
      <c r="G105" s="91"/>
      <c r="H105" s="125"/>
      <c r="I105" s="138"/>
      <c r="J105" s="19" t="str">
        <f t="shared" si="7"/>
        <v/>
      </c>
      <c r="K105" s="26"/>
      <c r="L105" s="19" t="str">
        <f>IFERROR(VLOOKUP(K105,Referencias!$H$7:$I$9,2,FALSE),"")</f>
        <v/>
      </c>
      <c r="M105" s="120"/>
      <c r="N105" s="152"/>
      <c r="O105" s="20" t="str">
        <f t="shared" si="8"/>
        <v/>
      </c>
      <c r="P105" s="21" t="str">
        <f t="shared" si="9"/>
        <v/>
      </c>
      <c r="Q105" s="22"/>
      <c r="R105" s="126"/>
      <c r="S105" s="126"/>
      <c r="T105" s="126"/>
    </row>
    <row r="106" spans="2:20" x14ac:dyDescent="0.25">
      <c r="B106" s="124"/>
      <c r="C106" s="91"/>
      <c r="D106" s="18" t="str">
        <f>IFERROR(VLOOKUP(C106,Referencias!$E$7:$F$30,2,FALSE),"")</f>
        <v/>
      </c>
      <c r="E106" s="91"/>
      <c r="F106" s="18" t="str">
        <f t="shared" si="10"/>
        <v/>
      </c>
      <c r="G106" s="91"/>
      <c r="H106" s="125"/>
      <c r="I106" s="138"/>
      <c r="J106" s="19" t="str">
        <f t="shared" si="7"/>
        <v/>
      </c>
      <c r="K106" s="26"/>
      <c r="L106" s="19" t="str">
        <f>IFERROR(VLOOKUP(K106,Referencias!$H$7:$I$9,2,FALSE),"")</f>
        <v/>
      </c>
      <c r="M106" s="120"/>
      <c r="N106" s="152"/>
      <c r="O106" s="20" t="str">
        <f t="shared" si="8"/>
        <v/>
      </c>
      <c r="P106" s="21" t="str">
        <f t="shared" si="9"/>
        <v/>
      </c>
      <c r="Q106" s="22"/>
      <c r="R106" s="126"/>
      <c r="S106" s="126"/>
      <c r="T106" s="126"/>
    </row>
    <row r="107" spans="2:20" x14ac:dyDescent="0.25">
      <c r="B107" s="124"/>
      <c r="C107" s="91"/>
      <c r="D107" s="18" t="str">
        <f>IFERROR(VLOOKUP(C107,Referencias!$E$7:$F$30,2,FALSE),"")</f>
        <v/>
      </c>
      <c r="E107" s="91"/>
      <c r="F107" s="18" t="str">
        <f t="shared" si="10"/>
        <v/>
      </c>
      <c r="G107" s="91"/>
      <c r="H107" s="125"/>
      <c r="I107" s="138"/>
      <c r="J107" s="19" t="str">
        <f t="shared" si="7"/>
        <v/>
      </c>
      <c r="K107" s="26"/>
      <c r="L107" s="19" t="str">
        <f>IFERROR(VLOOKUP(K107,Referencias!$H$7:$I$9,2,FALSE),"")</f>
        <v/>
      </c>
      <c r="M107" s="120"/>
      <c r="N107" s="152"/>
      <c r="O107" s="20" t="str">
        <f t="shared" si="8"/>
        <v/>
      </c>
      <c r="P107" s="21" t="str">
        <f t="shared" si="9"/>
        <v/>
      </c>
      <c r="Q107" s="22"/>
      <c r="R107" s="126"/>
      <c r="S107" s="126"/>
      <c r="T107" s="126"/>
    </row>
    <row r="108" spans="2:20" x14ac:dyDescent="0.25">
      <c r="B108" s="124"/>
      <c r="C108" s="91"/>
      <c r="D108" s="18" t="str">
        <f>IFERROR(VLOOKUP(C108,Referencias!$E$7:$F$30,2,FALSE),"")</f>
        <v/>
      </c>
      <c r="E108" s="91"/>
      <c r="F108" s="18" t="str">
        <f t="shared" si="10"/>
        <v/>
      </c>
      <c r="G108" s="91"/>
      <c r="H108" s="125"/>
      <c r="I108" s="138"/>
      <c r="J108" s="19" t="str">
        <f t="shared" si="7"/>
        <v/>
      </c>
      <c r="K108" s="26"/>
      <c r="L108" s="19" t="str">
        <f>IFERROR(VLOOKUP(K108,Referencias!$H$7:$I$9,2,FALSE),"")</f>
        <v/>
      </c>
      <c r="M108" s="120"/>
      <c r="N108" s="29"/>
      <c r="O108" s="20" t="str">
        <f t="shared" si="8"/>
        <v/>
      </c>
      <c r="P108" s="21" t="str">
        <f t="shared" si="9"/>
        <v/>
      </c>
      <c r="Q108" s="22"/>
      <c r="R108" s="126"/>
      <c r="S108" s="126"/>
      <c r="T108" s="126"/>
    </row>
    <row r="109" spans="2:20" x14ac:dyDescent="0.25">
      <c r="B109" s="124"/>
      <c r="C109" s="91"/>
      <c r="D109" s="18" t="str">
        <f>IFERROR(VLOOKUP(C109,Referencias!$E$7:$F$30,2,FALSE),"")</f>
        <v/>
      </c>
      <c r="E109" s="91"/>
      <c r="F109" s="18" t="str">
        <f t="shared" si="10"/>
        <v/>
      </c>
      <c r="G109" s="91"/>
      <c r="H109" s="125"/>
      <c r="I109" s="138"/>
      <c r="J109" s="19" t="str">
        <f t="shared" si="7"/>
        <v/>
      </c>
      <c r="K109" s="26"/>
      <c r="L109" s="19" t="str">
        <f>IFERROR(VLOOKUP(K109,Referencias!$H$7:$I$9,2,FALSE),"")</f>
        <v/>
      </c>
      <c r="M109" s="120"/>
      <c r="N109" s="29"/>
      <c r="O109" s="20" t="str">
        <f t="shared" si="8"/>
        <v/>
      </c>
      <c r="P109" s="21" t="str">
        <f t="shared" si="9"/>
        <v/>
      </c>
      <c r="Q109" s="22"/>
      <c r="R109" s="126"/>
      <c r="S109" s="126"/>
      <c r="T109" s="126"/>
    </row>
    <row r="110" spans="2:20" x14ac:dyDescent="0.25">
      <c r="B110" s="124"/>
      <c r="C110" s="91"/>
      <c r="D110" s="18" t="str">
        <f>IFERROR(VLOOKUP(C110,Referencias!$E$7:$F$30,2,FALSE),"")</f>
        <v/>
      </c>
      <c r="E110" s="91"/>
      <c r="F110" s="18" t="str">
        <f t="shared" si="10"/>
        <v/>
      </c>
      <c r="G110" s="91"/>
      <c r="H110" s="125"/>
      <c r="I110" s="138"/>
      <c r="J110" s="19" t="str">
        <f t="shared" si="7"/>
        <v/>
      </c>
      <c r="K110" s="26"/>
      <c r="L110" s="19" t="str">
        <f>IFERROR(VLOOKUP(K110,Referencias!$H$7:$I$9,2,FALSE),"")</f>
        <v/>
      </c>
      <c r="M110" s="120"/>
      <c r="N110" s="29"/>
      <c r="O110" s="20" t="str">
        <f t="shared" si="8"/>
        <v/>
      </c>
      <c r="P110" s="21" t="str">
        <f t="shared" si="9"/>
        <v/>
      </c>
      <c r="Q110" s="22"/>
      <c r="R110" s="126"/>
      <c r="S110" s="126"/>
      <c r="T110" s="126"/>
    </row>
    <row r="111" spans="2:20" x14ac:dyDescent="0.25">
      <c r="B111" s="124"/>
      <c r="C111" s="91"/>
      <c r="D111" s="18" t="str">
        <f>IFERROR(VLOOKUP(C111,Referencias!$E$7:$F$30,2,FALSE),"")</f>
        <v/>
      </c>
      <c r="E111" s="91"/>
      <c r="F111" s="18" t="str">
        <f t="shared" si="10"/>
        <v/>
      </c>
      <c r="G111" s="91"/>
      <c r="H111" s="125"/>
      <c r="I111" s="138"/>
      <c r="J111" s="19" t="str">
        <f t="shared" si="7"/>
        <v/>
      </c>
      <c r="K111" s="26"/>
      <c r="L111" s="19" t="str">
        <f>IFERROR(VLOOKUP(K111,Referencias!$H$7:$I$9,2,FALSE),"")</f>
        <v/>
      </c>
      <c r="M111" s="120"/>
      <c r="N111" s="29"/>
      <c r="O111" s="20" t="str">
        <f t="shared" si="8"/>
        <v/>
      </c>
      <c r="P111" s="21" t="str">
        <f t="shared" si="9"/>
        <v/>
      </c>
      <c r="Q111" s="22"/>
      <c r="R111" s="126"/>
      <c r="S111" s="126"/>
      <c r="T111" s="126"/>
    </row>
    <row r="112" spans="2:20" x14ac:dyDescent="0.25">
      <c r="B112" s="124"/>
      <c r="C112" s="91"/>
      <c r="D112" s="18" t="str">
        <f>IFERROR(VLOOKUP(C112,Referencias!$E$7:$F$30,2,FALSE),"")</f>
        <v/>
      </c>
      <c r="E112" s="91"/>
      <c r="F112" s="18" t="str">
        <f t="shared" si="10"/>
        <v/>
      </c>
      <c r="G112" s="91"/>
      <c r="H112" s="125"/>
      <c r="I112" s="138"/>
      <c r="J112" s="19" t="str">
        <f t="shared" si="7"/>
        <v/>
      </c>
      <c r="K112" s="26"/>
      <c r="L112" s="19" t="str">
        <f>IFERROR(VLOOKUP(K112,Referencias!$H$7:$I$9,2,FALSE),"")</f>
        <v/>
      </c>
      <c r="M112" s="120"/>
      <c r="N112" s="29"/>
      <c r="O112" s="20" t="str">
        <f t="shared" si="8"/>
        <v/>
      </c>
      <c r="P112" s="21" t="str">
        <f t="shared" si="9"/>
        <v/>
      </c>
      <c r="Q112" s="22"/>
      <c r="R112" s="126"/>
      <c r="S112" s="126"/>
      <c r="T112" s="126"/>
    </row>
    <row r="113" spans="2:20" x14ac:dyDescent="0.25">
      <c r="B113" s="124"/>
      <c r="C113" s="91"/>
      <c r="D113" s="18" t="str">
        <f>IFERROR(VLOOKUP(C113,Referencias!$E$7:$F$30,2,FALSE),"")</f>
        <v/>
      </c>
      <c r="E113" s="91"/>
      <c r="F113" s="18" t="str">
        <f t="shared" si="10"/>
        <v/>
      </c>
      <c r="G113" s="91"/>
      <c r="H113" s="125"/>
      <c r="I113" s="138"/>
      <c r="J113" s="19" t="str">
        <f t="shared" si="7"/>
        <v/>
      </c>
      <c r="K113" s="26"/>
      <c r="L113" s="19" t="str">
        <f>IFERROR(VLOOKUP(K113,Referencias!$H$7:$I$9,2,FALSE),"")</f>
        <v/>
      </c>
      <c r="M113" s="120"/>
      <c r="N113" s="29"/>
      <c r="O113" s="20" t="str">
        <f t="shared" si="8"/>
        <v/>
      </c>
      <c r="P113" s="21" t="str">
        <f t="shared" si="9"/>
        <v/>
      </c>
      <c r="Q113" s="22"/>
      <c r="R113" s="126"/>
      <c r="S113" s="126"/>
      <c r="T113" s="126"/>
    </row>
    <row r="114" spans="2:20" x14ac:dyDescent="0.25">
      <c r="B114" s="124"/>
      <c r="C114" s="91"/>
      <c r="D114" s="18" t="str">
        <f>IFERROR(VLOOKUP(C114,Referencias!$E$7:$F$30,2,FALSE),"")</f>
        <v/>
      </c>
      <c r="E114" s="91"/>
      <c r="F114" s="18" t="str">
        <f t="shared" si="10"/>
        <v/>
      </c>
      <c r="G114" s="91"/>
      <c r="H114" s="125"/>
      <c r="I114" s="138"/>
      <c r="J114" s="19" t="str">
        <f t="shared" si="7"/>
        <v/>
      </c>
      <c r="K114" s="26"/>
      <c r="L114" s="19" t="str">
        <f>IFERROR(VLOOKUP(K114,Referencias!$H$7:$I$9,2,FALSE),"")</f>
        <v/>
      </c>
      <c r="M114" s="120"/>
      <c r="N114" s="29"/>
      <c r="O114" s="20" t="str">
        <f t="shared" si="8"/>
        <v/>
      </c>
      <c r="P114" s="21" t="str">
        <f t="shared" si="9"/>
        <v/>
      </c>
      <c r="Q114" s="22"/>
      <c r="R114" s="126"/>
      <c r="S114" s="126"/>
      <c r="T114" s="126"/>
    </row>
    <row r="115" spans="2:20" x14ac:dyDescent="0.25">
      <c r="B115" s="124"/>
      <c r="C115" s="91"/>
      <c r="D115" s="18" t="str">
        <f>IFERROR(VLOOKUP(C115,Referencias!$E$7:$F$30,2,FALSE),"")</f>
        <v/>
      </c>
      <c r="E115" s="91"/>
      <c r="F115" s="18" t="str">
        <f t="shared" si="10"/>
        <v/>
      </c>
      <c r="G115" s="91"/>
      <c r="H115" s="125"/>
      <c r="I115" s="138"/>
      <c r="J115" s="19" t="str">
        <f t="shared" si="7"/>
        <v/>
      </c>
      <c r="K115" s="26"/>
      <c r="L115" s="19" t="str">
        <f>IFERROR(VLOOKUP(K115,Referencias!$H$7:$I$9,2,FALSE),"")</f>
        <v/>
      </c>
      <c r="M115" s="120"/>
      <c r="N115" s="29"/>
      <c r="O115" s="20" t="str">
        <f t="shared" si="8"/>
        <v/>
      </c>
      <c r="P115" s="21" t="str">
        <f t="shared" si="9"/>
        <v/>
      </c>
      <c r="Q115" s="22"/>
      <c r="R115" s="126"/>
      <c r="S115" s="126"/>
      <c r="T115" s="126"/>
    </row>
    <row r="116" spans="2:20" x14ac:dyDescent="0.25">
      <c r="B116" s="124"/>
      <c r="C116" s="91"/>
      <c r="D116" s="18" t="str">
        <f>IFERROR(VLOOKUP(C116,Referencias!$E$7:$F$30,2,FALSE),"")</f>
        <v/>
      </c>
      <c r="E116" s="91"/>
      <c r="F116" s="18" t="str">
        <f t="shared" si="10"/>
        <v/>
      </c>
      <c r="G116" s="91"/>
      <c r="H116" s="125"/>
      <c r="I116" s="138"/>
      <c r="J116" s="19" t="str">
        <f t="shared" si="7"/>
        <v/>
      </c>
      <c r="K116" s="26"/>
      <c r="L116" s="19" t="str">
        <f>IFERROR(VLOOKUP(K116,Referencias!$H$7:$I$9,2,FALSE),"")</f>
        <v/>
      </c>
      <c r="M116" s="120"/>
      <c r="N116" s="29"/>
      <c r="O116" s="20" t="str">
        <f t="shared" si="8"/>
        <v/>
      </c>
      <c r="P116" s="21" t="str">
        <f t="shared" si="9"/>
        <v/>
      </c>
      <c r="Q116" s="22"/>
      <c r="R116" s="126"/>
      <c r="S116" s="126"/>
      <c r="T116" s="126"/>
    </row>
    <row r="117" spans="2:20" x14ac:dyDescent="0.25">
      <c r="B117" s="124"/>
      <c r="C117" s="91"/>
      <c r="D117" s="18" t="str">
        <f>IFERROR(VLOOKUP(C117,Referencias!$E$7:$F$30,2,FALSE),"")</f>
        <v/>
      </c>
      <c r="E117" s="91"/>
      <c r="F117" s="18" t="str">
        <f t="shared" si="10"/>
        <v/>
      </c>
      <c r="G117" s="91"/>
      <c r="H117" s="125"/>
      <c r="I117" s="138"/>
      <c r="J117" s="19" t="str">
        <f t="shared" si="7"/>
        <v/>
      </c>
      <c r="K117" s="26"/>
      <c r="L117" s="19" t="str">
        <f>IFERROR(VLOOKUP(K117,Referencias!$H$7:$I$9,2,FALSE),"")</f>
        <v/>
      </c>
      <c r="M117" s="120"/>
      <c r="N117" s="29"/>
      <c r="O117" s="20" t="str">
        <f t="shared" si="8"/>
        <v/>
      </c>
      <c r="P117" s="21" t="str">
        <f t="shared" si="9"/>
        <v/>
      </c>
      <c r="Q117" s="22"/>
      <c r="R117" s="126"/>
      <c r="S117" s="126"/>
      <c r="T117" s="126"/>
    </row>
    <row r="118" spans="2:20" x14ac:dyDescent="0.25">
      <c r="B118" s="124"/>
      <c r="C118" s="91"/>
      <c r="D118" s="18" t="str">
        <f>IFERROR(VLOOKUP(C118,Referencias!$E$7:$F$30,2,FALSE),"")</f>
        <v/>
      </c>
      <c r="E118" s="91"/>
      <c r="F118" s="18" t="str">
        <f t="shared" si="10"/>
        <v/>
      </c>
      <c r="G118" s="91"/>
      <c r="H118" s="125"/>
      <c r="I118" s="138"/>
      <c r="J118" s="19" t="str">
        <f t="shared" si="7"/>
        <v/>
      </c>
      <c r="K118" s="26"/>
      <c r="L118" s="19" t="str">
        <f>IFERROR(VLOOKUP(K118,Referencias!$H$7:$I$9,2,FALSE),"")</f>
        <v/>
      </c>
      <c r="M118" s="120"/>
      <c r="N118" s="29"/>
      <c r="O118" s="20" t="str">
        <f t="shared" si="8"/>
        <v/>
      </c>
      <c r="P118" s="21" t="str">
        <f t="shared" si="9"/>
        <v/>
      </c>
      <c r="Q118" s="22"/>
      <c r="R118" s="126"/>
      <c r="S118" s="126"/>
      <c r="T118" s="126"/>
    </row>
    <row r="119" spans="2:20" x14ac:dyDescent="0.25">
      <c r="B119" s="124"/>
      <c r="C119" s="91"/>
      <c r="D119" s="18" t="str">
        <f>IFERROR(VLOOKUP(C119,Referencias!$E$7:$F$30,2,FALSE),"")</f>
        <v/>
      </c>
      <c r="E119" s="91"/>
      <c r="F119" s="18" t="str">
        <f t="shared" si="10"/>
        <v/>
      </c>
      <c r="G119" s="91"/>
      <c r="H119" s="125"/>
      <c r="I119" s="138"/>
      <c r="J119" s="19" t="str">
        <f t="shared" si="7"/>
        <v/>
      </c>
      <c r="K119" s="26"/>
      <c r="L119" s="19" t="str">
        <f>IFERROR(VLOOKUP(K119,Referencias!$H$7:$I$9,2,FALSE),"")</f>
        <v/>
      </c>
      <c r="M119" s="120"/>
      <c r="N119" s="152"/>
      <c r="O119" s="20" t="str">
        <f t="shared" si="8"/>
        <v/>
      </c>
      <c r="P119" s="21" t="str">
        <f t="shared" si="9"/>
        <v/>
      </c>
      <c r="Q119" s="22"/>
      <c r="R119" s="126"/>
      <c r="S119" s="126"/>
      <c r="T119" s="126"/>
    </row>
    <row r="120" spans="2:20" x14ac:dyDescent="0.25">
      <c r="B120" s="124"/>
      <c r="C120" s="91"/>
      <c r="D120" s="18" t="str">
        <f>IFERROR(VLOOKUP(C120,Referencias!$E$7:$F$30,2,FALSE),"")</f>
        <v/>
      </c>
      <c r="E120" s="91"/>
      <c r="F120" s="18" t="str">
        <f t="shared" si="10"/>
        <v/>
      </c>
      <c r="G120" s="91"/>
      <c r="H120" s="125"/>
      <c r="I120" s="138"/>
      <c r="J120" s="19" t="str">
        <f t="shared" si="7"/>
        <v/>
      </c>
      <c r="K120" s="26"/>
      <c r="L120" s="19" t="str">
        <f>IFERROR(VLOOKUP(K120,Referencias!$H$7:$I$9,2,FALSE),"")</f>
        <v/>
      </c>
      <c r="M120" s="120"/>
      <c r="N120" s="152"/>
      <c r="O120" s="20" t="str">
        <f t="shared" si="8"/>
        <v/>
      </c>
      <c r="P120" s="21" t="str">
        <f t="shared" si="9"/>
        <v/>
      </c>
      <c r="Q120" s="22"/>
      <c r="R120" s="126"/>
      <c r="S120" s="126"/>
      <c r="T120" s="126"/>
    </row>
    <row r="121" spans="2:20" x14ac:dyDescent="0.25">
      <c r="B121" s="124"/>
      <c r="C121" s="91"/>
      <c r="D121" s="18" t="str">
        <f>IFERROR(VLOOKUP(C121,Referencias!$E$7:$F$30,2,FALSE),"")</f>
        <v/>
      </c>
      <c r="E121" s="91"/>
      <c r="F121" s="18" t="str">
        <f t="shared" si="10"/>
        <v/>
      </c>
      <c r="G121" s="91"/>
      <c r="H121" s="125"/>
      <c r="I121" s="138"/>
      <c r="J121" s="19" t="str">
        <f t="shared" si="7"/>
        <v/>
      </c>
      <c r="K121" s="26"/>
      <c r="L121" s="19" t="str">
        <f>IFERROR(VLOOKUP(K121,Referencias!$H$7:$I$9,2,FALSE),"")</f>
        <v/>
      </c>
      <c r="M121" s="120"/>
      <c r="N121" s="29"/>
      <c r="O121" s="20" t="str">
        <f t="shared" si="8"/>
        <v/>
      </c>
      <c r="P121" s="21" t="str">
        <f t="shared" si="9"/>
        <v/>
      </c>
      <c r="Q121" s="22"/>
      <c r="R121" s="126"/>
      <c r="S121" s="126"/>
      <c r="T121" s="126"/>
    </row>
    <row r="122" spans="2:20" x14ac:dyDescent="0.25">
      <c r="B122" s="124"/>
      <c r="C122" s="91"/>
      <c r="D122" s="18" t="str">
        <f>IFERROR(VLOOKUP(C122,Referencias!$E$7:$F$30,2,FALSE),"")</f>
        <v/>
      </c>
      <c r="E122" s="91"/>
      <c r="F122" s="18" t="str">
        <f t="shared" si="10"/>
        <v/>
      </c>
      <c r="G122" s="91"/>
      <c r="H122" s="125"/>
      <c r="I122" s="138"/>
      <c r="J122" s="19" t="str">
        <f t="shared" si="7"/>
        <v/>
      </c>
      <c r="K122" s="26"/>
      <c r="L122" s="19" t="str">
        <f>IFERROR(VLOOKUP(K122,Referencias!$H$7:$I$9,2,FALSE),"")</f>
        <v/>
      </c>
      <c r="M122" s="120"/>
      <c r="N122" s="29"/>
      <c r="O122" s="20" t="str">
        <f t="shared" si="8"/>
        <v/>
      </c>
      <c r="P122" s="21" t="str">
        <f t="shared" si="9"/>
        <v/>
      </c>
      <c r="Q122" s="22"/>
      <c r="R122" s="126"/>
      <c r="S122" s="126"/>
      <c r="T122" s="126"/>
    </row>
    <row r="123" spans="2:20" x14ac:dyDescent="0.25">
      <c r="B123" s="124"/>
      <c r="C123" s="91"/>
      <c r="D123" s="18" t="str">
        <f>IFERROR(VLOOKUP(C123,Referencias!$E$7:$F$30,2,FALSE),"")</f>
        <v/>
      </c>
      <c r="E123" s="91"/>
      <c r="F123" s="18" t="str">
        <f t="shared" si="10"/>
        <v/>
      </c>
      <c r="G123" s="91"/>
      <c r="H123" s="125"/>
      <c r="I123" s="29"/>
      <c r="J123" s="19" t="str">
        <f t="shared" si="7"/>
        <v/>
      </c>
      <c r="K123" s="26"/>
      <c r="L123" s="19" t="str">
        <f>IFERROR(VLOOKUP(K123,Referencias!$H$7:$I$9,2,FALSE),"")</f>
        <v/>
      </c>
      <c r="M123" s="120"/>
      <c r="N123" s="29"/>
      <c r="O123" s="20" t="str">
        <f t="shared" si="8"/>
        <v/>
      </c>
      <c r="P123" s="21" t="str">
        <f t="shared" si="9"/>
        <v/>
      </c>
      <c r="Q123" s="22"/>
      <c r="R123" s="126"/>
      <c r="S123" s="126"/>
      <c r="T123" s="126"/>
    </row>
    <row r="124" spans="2:20" x14ac:dyDescent="0.25">
      <c r="B124" s="124"/>
      <c r="C124" s="91"/>
      <c r="D124" s="18" t="str">
        <f>IFERROR(VLOOKUP(C124,Referencias!$E$7:$F$30,2,FALSE),"")</f>
        <v/>
      </c>
      <c r="E124" s="91"/>
      <c r="F124" s="18" t="str">
        <f t="shared" si="10"/>
        <v/>
      </c>
      <c r="G124" s="91"/>
      <c r="H124" s="125"/>
      <c r="I124" s="29"/>
      <c r="J124" s="19" t="str">
        <f t="shared" si="7"/>
        <v/>
      </c>
      <c r="K124" s="26"/>
      <c r="L124" s="19" t="str">
        <f>IFERROR(VLOOKUP(K124,Referencias!$H$7:$I$9,2,FALSE),"")</f>
        <v/>
      </c>
      <c r="M124" s="120"/>
      <c r="N124" s="29"/>
      <c r="O124" s="20" t="str">
        <f t="shared" si="8"/>
        <v/>
      </c>
      <c r="P124" s="21" t="str">
        <f t="shared" si="9"/>
        <v/>
      </c>
      <c r="Q124" s="22"/>
      <c r="R124" s="126"/>
      <c r="S124" s="126"/>
      <c r="T124" s="126"/>
    </row>
    <row r="125" spans="2:20" x14ac:dyDescent="0.25">
      <c r="B125" s="124"/>
      <c r="C125" s="91"/>
      <c r="D125" s="18" t="str">
        <f>IFERROR(VLOOKUP(C125,Referencias!$E$7:$F$30,2,FALSE),"")</f>
        <v/>
      </c>
      <c r="E125" s="91"/>
      <c r="F125" s="18" t="str">
        <f t="shared" si="10"/>
        <v/>
      </c>
      <c r="G125" s="91"/>
      <c r="H125" s="125"/>
      <c r="I125" s="29"/>
      <c r="J125" s="19" t="str">
        <f t="shared" si="7"/>
        <v/>
      </c>
      <c r="K125" s="26"/>
      <c r="L125" s="19" t="str">
        <f>IFERROR(VLOOKUP(K125,Referencias!$H$7:$I$9,2,FALSE),"")</f>
        <v/>
      </c>
      <c r="M125" s="120"/>
      <c r="N125" s="29"/>
      <c r="O125" s="20" t="str">
        <f t="shared" si="8"/>
        <v/>
      </c>
      <c r="P125" s="21" t="str">
        <f t="shared" si="9"/>
        <v/>
      </c>
      <c r="Q125" s="22"/>
      <c r="R125" s="126"/>
      <c r="S125" s="126"/>
      <c r="T125" s="126"/>
    </row>
    <row r="126" spans="2:20" x14ac:dyDescent="0.25">
      <c r="B126" s="124"/>
      <c r="C126" s="91"/>
      <c r="D126" s="18" t="str">
        <f>IFERROR(VLOOKUP(C126,Referencias!$E$7:$F$30,2,FALSE),"")</f>
        <v/>
      </c>
      <c r="E126" s="91"/>
      <c r="F126" s="18" t="str">
        <f t="shared" si="10"/>
        <v/>
      </c>
      <c r="G126" s="91"/>
      <c r="H126" s="125"/>
      <c r="I126" s="29"/>
      <c r="J126" s="19" t="str">
        <f t="shared" si="7"/>
        <v/>
      </c>
      <c r="K126" s="26"/>
      <c r="L126" s="19" t="str">
        <f>IFERROR(VLOOKUP(K126,Referencias!$H$7:$I$9,2,FALSE),"")</f>
        <v/>
      </c>
      <c r="M126" s="120"/>
      <c r="N126" s="29"/>
      <c r="O126" s="20" t="str">
        <f t="shared" si="8"/>
        <v/>
      </c>
      <c r="P126" s="21" t="str">
        <f t="shared" si="9"/>
        <v/>
      </c>
      <c r="Q126" s="22"/>
      <c r="R126" s="126"/>
      <c r="S126" s="126"/>
      <c r="T126" s="126"/>
    </row>
    <row r="127" spans="2:20" x14ac:dyDescent="0.25">
      <c r="B127" s="124"/>
      <c r="C127" s="91"/>
      <c r="D127" s="18" t="str">
        <f>IFERROR(VLOOKUP(C127,Referencias!$E$7:$F$30,2,FALSE),"")</f>
        <v/>
      </c>
      <c r="E127" s="91"/>
      <c r="F127" s="18" t="str">
        <f t="shared" si="10"/>
        <v/>
      </c>
      <c r="G127" s="91"/>
      <c r="H127" s="125"/>
      <c r="I127" s="29"/>
      <c r="J127" s="19" t="str">
        <f t="shared" si="7"/>
        <v/>
      </c>
      <c r="K127" s="26"/>
      <c r="L127" s="19" t="str">
        <f>IFERROR(VLOOKUP(K127,Referencias!$H$7:$I$9,2,FALSE),"")</f>
        <v/>
      </c>
      <c r="M127" s="120"/>
      <c r="N127" s="29"/>
      <c r="O127" s="20" t="str">
        <f t="shared" si="8"/>
        <v/>
      </c>
      <c r="P127" s="21" t="str">
        <f t="shared" si="9"/>
        <v/>
      </c>
      <c r="Q127" s="22"/>
      <c r="R127" s="126"/>
      <c r="S127" s="126"/>
      <c r="T127" s="126"/>
    </row>
    <row r="128" spans="2:20" x14ac:dyDescent="0.25">
      <c r="B128" s="124"/>
      <c r="C128" s="91"/>
      <c r="D128" s="18" t="str">
        <f>IFERROR(VLOOKUP(C128,Referencias!$E$7:$F$30,2,FALSE),"")</f>
        <v/>
      </c>
      <c r="E128" s="91"/>
      <c r="F128" s="18" t="str">
        <f t="shared" si="10"/>
        <v/>
      </c>
      <c r="G128" s="91"/>
      <c r="H128" s="125"/>
      <c r="I128" s="29"/>
      <c r="J128" s="19" t="str">
        <f t="shared" si="7"/>
        <v/>
      </c>
      <c r="K128" s="26"/>
      <c r="L128" s="19" t="str">
        <f>IFERROR(VLOOKUP(K128,Referencias!$H$7:$I$9,2,FALSE),"")</f>
        <v/>
      </c>
      <c r="M128" s="120"/>
      <c r="N128" s="29"/>
      <c r="O128" s="20" t="str">
        <f t="shared" si="8"/>
        <v/>
      </c>
      <c r="P128" s="21" t="str">
        <f t="shared" si="9"/>
        <v/>
      </c>
      <c r="Q128" s="22"/>
      <c r="R128" s="126"/>
      <c r="S128" s="126"/>
      <c r="T128" s="126"/>
    </row>
    <row r="129" spans="2:20" x14ac:dyDescent="0.25">
      <c r="B129" s="124"/>
      <c r="C129" s="91"/>
      <c r="D129" s="18" t="str">
        <f>IFERROR(VLOOKUP(C129,Referencias!$E$7:$F$30,2,FALSE),"")</f>
        <v/>
      </c>
      <c r="E129" s="91"/>
      <c r="F129" s="18" t="str">
        <f t="shared" si="10"/>
        <v/>
      </c>
      <c r="G129" s="91"/>
      <c r="H129" s="125"/>
      <c r="I129" s="29"/>
      <c r="J129" s="19" t="str">
        <f t="shared" si="7"/>
        <v/>
      </c>
      <c r="K129" s="26"/>
      <c r="L129" s="19" t="str">
        <f>IFERROR(VLOOKUP(K129,Referencias!$H$7:$I$9,2,FALSE),"")</f>
        <v/>
      </c>
      <c r="M129" s="120"/>
      <c r="N129" s="29"/>
      <c r="O129" s="20" t="str">
        <f t="shared" si="8"/>
        <v/>
      </c>
      <c r="P129" s="21" t="str">
        <f t="shared" si="9"/>
        <v/>
      </c>
      <c r="Q129" s="22"/>
      <c r="R129" s="126"/>
      <c r="S129" s="126"/>
      <c r="T129" s="126"/>
    </row>
    <row r="130" spans="2:20" x14ac:dyDescent="0.25">
      <c r="B130" s="124"/>
      <c r="C130" s="91"/>
      <c r="D130" s="18" t="str">
        <f>IFERROR(VLOOKUP(C130,Referencias!$E$7:$F$30,2,FALSE),"")</f>
        <v/>
      </c>
      <c r="E130" s="91"/>
      <c r="F130" s="18" t="str">
        <f t="shared" si="10"/>
        <v/>
      </c>
      <c r="G130" s="91"/>
      <c r="H130" s="125"/>
      <c r="I130" s="29"/>
      <c r="J130" s="19" t="str">
        <f t="shared" si="7"/>
        <v/>
      </c>
      <c r="K130" s="26"/>
      <c r="L130" s="19" t="str">
        <f>IFERROR(VLOOKUP(K130,Referencias!$H$7:$I$9,2,FALSE),"")</f>
        <v/>
      </c>
      <c r="M130" s="120"/>
      <c r="N130" s="29"/>
      <c r="O130" s="20" t="str">
        <f t="shared" si="8"/>
        <v/>
      </c>
      <c r="P130" s="21" t="str">
        <f t="shared" si="9"/>
        <v/>
      </c>
      <c r="Q130" s="22"/>
      <c r="R130" s="126"/>
      <c r="S130" s="126"/>
      <c r="T130" s="126"/>
    </row>
    <row r="131" spans="2:20" x14ac:dyDescent="0.25">
      <c r="B131" s="124"/>
      <c r="C131" s="91"/>
      <c r="D131" s="18" t="str">
        <f>IFERROR(VLOOKUP(C131,Referencias!$E$7:$F$30,2,FALSE),"")</f>
        <v/>
      </c>
      <c r="E131" s="91"/>
      <c r="F131" s="18" t="str">
        <f t="shared" si="10"/>
        <v/>
      </c>
      <c r="G131" s="91"/>
      <c r="H131" s="125"/>
      <c r="I131" s="29"/>
      <c r="J131" s="19" t="str">
        <f t="shared" si="7"/>
        <v/>
      </c>
      <c r="K131" s="26"/>
      <c r="L131" s="19" t="str">
        <f>IFERROR(VLOOKUP(K131,Referencias!$H$7:$I$9,2,FALSE),"")</f>
        <v/>
      </c>
      <c r="M131" s="120"/>
      <c r="N131" s="29"/>
      <c r="O131" s="20" t="str">
        <f t="shared" si="8"/>
        <v/>
      </c>
      <c r="P131" s="21" t="str">
        <f t="shared" si="9"/>
        <v/>
      </c>
      <c r="Q131" s="22"/>
      <c r="R131" s="126"/>
      <c r="S131" s="126"/>
      <c r="T131" s="126"/>
    </row>
    <row r="132" spans="2:20" x14ac:dyDescent="0.25">
      <c r="B132" s="124"/>
      <c r="C132" s="91"/>
      <c r="D132" s="18" t="str">
        <f>IFERROR(VLOOKUP(C132,Referencias!$E$7:$F$30,2,FALSE),"")</f>
        <v/>
      </c>
      <c r="E132" s="91"/>
      <c r="F132" s="18" t="str">
        <f t="shared" si="10"/>
        <v/>
      </c>
      <c r="G132" s="91"/>
      <c r="H132" s="125"/>
      <c r="I132" s="29"/>
      <c r="J132" s="19" t="str">
        <f t="shared" si="7"/>
        <v/>
      </c>
      <c r="K132" s="26"/>
      <c r="L132" s="19" t="str">
        <f>IFERROR(VLOOKUP(K132,Referencias!$H$7:$I$9,2,FALSE),"")</f>
        <v/>
      </c>
      <c r="M132" s="120"/>
      <c r="N132" s="29"/>
      <c r="O132" s="20" t="str">
        <f t="shared" si="8"/>
        <v/>
      </c>
      <c r="P132" s="21" t="str">
        <f t="shared" si="9"/>
        <v/>
      </c>
      <c r="Q132" s="22"/>
      <c r="R132" s="126"/>
      <c r="S132" s="126"/>
      <c r="T132" s="126"/>
    </row>
    <row r="133" spans="2:20" x14ac:dyDescent="0.25">
      <c r="B133" s="124"/>
      <c r="C133" s="91"/>
      <c r="D133" s="18" t="str">
        <f>IFERROR(VLOOKUP(C133,Referencias!$E$7:$F$30,2,FALSE),"")</f>
        <v/>
      </c>
      <c r="E133" s="91"/>
      <c r="F133" s="18" t="str">
        <f t="shared" si="10"/>
        <v/>
      </c>
      <c r="G133" s="91"/>
      <c r="H133" s="125"/>
      <c r="I133" s="29"/>
      <c r="J133" s="19" t="str">
        <f t="shared" si="7"/>
        <v/>
      </c>
      <c r="K133" s="26"/>
      <c r="L133" s="19" t="str">
        <f>IFERROR(VLOOKUP(K133,Referencias!$H$7:$I$9,2,FALSE),"")</f>
        <v/>
      </c>
      <c r="M133" s="120"/>
      <c r="N133" s="29"/>
      <c r="O133" s="20" t="str">
        <f t="shared" si="8"/>
        <v/>
      </c>
      <c r="P133" s="21" t="str">
        <f t="shared" si="9"/>
        <v/>
      </c>
      <c r="Q133" s="22"/>
      <c r="R133" s="126"/>
      <c r="S133" s="126"/>
      <c r="T133" s="126"/>
    </row>
    <row r="134" spans="2:20" x14ac:dyDescent="0.25">
      <c r="B134" s="124"/>
      <c r="C134" s="91"/>
      <c r="D134" s="18" t="str">
        <f>IFERROR(VLOOKUP(C134,Referencias!$E$7:$F$30,2,FALSE),"")</f>
        <v/>
      </c>
      <c r="E134" s="91"/>
      <c r="F134" s="18" t="str">
        <f t="shared" si="10"/>
        <v/>
      </c>
      <c r="G134" s="91"/>
      <c r="H134" s="125"/>
      <c r="I134" s="29"/>
      <c r="J134" s="19" t="str">
        <f t="shared" si="7"/>
        <v/>
      </c>
      <c r="K134" s="26"/>
      <c r="L134" s="19" t="str">
        <f>IFERROR(VLOOKUP(K134,Referencias!$H$7:$I$9,2,FALSE),"")</f>
        <v/>
      </c>
      <c r="M134" s="120"/>
      <c r="N134" s="29"/>
      <c r="O134" s="20" t="str">
        <f t="shared" si="8"/>
        <v/>
      </c>
      <c r="P134" s="21" t="str">
        <f t="shared" si="9"/>
        <v/>
      </c>
      <c r="Q134" s="22"/>
      <c r="R134" s="126"/>
      <c r="S134" s="126"/>
      <c r="T134" s="126"/>
    </row>
    <row r="135" spans="2:20" x14ac:dyDescent="0.25">
      <c r="B135" s="124"/>
      <c r="C135" s="91"/>
      <c r="D135" s="18" t="str">
        <f>IFERROR(VLOOKUP(C135,Referencias!$E$7:$F$30,2,FALSE),"")</f>
        <v/>
      </c>
      <c r="E135" s="91"/>
      <c r="F135" s="18" t="str">
        <f t="shared" si="10"/>
        <v/>
      </c>
      <c r="G135" s="91"/>
      <c r="H135" s="125"/>
      <c r="I135" s="29"/>
      <c r="J135" s="19" t="str">
        <f t="shared" si="7"/>
        <v/>
      </c>
      <c r="K135" s="26"/>
      <c r="L135" s="19" t="str">
        <f>IFERROR(VLOOKUP(K135,Referencias!$H$7:$I$9,2,FALSE),"")</f>
        <v/>
      </c>
      <c r="M135" s="120"/>
      <c r="N135" s="29"/>
      <c r="O135" s="20" t="str">
        <f t="shared" si="8"/>
        <v/>
      </c>
      <c r="P135" s="21" t="str">
        <f t="shared" si="9"/>
        <v/>
      </c>
      <c r="Q135" s="22"/>
      <c r="R135" s="126"/>
      <c r="S135" s="126"/>
      <c r="T135" s="126"/>
    </row>
    <row r="136" spans="2:20" x14ac:dyDescent="0.25">
      <c r="B136" s="124"/>
      <c r="C136" s="91"/>
      <c r="D136" s="18" t="str">
        <f>IFERROR(VLOOKUP(C136,Referencias!$E$7:$F$30,2,FALSE),"")</f>
        <v/>
      </c>
      <c r="E136" s="91"/>
      <c r="F136" s="18" t="str">
        <f t="shared" ref="F136:F156" si="11">IFERROR(VLOOKUP(E136,Clientes,2,FALSE),"")</f>
        <v/>
      </c>
      <c r="G136" s="91"/>
      <c r="H136" s="125"/>
      <c r="I136" s="29"/>
      <c r="J136" s="19" t="str">
        <f t="shared" si="7"/>
        <v/>
      </c>
      <c r="K136" s="26"/>
      <c r="L136" s="19" t="str">
        <f>IFERROR(VLOOKUP(K136,Referencias!$H$7:$I$9,2,FALSE),"")</f>
        <v/>
      </c>
      <c r="M136" s="120"/>
      <c r="N136" s="29"/>
      <c r="O136" s="20" t="str">
        <f t="shared" si="8"/>
        <v/>
      </c>
      <c r="P136" s="21" t="str">
        <f t="shared" si="9"/>
        <v/>
      </c>
      <c r="Q136" s="22"/>
      <c r="R136" s="126"/>
      <c r="S136" s="126"/>
      <c r="T136" s="126"/>
    </row>
    <row r="137" spans="2:20" x14ac:dyDescent="0.25">
      <c r="B137" s="124"/>
      <c r="C137" s="91"/>
      <c r="D137" s="18" t="str">
        <f>IFERROR(VLOOKUP(C137,Referencias!$E$7:$F$30,2,FALSE),"")</f>
        <v/>
      </c>
      <c r="E137" s="91"/>
      <c r="F137" s="18" t="str">
        <f t="shared" si="11"/>
        <v/>
      </c>
      <c r="G137" s="91"/>
      <c r="H137" s="125"/>
      <c r="I137" s="29"/>
      <c r="J137" s="19" t="str">
        <f t="shared" si="7"/>
        <v/>
      </c>
      <c r="K137" s="26"/>
      <c r="L137" s="19" t="str">
        <f>IFERROR(VLOOKUP(K137,Referencias!$H$7:$I$9,2,FALSE),"")</f>
        <v/>
      </c>
      <c r="M137" s="120"/>
      <c r="N137" s="29"/>
      <c r="O137" s="20" t="str">
        <f t="shared" si="8"/>
        <v/>
      </c>
      <c r="P137" s="21" t="str">
        <f t="shared" si="9"/>
        <v/>
      </c>
      <c r="Q137" s="22"/>
      <c r="R137" s="126"/>
      <c r="S137" s="126"/>
      <c r="T137" s="126"/>
    </row>
    <row r="138" spans="2:20" x14ac:dyDescent="0.25">
      <c r="B138" s="124"/>
      <c r="C138" s="91"/>
      <c r="D138" s="18" t="str">
        <f>IFERROR(VLOOKUP(C138,Referencias!$E$7:$F$30,2,FALSE),"")</f>
        <v/>
      </c>
      <c r="E138" s="91"/>
      <c r="F138" s="18" t="str">
        <f t="shared" si="11"/>
        <v/>
      </c>
      <c r="G138" s="91"/>
      <c r="H138" s="125"/>
      <c r="I138" s="29"/>
      <c r="J138" s="19" t="str">
        <f t="shared" si="7"/>
        <v/>
      </c>
      <c r="K138" s="26"/>
      <c r="L138" s="19" t="str">
        <f>IFERROR(VLOOKUP(K138,Referencias!$H$7:$I$9,2,FALSE),"")</f>
        <v/>
      </c>
      <c r="M138" s="120"/>
      <c r="N138" s="29"/>
      <c r="O138" s="20" t="str">
        <f t="shared" si="8"/>
        <v/>
      </c>
      <c r="P138" s="21" t="str">
        <f t="shared" si="9"/>
        <v/>
      </c>
      <c r="Q138" s="22"/>
      <c r="R138" s="126"/>
      <c r="S138" s="126"/>
      <c r="T138" s="126"/>
    </row>
    <row r="139" spans="2:20" x14ac:dyDescent="0.25">
      <c r="B139" s="124"/>
      <c r="C139" s="91"/>
      <c r="D139" s="18" t="str">
        <f>IFERROR(VLOOKUP(C139,Referencias!$E$7:$F$30,2,FALSE),"")</f>
        <v/>
      </c>
      <c r="E139" s="91"/>
      <c r="F139" s="18" t="str">
        <f t="shared" si="11"/>
        <v/>
      </c>
      <c r="G139" s="91"/>
      <c r="H139" s="125"/>
      <c r="I139" s="29"/>
      <c r="J139" s="19" t="str">
        <f t="shared" si="7"/>
        <v/>
      </c>
      <c r="K139" s="26"/>
      <c r="L139" s="19" t="str">
        <f>IFERROR(VLOOKUP(K139,Referencias!$H$7:$I$9,2,FALSE),"")</f>
        <v/>
      </c>
      <c r="M139" s="120"/>
      <c r="N139" s="29"/>
      <c r="O139" s="20" t="str">
        <f t="shared" si="8"/>
        <v/>
      </c>
      <c r="P139" s="21" t="str">
        <f t="shared" si="9"/>
        <v/>
      </c>
      <c r="Q139" s="22"/>
      <c r="R139" s="126"/>
      <c r="S139" s="126"/>
      <c r="T139" s="126"/>
    </row>
    <row r="140" spans="2:20" x14ac:dyDescent="0.25">
      <c r="B140" s="124"/>
      <c r="C140" s="91"/>
      <c r="D140" s="18" t="str">
        <f>IFERROR(VLOOKUP(C140,Referencias!$E$7:$F$30,2,FALSE),"")</f>
        <v/>
      </c>
      <c r="E140" s="91"/>
      <c r="F140" s="18" t="str">
        <f t="shared" si="11"/>
        <v/>
      </c>
      <c r="G140" s="91"/>
      <c r="H140" s="125"/>
      <c r="I140" s="29"/>
      <c r="J140" s="19" t="str">
        <f t="shared" si="7"/>
        <v/>
      </c>
      <c r="K140" s="26"/>
      <c r="L140" s="19" t="str">
        <f>IFERROR(VLOOKUP(K140,Referencias!$H$7:$I$9,2,FALSE),"")</f>
        <v/>
      </c>
      <c r="M140" s="120"/>
      <c r="N140" s="29"/>
      <c r="O140" s="20" t="str">
        <f t="shared" si="8"/>
        <v/>
      </c>
      <c r="P140" s="21" t="str">
        <f t="shared" si="9"/>
        <v/>
      </c>
      <c r="Q140" s="22"/>
      <c r="R140" s="126"/>
      <c r="S140" s="126"/>
      <c r="T140" s="126"/>
    </row>
    <row r="141" spans="2:20" x14ac:dyDescent="0.25">
      <c r="B141" s="124"/>
      <c r="C141" s="91"/>
      <c r="D141" s="18" t="str">
        <f>IFERROR(VLOOKUP(C141,Referencias!$E$7:$F$30,2,FALSE),"")</f>
        <v/>
      </c>
      <c r="E141" s="91"/>
      <c r="F141" s="18" t="str">
        <f t="shared" si="11"/>
        <v/>
      </c>
      <c r="G141" s="91"/>
      <c r="H141" s="125"/>
      <c r="I141" s="29"/>
      <c r="J141" s="19" t="str">
        <f t="shared" si="7"/>
        <v/>
      </c>
      <c r="K141" s="26"/>
      <c r="L141" s="19" t="str">
        <f>IFERROR(VLOOKUP(K141,Referencias!$H$7:$I$9,2,FALSE),"")</f>
        <v/>
      </c>
      <c r="M141" s="120"/>
      <c r="N141" s="29"/>
      <c r="O141" s="20" t="str">
        <f t="shared" si="8"/>
        <v/>
      </c>
      <c r="P141" s="21" t="str">
        <f t="shared" si="9"/>
        <v/>
      </c>
      <c r="Q141" s="22"/>
      <c r="R141" s="126"/>
      <c r="S141" s="126"/>
      <c r="T141" s="126"/>
    </row>
    <row r="142" spans="2:20" x14ac:dyDescent="0.25">
      <c r="B142" s="124"/>
      <c r="C142" s="91"/>
      <c r="D142" s="18" t="str">
        <f>IFERROR(VLOOKUP(C142,Referencias!$E$7:$F$30,2,FALSE),"")</f>
        <v/>
      </c>
      <c r="E142" s="91"/>
      <c r="F142" s="18" t="str">
        <f t="shared" si="11"/>
        <v/>
      </c>
      <c r="G142" s="91"/>
      <c r="H142" s="125"/>
      <c r="I142" s="29"/>
      <c r="J142" s="19" t="str">
        <f t="shared" si="7"/>
        <v/>
      </c>
      <c r="K142" s="26"/>
      <c r="L142" s="19" t="str">
        <f>IFERROR(VLOOKUP(K142,Referencias!$H$7:$I$9,2,FALSE),"")</f>
        <v/>
      </c>
      <c r="M142" s="120"/>
      <c r="N142" s="29"/>
      <c r="O142" s="20" t="str">
        <f t="shared" si="8"/>
        <v/>
      </c>
      <c r="P142" s="21" t="str">
        <f t="shared" si="9"/>
        <v/>
      </c>
      <c r="Q142" s="22"/>
      <c r="R142" s="126"/>
      <c r="S142" s="126"/>
      <c r="T142" s="126"/>
    </row>
    <row r="143" spans="2:20" x14ac:dyDescent="0.25">
      <c r="B143" s="124"/>
      <c r="C143" s="91"/>
      <c r="D143" s="18" t="str">
        <f>IFERROR(VLOOKUP(C143,Referencias!$E$7:$F$30,2,FALSE),"")</f>
        <v/>
      </c>
      <c r="E143" s="91"/>
      <c r="F143" s="18" t="str">
        <f t="shared" si="11"/>
        <v/>
      </c>
      <c r="G143" s="91"/>
      <c r="H143" s="125"/>
      <c r="I143" s="29"/>
      <c r="J143" s="19" t="str">
        <f t="shared" si="7"/>
        <v/>
      </c>
      <c r="K143" s="26"/>
      <c r="L143" s="19" t="str">
        <f>IFERROR(VLOOKUP(K143,Referencias!$H$7:$I$9,2,FALSE),"")</f>
        <v/>
      </c>
      <c r="M143" s="120"/>
      <c r="N143" s="29"/>
      <c r="O143" s="20" t="str">
        <f t="shared" si="8"/>
        <v/>
      </c>
      <c r="P143" s="21" t="str">
        <f t="shared" si="9"/>
        <v/>
      </c>
      <c r="Q143" s="22"/>
      <c r="R143" s="126"/>
      <c r="S143" s="126"/>
      <c r="T143" s="126"/>
    </row>
    <row r="144" spans="2:20" x14ac:dyDescent="0.25">
      <c r="B144" s="124"/>
      <c r="C144" s="91"/>
      <c r="D144" s="18" t="str">
        <f>IFERROR(VLOOKUP(C144,Referencias!$E$7:$F$30,2,FALSE),"")</f>
        <v/>
      </c>
      <c r="E144" s="91"/>
      <c r="F144" s="18" t="str">
        <f t="shared" si="11"/>
        <v/>
      </c>
      <c r="G144" s="91"/>
      <c r="H144" s="125"/>
      <c r="I144" s="29"/>
      <c r="J144" s="19" t="str">
        <f t="shared" si="7"/>
        <v/>
      </c>
      <c r="K144" s="26"/>
      <c r="L144" s="19" t="str">
        <f>IFERROR(VLOOKUP(K144,Referencias!$H$7:$I$9,2,FALSE),"")</f>
        <v/>
      </c>
      <c r="M144" s="120"/>
      <c r="N144" s="29"/>
      <c r="O144" s="20" t="str">
        <f t="shared" si="8"/>
        <v/>
      </c>
      <c r="P144" s="21" t="str">
        <f t="shared" si="9"/>
        <v/>
      </c>
      <c r="Q144" s="22"/>
      <c r="R144" s="126"/>
      <c r="S144" s="126"/>
      <c r="T144" s="126"/>
    </row>
    <row r="145" spans="2:20" x14ac:dyDescent="0.25">
      <c r="B145" s="124"/>
      <c r="C145" s="91"/>
      <c r="D145" s="18" t="str">
        <f>IFERROR(VLOOKUP(C145,Referencias!$E$7:$F$30,2,FALSE),"")</f>
        <v/>
      </c>
      <c r="E145" s="91"/>
      <c r="F145" s="18" t="str">
        <f t="shared" si="11"/>
        <v/>
      </c>
      <c r="G145" s="91"/>
      <c r="H145" s="125"/>
      <c r="I145" s="29"/>
      <c r="J145" s="19" t="str">
        <f t="shared" si="7"/>
        <v/>
      </c>
      <c r="K145" s="26"/>
      <c r="L145" s="19" t="str">
        <f>IFERROR(VLOOKUP(K145,Referencias!$H$7:$I$9,2,FALSE),"")</f>
        <v/>
      </c>
      <c r="M145" s="120"/>
      <c r="N145" s="29"/>
      <c r="O145" s="20" t="str">
        <f t="shared" si="8"/>
        <v/>
      </c>
      <c r="P145" s="21" t="str">
        <f t="shared" si="9"/>
        <v/>
      </c>
      <c r="Q145" s="22"/>
      <c r="R145" s="126"/>
      <c r="S145" s="126"/>
      <c r="T145" s="126"/>
    </row>
    <row r="146" spans="2:20" x14ac:dyDescent="0.25">
      <c r="B146" s="124"/>
      <c r="C146" s="91"/>
      <c r="D146" s="18" t="str">
        <f>IFERROR(VLOOKUP(C146,Referencias!$E$7:$F$30,2,FALSE),"")</f>
        <v/>
      </c>
      <c r="E146" s="91"/>
      <c r="F146" s="18" t="str">
        <f t="shared" si="11"/>
        <v/>
      </c>
      <c r="G146" s="91"/>
      <c r="H146" s="125"/>
      <c r="I146" s="29"/>
      <c r="J146" s="19" t="str">
        <f t="shared" si="7"/>
        <v/>
      </c>
      <c r="K146" s="26"/>
      <c r="L146" s="19" t="str">
        <f>IFERROR(VLOOKUP(K146,Referencias!$H$7:$I$9,2,FALSE),"")</f>
        <v/>
      </c>
      <c r="M146" s="120"/>
      <c r="N146" s="29"/>
      <c r="O146" s="20" t="str">
        <f t="shared" si="8"/>
        <v/>
      </c>
      <c r="P146" s="21" t="str">
        <f t="shared" si="9"/>
        <v/>
      </c>
      <c r="Q146" s="22"/>
      <c r="R146" s="126"/>
      <c r="S146" s="126"/>
      <c r="T146" s="126"/>
    </row>
    <row r="147" spans="2:20" x14ac:dyDescent="0.25">
      <c r="B147" s="124"/>
      <c r="C147" s="91"/>
      <c r="D147" s="18" t="str">
        <f>IFERROR(VLOOKUP(C147,Referencias!$E$7:$F$30,2,FALSE),"")</f>
        <v/>
      </c>
      <c r="E147" s="91"/>
      <c r="F147" s="18" t="str">
        <f t="shared" si="11"/>
        <v/>
      </c>
      <c r="G147" s="91"/>
      <c r="H147" s="125"/>
      <c r="I147" s="29"/>
      <c r="J147" s="19" t="str">
        <f t="shared" si="7"/>
        <v/>
      </c>
      <c r="K147" s="26"/>
      <c r="L147" s="19" t="str">
        <f>IFERROR(VLOOKUP(K147,Referencias!$H$7:$I$9,2,FALSE),"")</f>
        <v/>
      </c>
      <c r="M147" s="120"/>
      <c r="N147" s="29"/>
      <c r="O147" s="20" t="str">
        <f t="shared" si="8"/>
        <v/>
      </c>
      <c r="P147" s="21" t="str">
        <f t="shared" si="9"/>
        <v/>
      </c>
      <c r="Q147" s="22"/>
      <c r="R147" s="126"/>
      <c r="S147" s="126"/>
      <c r="T147" s="126"/>
    </row>
    <row r="148" spans="2:20" x14ac:dyDescent="0.25">
      <c r="B148" s="124"/>
      <c r="C148" s="91"/>
      <c r="D148" s="18" t="str">
        <f>IFERROR(VLOOKUP(C148,Referencias!$E$7:$F$30,2,FALSE),"")</f>
        <v/>
      </c>
      <c r="E148" s="91"/>
      <c r="F148" s="18" t="str">
        <f t="shared" si="11"/>
        <v/>
      </c>
      <c r="G148" s="91"/>
      <c r="H148" s="125"/>
      <c r="I148" s="29"/>
      <c r="J148" s="19" t="str">
        <f t="shared" si="7"/>
        <v/>
      </c>
      <c r="K148" s="26"/>
      <c r="L148" s="19" t="str">
        <f>IFERROR(VLOOKUP(K148,Referencias!$H$7:$I$9,2,FALSE),"")</f>
        <v/>
      </c>
      <c r="M148" s="120"/>
      <c r="N148" s="29"/>
      <c r="O148" s="20" t="str">
        <f t="shared" si="8"/>
        <v/>
      </c>
      <c r="P148" s="21" t="str">
        <f t="shared" si="9"/>
        <v/>
      </c>
      <c r="Q148" s="22"/>
      <c r="R148" s="126"/>
      <c r="S148" s="126"/>
      <c r="T148" s="126"/>
    </row>
    <row r="149" spans="2:20" x14ac:dyDescent="0.25">
      <c r="B149" s="124"/>
      <c r="C149" s="91"/>
      <c r="D149" s="18" t="str">
        <f>IFERROR(VLOOKUP(C149,Referencias!$E$7:$F$30,2,FALSE),"")</f>
        <v/>
      </c>
      <c r="E149" s="91"/>
      <c r="F149" s="18" t="str">
        <f t="shared" si="11"/>
        <v/>
      </c>
      <c r="G149" s="91"/>
      <c r="H149" s="125"/>
      <c r="I149" s="29"/>
      <c r="J149" s="19" t="str">
        <f t="shared" si="7"/>
        <v/>
      </c>
      <c r="K149" s="26"/>
      <c r="L149" s="19" t="str">
        <f>IFERROR(VLOOKUP(K149,Referencias!$H$7:$I$9,2,FALSE),"")</f>
        <v/>
      </c>
      <c r="M149" s="120"/>
      <c r="N149" s="29"/>
      <c r="O149" s="20" t="str">
        <f t="shared" si="8"/>
        <v/>
      </c>
      <c r="P149" s="21" t="str">
        <f t="shared" si="9"/>
        <v/>
      </c>
      <c r="Q149" s="22"/>
      <c r="R149" s="126"/>
      <c r="S149" s="126"/>
      <c r="T149" s="126"/>
    </row>
    <row r="150" spans="2:20" x14ac:dyDescent="0.25">
      <c r="B150" s="124"/>
      <c r="C150" s="91"/>
      <c r="D150" s="18" t="str">
        <f>IFERROR(VLOOKUP(C150,Referencias!$E$7:$F$30,2,FALSE),"")</f>
        <v/>
      </c>
      <c r="E150" s="91"/>
      <c r="F150" s="18" t="str">
        <f t="shared" si="11"/>
        <v/>
      </c>
      <c r="G150" s="91"/>
      <c r="H150" s="125"/>
      <c r="I150" s="29"/>
      <c r="J150" s="19" t="str">
        <f t="shared" si="7"/>
        <v/>
      </c>
      <c r="K150" s="26"/>
      <c r="L150" s="19" t="str">
        <f>IFERROR(VLOOKUP(K150,Referencias!$H$7:$I$9,2,FALSE),"")</f>
        <v/>
      </c>
      <c r="M150" s="120"/>
      <c r="N150" s="29"/>
      <c r="O150" s="20" t="str">
        <f t="shared" si="8"/>
        <v/>
      </c>
      <c r="P150" s="21" t="str">
        <f t="shared" si="9"/>
        <v/>
      </c>
      <c r="Q150" s="22"/>
      <c r="R150" s="126"/>
      <c r="S150" s="126"/>
      <c r="T150" s="126"/>
    </row>
    <row r="151" spans="2:20" x14ac:dyDescent="0.25">
      <c r="B151" s="124"/>
      <c r="C151" s="91"/>
      <c r="D151" s="18" t="str">
        <f>IFERROR(VLOOKUP(C151,Referencias!$E$7:$F$30,2,FALSE),"")</f>
        <v/>
      </c>
      <c r="E151" s="91"/>
      <c r="F151" s="18" t="str">
        <f t="shared" si="11"/>
        <v/>
      </c>
      <c r="G151" s="91"/>
      <c r="H151" s="125"/>
      <c r="I151" s="29"/>
      <c r="J151" s="19" t="str">
        <f t="shared" si="7"/>
        <v/>
      </c>
      <c r="K151" s="26"/>
      <c r="L151" s="19" t="str">
        <f>IFERROR(VLOOKUP(K151,Referencias!$H$7:$I$9,2,FALSE),"")</f>
        <v/>
      </c>
      <c r="M151" s="120"/>
      <c r="N151" s="29"/>
      <c r="O151" s="20" t="str">
        <f t="shared" si="8"/>
        <v/>
      </c>
      <c r="P151" s="21" t="str">
        <f t="shared" si="9"/>
        <v/>
      </c>
      <c r="Q151" s="22"/>
      <c r="R151" s="126"/>
      <c r="S151" s="126"/>
      <c r="T151" s="126"/>
    </row>
    <row r="152" spans="2:20" x14ac:dyDescent="0.25">
      <c r="B152" s="124"/>
      <c r="C152" s="91"/>
      <c r="D152" s="18" t="str">
        <f>IFERROR(VLOOKUP(C152,Referencias!$E$7:$F$30,2,FALSE),"")</f>
        <v/>
      </c>
      <c r="E152" s="91"/>
      <c r="F152" s="18" t="str">
        <f t="shared" si="11"/>
        <v/>
      </c>
      <c r="G152" s="91"/>
      <c r="H152" s="125"/>
      <c r="I152" s="29"/>
      <c r="J152" s="19" t="str">
        <f t="shared" si="7"/>
        <v/>
      </c>
      <c r="K152" s="26"/>
      <c r="L152" s="19" t="str">
        <f>IFERROR(VLOOKUP(K152,Referencias!$H$7:$I$9,2,FALSE),"")</f>
        <v/>
      </c>
      <c r="M152" s="120"/>
      <c r="N152" s="29"/>
      <c r="O152" s="20" t="str">
        <f t="shared" si="8"/>
        <v/>
      </c>
      <c r="P152" s="21" t="str">
        <f t="shared" si="9"/>
        <v/>
      </c>
      <c r="Q152" s="22"/>
      <c r="R152" s="126"/>
      <c r="S152" s="126"/>
      <c r="T152" s="126"/>
    </row>
    <row r="153" spans="2:20" x14ac:dyDescent="0.25">
      <c r="B153" s="124"/>
      <c r="C153" s="91"/>
      <c r="D153" s="18" t="str">
        <f>IFERROR(VLOOKUP(C153,Referencias!$E$7:$F$30,2,FALSE),"")</f>
        <v/>
      </c>
      <c r="E153" s="91"/>
      <c r="F153" s="18" t="str">
        <f t="shared" si="11"/>
        <v/>
      </c>
      <c r="G153" s="91"/>
      <c r="H153" s="125"/>
      <c r="I153" s="29"/>
      <c r="J153" s="19" t="str">
        <f t="shared" si="7"/>
        <v/>
      </c>
      <c r="K153" s="26"/>
      <c r="L153" s="19" t="str">
        <f>IFERROR(VLOOKUP(K153,Referencias!$H$7:$I$9,2,FALSE),"")</f>
        <v/>
      </c>
      <c r="M153" s="120"/>
      <c r="N153" s="29"/>
      <c r="O153" s="20" t="str">
        <f t="shared" si="8"/>
        <v/>
      </c>
      <c r="P153" s="21" t="str">
        <f t="shared" si="9"/>
        <v/>
      </c>
      <c r="Q153" s="22"/>
      <c r="R153" s="126"/>
      <c r="S153" s="126"/>
      <c r="T153" s="126"/>
    </row>
    <row r="154" spans="2:20" x14ac:dyDescent="0.25">
      <c r="B154" s="124"/>
      <c r="C154" s="91"/>
      <c r="D154" s="18" t="str">
        <f>IFERROR(VLOOKUP(C154,Referencias!$E$7:$F$30,2,FALSE),"")</f>
        <v/>
      </c>
      <c r="E154" s="91"/>
      <c r="F154" s="18" t="str">
        <f t="shared" si="11"/>
        <v/>
      </c>
      <c r="G154" s="91"/>
      <c r="H154" s="125"/>
      <c r="I154" s="29"/>
      <c r="J154" s="19" t="str">
        <f t="shared" si="7"/>
        <v/>
      </c>
      <c r="K154" s="26"/>
      <c r="L154" s="19" t="str">
        <f>IFERROR(VLOOKUP(K154,Referencias!$H$7:$I$9,2,FALSE),"")</f>
        <v/>
      </c>
      <c r="M154" s="120"/>
      <c r="N154" s="29"/>
      <c r="O154" s="20" t="str">
        <f t="shared" si="8"/>
        <v/>
      </c>
      <c r="P154" s="21" t="str">
        <f t="shared" si="9"/>
        <v/>
      </c>
      <c r="Q154" s="22"/>
      <c r="R154" s="126"/>
      <c r="S154" s="126"/>
      <c r="T154" s="126"/>
    </row>
    <row r="155" spans="2:20" x14ac:dyDescent="0.25">
      <c r="B155" s="124"/>
      <c r="C155" s="91"/>
      <c r="D155" s="18" t="str">
        <f>IFERROR(VLOOKUP(C155,Referencias!$E$7:$F$30,2,FALSE),"")</f>
        <v/>
      </c>
      <c r="E155" s="91"/>
      <c r="F155" s="18" t="str">
        <f t="shared" si="11"/>
        <v/>
      </c>
      <c r="G155" s="91"/>
      <c r="H155" s="125"/>
      <c r="I155" s="29"/>
      <c r="J155" s="19" t="str">
        <f t="shared" si="7"/>
        <v/>
      </c>
      <c r="K155" s="26"/>
      <c r="L155" s="19" t="str">
        <f>IFERROR(VLOOKUP(K155,Referencias!$H$7:$I$9,2,FALSE),"")</f>
        <v/>
      </c>
      <c r="M155" s="120"/>
      <c r="N155" s="29"/>
      <c r="O155" s="20" t="str">
        <f t="shared" si="8"/>
        <v/>
      </c>
      <c r="P155" s="21" t="str">
        <f t="shared" si="9"/>
        <v/>
      </c>
      <c r="Q155" s="22"/>
      <c r="R155" s="126"/>
      <c r="S155" s="126"/>
      <c r="T155" s="126"/>
    </row>
    <row r="156" spans="2:20" x14ac:dyDescent="0.25">
      <c r="B156" s="124"/>
      <c r="C156" s="91"/>
      <c r="D156" s="18" t="str">
        <f>IFERROR(VLOOKUP(C156,Referencias!$E$7:$F$30,2,FALSE),"")</f>
        <v/>
      </c>
      <c r="E156" s="91"/>
      <c r="F156" s="18" t="str">
        <f t="shared" si="11"/>
        <v/>
      </c>
      <c r="G156" s="91"/>
      <c r="H156" s="125"/>
      <c r="I156" s="29"/>
      <c r="J156" s="19" t="str">
        <f t="shared" si="7"/>
        <v/>
      </c>
      <c r="K156" s="26"/>
      <c r="L156" s="19" t="str">
        <f>IFERROR(VLOOKUP(K156,Referencias!$H$7:$I$9,2,FALSE),"")</f>
        <v/>
      </c>
      <c r="M156" s="120"/>
      <c r="N156" s="29"/>
      <c r="O156" s="20" t="str">
        <f t="shared" si="8"/>
        <v/>
      </c>
      <c r="P156" s="21" t="str">
        <f t="shared" si="9"/>
        <v/>
      </c>
      <c r="Q156" s="22"/>
      <c r="R156" s="126"/>
      <c r="S156" s="126"/>
      <c r="T156" s="126"/>
    </row>
    <row r="157" spans="2:20" x14ac:dyDescent="0.25">
      <c r="B157" s="123" t="s">
        <v>9</v>
      </c>
      <c r="C157" s="64"/>
      <c r="D157" s="65"/>
      <c r="E157" s="66"/>
      <c r="F157" s="66"/>
      <c r="G157" s="66"/>
      <c r="H157" s="190">
        <f>SUM(H5:H156)</f>
        <v>80.300000000000011</v>
      </c>
      <c r="I157" s="68"/>
      <c r="J157" s="68">
        <f>SUM(J5:J156)</f>
        <v>12789680</v>
      </c>
      <c r="K157" s="68"/>
      <c r="L157" s="68"/>
      <c r="M157" s="69"/>
      <c r="N157" s="69"/>
      <c r="O157" s="68">
        <f>SUM(O5:O156)</f>
        <v>13647563.449999999</v>
      </c>
      <c r="P157" s="68">
        <f>SUM(P5:P156)</f>
        <v>26437243.449999999</v>
      </c>
      <c r="Q157" s="22" t="s">
        <v>4</v>
      </c>
      <c r="R157" s="169">
        <f>SUM(R5:R156)</f>
        <v>0</v>
      </c>
      <c r="S157" s="169">
        <f>SUM(S5:S156)</f>
        <v>47</v>
      </c>
      <c r="T157" s="169">
        <f>SUM(T5:T156)</f>
        <v>33.299999999999997</v>
      </c>
    </row>
  </sheetData>
  <autoFilter ref="B4:W157" xr:uid="{00000000-0009-0000-0000-000001000000}"/>
  <pageMargins left="0.7" right="0.7" top="0.75" bottom="0.75" header="0.3" footer="0.3"/>
  <pageSetup orientation="portrait" r:id="rId1"/>
  <ignoredErrors>
    <ignoredError sqref="T5:T10 T11:T13 T14:T24 T25:T36 T43:T55 T37:T42 T56:T75 T76:T7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0"/>
  <sheetViews>
    <sheetView showGridLines="0" zoomScaleNormal="100" workbookViewId="0">
      <pane ySplit="5" topLeftCell="A174" activePane="bottomLeft" state="frozen"/>
      <selection pane="bottomLeft" activeCell="G175" sqref="G175"/>
    </sheetView>
  </sheetViews>
  <sheetFormatPr baseColWidth="10" defaultRowHeight="15" x14ac:dyDescent="0.25"/>
  <cols>
    <col min="1" max="1" width="7.140625" customWidth="1"/>
    <col min="3" max="3" width="38.140625" bestFit="1" customWidth="1"/>
    <col min="5" max="5" width="13.28515625" bestFit="1" customWidth="1"/>
    <col min="6" max="6" width="12.28515625" bestFit="1" customWidth="1"/>
    <col min="7" max="7" width="15" bestFit="1" customWidth="1"/>
    <col min="9" max="9" width="9.140625" customWidth="1"/>
    <col min="13" max="13" width="5.7109375" customWidth="1"/>
    <col min="17" max="17" width="5.7109375" customWidth="1"/>
    <col min="19" max="20" width="16.42578125" bestFit="1" customWidth="1"/>
  </cols>
  <sheetData>
    <row r="1" spans="2:21" ht="5.25" customHeigh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2:21" ht="26.25" x14ac:dyDescent="0.4">
      <c r="B2" s="35" t="s">
        <v>47</v>
      </c>
      <c r="C2" s="35"/>
    </row>
    <row r="3" spans="2:21" ht="15" customHeight="1" x14ac:dyDescent="0.4">
      <c r="B3" s="35"/>
      <c r="C3" s="35"/>
      <c r="K3" s="238" t="s">
        <v>46</v>
      </c>
      <c r="L3" s="239"/>
      <c r="O3" s="238" t="s">
        <v>49</v>
      </c>
      <c r="P3" s="239"/>
      <c r="S3" s="238" t="s">
        <v>50</v>
      </c>
      <c r="T3" s="239"/>
    </row>
    <row r="4" spans="2:21" ht="15" customHeight="1" x14ac:dyDescent="0.25">
      <c r="J4" s="72" t="s">
        <v>53</v>
      </c>
      <c r="K4" s="72" t="s">
        <v>11</v>
      </c>
      <c r="L4" s="72" t="s">
        <v>10</v>
      </c>
      <c r="N4" s="72" t="s">
        <v>53</v>
      </c>
      <c r="O4" s="72" t="s">
        <v>11</v>
      </c>
      <c r="P4" s="72" t="s">
        <v>10</v>
      </c>
      <c r="R4" s="72" t="s">
        <v>53</v>
      </c>
      <c r="S4" s="72" t="s">
        <v>11</v>
      </c>
      <c r="T4" s="72" t="s">
        <v>10</v>
      </c>
    </row>
    <row r="5" spans="2:21" x14ac:dyDescent="0.25">
      <c r="B5" s="41" t="s">
        <v>0</v>
      </c>
      <c r="C5" s="41" t="s">
        <v>98</v>
      </c>
      <c r="D5" s="41" t="s">
        <v>45</v>
      </c>
      <c r="E5" s="41" t="s">
        <v>44</v>
      </c>
      <c r="F5" s="41" t="s">
        <v>43</v>
      </c>
      <c r="G5" s="41" t="s">
        <v>130</v>
      </c>
      <c r="H5" s="72" t="s">
        <v>42</v>
      </c>
      <c r="J5" s="70" t="s">
        <v>148</v>
      </c>
      <c r="K5" s="75">
        <f>SUMIF(D6:D309,K4,E6:E309)</f>
        <v>33904</v>
      </c>
      <c r="L5" s="75">
        <f>SUMIF(D6:D309,L4,E6:E309)</f>
        <v>21297</v>
      </c>
      <c r="M5" t="s">
        <v>4</v>
      </c>
      <c r="N5" s="70" t="s">
        <v>148</v>
      </c>
      <c r="O5" s="75">
        <f>SUMIF(D6:D309,O4,H6:H309)</f>
        <v>-10289.155688733905</v>
      </c>
      <c r="P5" s="75">
        <f>SUMIF(D6:D309,P4,H6:H309)</f>
        <v>-9288.0118512538502</v>
      </c>
      <c r="R5" s="70" t="s">
        <v>148</v>
      </c>
      <c r="S5" s="76">
        <f>-(O5*650)</f>
        <v>6687951.1976770377</v>
      </c>
      <c r="T5" s="76">
        <f>-(P5*650)</f>
        <v>6037207.7033150028</v>
      </c>
    </row>
    <row r="6" spans="2:21" x14ac:dyDescent="0.25">
      <c r="B6" s="23">
        <v>45908</v>
      </c>
      <c r="C6" s="70" t="s">
        <v>230</v>
      </c>
      <c r="D6" s="70" t="s">
        <v>11</v>
      </c>
      <c r="E6" s="74">
        <v>152</v>
      </c>
      <c r="F6" s="74">
        <v>120</v>
      </c>
      <c r="G6" s="145">
        <v>120</v>
      </c>
      <c r="H6" s="75">
        <f>G6-E6</f>
        <v>-32</v>
      </c>
    </row>
    <row r="7" spans="2:21" x14ac:dyDescent="0.25">
      <c r="B7" s="23">
        <v>45909</v>
      </c>
      <c r="C7" s="70" t="s">
        <v>231</v>
      </c>
      <c r="D7" s="70" t="s">
        <v>11</v>
      </c>
      <c r="E7" s="74">
        <v>129</v>
      </c>
      <c r="F7" s="74">
        <v>184</v>
      </c>
      <c r="G7" s="145">
        <f>F7*0.88630769</f>
        <v>163.08061495999999</v>
      </c>
      <c r="H7" s="75">
        <f>G7-E7</f>
        <v>34.080614959999991</v>
      </c>
    </row>
    <row r="8" spans="2:21" x14ac:dyDescent="0.25">
      <c r="B8" s="23">
        <v>45910</v>
      </c>
      <c r="C8" s="70" t="s">
        <v>236</v>
      </c>
      <c r="D8" s="70" t="s">
        <v>10</v>
      </c>
      <c r="E8" s="145">
        <v>100</v>
      </c>
      <c r="F8" s="74">
        <v>0</v>
      </c>
      <c r="G8" s="145">
        <v>0</v>
      </c>
      <c r="H8" s="75">
        <f t="shared" ref="H8:H97" si="0">G8-E8</f>
        <v>-100</v>
      </c>
    </row>
    <row r="9" spans="2:21" x14ac:dyDescent="0.25">
      <c r="B9" s="23">
        <v>45911</v>
      </c>
      <c r="C9" s="70" t="s">
        <v>241</v>
      </c>
      <c r="D9" s="70" t="s">
        <v>11</v>
      </c>
      <c r="E9" s="145">
        <v>290</v>
      </c>
      <c r="F9" s="74">
        <v>270</v>
      </c>
      <c r="G9" s="145">
        <f t="shared" ref="G9:G22" si="1">F9*0.88630769</f>
        <v>239.30307629999999</v>
      </c>
      <c r="H9" s="75">
        <f t="shared" si="0"/>
        <v>-50.696923700000013</v>
      </c>
      <c r="I9" t="s">
        <v>4</v>
      </c>
    </row>
    <row r="10" spans="2:21" x14ac:dyDescent="0.25">
      <c r="B10" s="23">
        <v>45912</v>
      </c>
      <c r="C10" s="70" t="s">
        <v>253</v>
      </c>
      <c r="D10" s="70" t="s">
        <v>11</v>
      </c>
      <c r="E10" s="145">
        <v>281</v>
      </c>
      <c r="F10" s="145">
        <v>92</v>
      </c>
      <c r="G10" s="145">
        <v>92</v>
      </c>
      <c r="H10" s="75">
        <f t="shared" si="0"/>
        <v>-189</v>
      </c>
      <c r="M10" t="s">
        <v>4</v>
      </c>
      <c r="O10" t="s">
        <v>4</v>
      </c>
      <c r="P10" t="s">
        <v>4</v>
      </c>
      <c r="U10" t="s">
        <v>4</v>
      </c>
    </row>
    <row r="11" spans="2:21" x14ac:dyDescent="0.25">
      <c r="B11" s="23">
        <v>45913</v>
      </c>
      <c r="C11" s="70" t="s">
        <v>254</v>
      </c>
      <c r="D11" s="70" t="s">
        <v>11</v>
      </c>
      <c r="E11" s="145">
        <v>378</v>
      </c>
      <c r="F11" s="145">
        <v>704</v>
      </c>
      <c r="G11" s="145">
        <f t="shared" si="1"/>
        <v>623.96061376</v>
      </c>
      <c r="H11" s="75">
        <f t="shared" si="0"/>
        <v>245.96061376</v>
      </c>
      <c r="M11" t="s">
        <v>4</v>
      </c>
      <c r="O11" t="s">
        <v>4</v>
      </c>
    </row>
    <row r="12" spans="2:21" x14ac:dyDescent="0.25">
      <c r="B12" s="23">
        <v>45914</v>
      </c>
      <c r="C12" s="70" t="s">
        <v>247</v>
      </c>
      <c r="D12" s="70" t="s">
        <v>11</v>
      </c>
      <c r="E12" s="145">
        <v>133</v>
      </c>
      <c r="F12" s="145">
        <v>172</v>
      </c>
      <c r="G12" s="145">
        <f t="shared" si="1"/>
        <v>152.44492267999999</v>
      </c>
      <c r="H12" s="75">
        <f t="shared" si="0"/>
        <v>19.444922679999991</v>
      </c>
      <c r="P12" t="s">
        <v>4</v>
      </c>
    </row>
    <row r="13" spans="2:21" x14ac:dyDescent="0.25">
      <c r="B13" s="23">
        <v>45915</v>
      </c>
      <c r="C13" s="70" t="s">
        <v>248</v>
      </c>
      <c r="D13" s="70" t="s">
        <v>11</v>
      </c>
      <c r="E13" s="145">
        <v>352</v>
      </c>
      <c r="F13" s="145">
        <v>328</v>
      </c>
      <c r="G13" s="145">
        <f t="shared" si="1"/>
        <v>290.70892232</v>
      </c>
      <c r="H13" s="75">
        <f t="shared" si="0"/>
        <v>-61.291077680000001</v>
      </c>
      <c r="N13" t="s">
        <v>4</v>
      </c>
    </row>
    <row r="14" spans="2:21" x14ac:dyDescent="0.25">
      <c r="B14" s="23">
        <v>45916</v>
      </c>
      <c r="C14" s="70" t="s">
        <v>249</v>
      </c>
      <c r="D14" s="70" t="s">
        <v>11</v>
      </c>
      <c r="E14" s="145">
        <v>313</v>
      </c>
      <c r="F14" s="145">
        <v>370</v>
      </c>
      <c r="G14" s="145">
        <f t="shared" si="1"/>
        <v>327.93384529999997</v>
      </c>
      <c r="H14" s="75">
        <f t="shared" si="0"/>
        <v>14.933845299999973</v>
      </c>
      <c r="M14" t="s">
        <v>4</v>
      </c>
    </row>
    <row r="15" spans="2:21" x14ac:dyDescent="0.25">
      <c r="B15" s="23">
        <v>45916</v>
      </c>
      <c r="C15" s="24" t="s">
        <v>250</v>
      </c>
      <c r="D15" s="70" t="s">
        <v>10</v>
      </c>
      <c r="E15" s="145">
        <v>295</v>
      </c>
      <c r="F15" s="145">
        <v>212</v>
      </c>
      <c r="G15" s="145">
        <f t="shared" si="1"/>
        <v>187.89723028</v>
      </c>
      <c r="H15" s="75">
        <f t="shared" si="0"/>
        <v>-107.10276972</v>
      </c>
      <c r="J15" t="s">
        <v>4</v>
      </c>
    </row>
    <row r="16" spans="2:21" x14ac:dyDescent="0.25">
      <c r="B16" s="23">
        <v>45917</v>
      </c>
      <c r="C16" s="24" t="s">
        <v>252</v>
      </c>
      <c r="D16" s="70" t="s">
        <v>11</v>
      </c>
      <c r="E16" s="145">
        <v>134</v>
      </c>
      <c r="F16" s="171">
        <v>208</v>
      </c>
      <c r="G16" s="145">
        <f>F16*0.904615</f>
        <v>188.15992</v>
      </c>
      <c r="H16" s="75">
        <f t="shared" si="0"/>
        <v>54.15992</v>
      </c>
    </row>
    <row r="17" spans="2:12" x14ac:dyDescent="0.25">
      <c r="B17" s="23">
        <v>45917</v>
      </c>
      <c r="C17" s="24" t="s">
        <v>242</v>
      </c>
      <c r="D17" s="70" t="s">
        <v>11</v>
      </c>
      <c r="E17" s="145">
        <v>133</v>
      </c>
      <c r="F17" s="171">
        <v>92</v>
      </c>
      <c r="G17" s="145">
        <v>92</v>
      </c>
      <c r="H17" s="75">
        <f t="shared" si="0"/>
        <v>-41</v>
      </c>
    </row>
    <row r="18" spans="2:12" x14ac:dyDescent="0.25">
      <c r="B18" s="23">
        <v>45917</v>
      </c>
      <c r="C18" s="24" t="s">
        <v>271</v>
      </c>
      <c r="D18" s="70" t="s">
        <v>10</v>
      </c>
      <c r="E18" s="145">
        <v>302</v>
      </c>
      <c r="F18" s="171">
        <v>230</v>
      </c>
      <c r="G18" s="145">
        <f t="shared" si="1"/>
        <v>203.8507687</v>
      </c>
      <c r="H18" s="75">
        <f t="shared" si="0"/>
        <v>-98.149231299999997</v>
      </c>
    </row>
    <row r="19" spans="2:12" x14ac:dyDescent="0.25">
      <c r="B19" s="23">
        <v>45918</v>
      </c>
      <c r="C19" s="24" t="s">
        <v>272</v>
      </c>
      <c r="D19" s="70" t="s">
        <v>11</v>
      </c>
      <c r="E19" s="145">
        <v>195</v>
      </c>
      <c r="F19" s="171">
        <v>90</v>
      </c>
      <c r="G19" s="145">
        <f t="shared" si="1"/>
        <v>79.767692100000005</v>
      </c>
      <c r="H19" s="75">
        <f t="shared" si="0"/>
        <v>-115.2323079</v>
      </c>
      <c r="K19" t="s">
        <v>4</v>
      </c>
    </row>
    <row r="20" spans="2:12" x14ac:dyDescent="0.25">
      <c r="B20" s="23">
        <v>45918</v>
      </c>
      <c r="C20" s="70" t="s">
        <v>273</v>
      </c>
      <c r="D20" s="70" t="s">
        <v>10</v>
      </c>
      <c r="E20" s="145">
        <v>339</v>
      </c>
      <c r="F20" s="145">
        <v>180</v>
      </c>
      <c r="G20" s="145">
        <f t="shared" si="1"/>
        <v>159.53538420000001</v>
      </c>
      <c r="H20" s="75">
        <f t="shared" si="0"/>
        <v>-179.46461579999999</v>
      </c>
    </row>
    <row r="21" spans="2:12" x14ac:dyDescent="0.25">
      <c r="B21" s="23">
        <v>45922</v>
      </c>
      <c r="C21" s="70" t="s">
        <v>293</v>
      </c>
      <c r="D21" s="70" t="s">
        <v>10</v>
      </c>
      <c r="E21" s="145">
        <v>1089</v>
      </c>
      <c r="F21" s="145">
        <v>1089</v>
      </c>
      <c r="G21" s="145">
        <f t="shared" si="1"/>
        <v>965.18907440999999</v>
      </c>
      <c r="H21" s="75">
        <f t="shared" si="0"/>
        <v>-123.81092559000001</v>
      </c>
    </row>
    <row r="22" spans="2:12" x14ac:dyDescent="0.25">
      <c r="B22" s="23">
        <v>45922</v>
      </c>
      <c r="C22" s="70" t="s">
        <v>294</v>
      </c>
      <c r="D22" s="70" t="s">
        <v>10</v>
      </c>
      <c r="E22" s="145">
        <v>952</v>
      </c>
      <c r="F22" s="145">
        <v>499</v>
      </c>
      <c r="G22" s="145">
        <f t="shared" si="1"/>
        <v>442.26753730999997</v>
      </c>
      <c r="H22" s="75">
        <f t="shared" si="0"/>
        <v>-509.73246269000003</v>
      </c>
    </row>
    <row r="23" spans="2:12" x14ac:dyDescent="0.25">
      <c r="B23" s="23">
        <v>45923</v>
      </c>
      <c r="C23" s="70" t="s">
        <v>300</v>
      </c>
      <c r="D23" s="70" t="s">
        <v>11</v>
      </c>
      <c r="E23" s="145">
        <v>255</v>
      </c>
      <c r="F23" s="145">
        <v>206</v>
      </c>
      <c r="G23" s="145">
        <f>F23*0.904615</f>
        <v>186.35068999999999</v>
      </c>
      <c r="H23" s="75">
        <f t="shared" si="0"/>
        <v>-68.649310000000014</v>
      </c>
    </row>
    <row r="24" spans="2:12" x14ac:dyDescent="0.25">
      <c r="B24" s="23">
        <v>45924</v>
      </c>
      <c r="C24" s="70" t="s">
        <v>301</v>
      </c>
      <c r="D24" s="70" t="s">
        <v>11</v>
      </c>
      <c r="E24" s="145">
        <v>275</v>
      </c>
      <c r="F24" s="145">
        <v>208</v>
      </c>
      <c r="G24" s="145">
        <f>F24*0.904615</f>
        <v>188.15992</v>
      </c>
      <c r="H24" s="75">
        <f t="shared" si="0"/>
        <v>-86.84008</v>
      </c>
      <c r="L24" t="s">
        <v>4</v>
      </c>
    </row>
    <row r="25" spans="2:12" x14ac:dyDescent="0.25">
      <c r="B25" s="23">
        <v>45925</v>
      </c>
      <c r="C25" s="70" t="s">
        <v>303</v>
      </c>
      <c r="D25" s="70" t="s">
        <v>11</v>
      </c>
      <c r="E25" s="145">
        <v>239</v>
      </c>
      <c r="F25" s="74">
        <v>156</v>
      </c>
      <c r="G25" s="145">
        <f>F25*0.904615</f>
        <v>141.11993999999999</v>
      </c>
      <c r="H25" s="75">
        <f t="shared" si="0"/>
        <v>-97.880060000000014</v>
      </c>
    </row>
    <row r="26" spans="2:12" x14ac:dyDescent="0.25">
      <c r="B26" s="206">
        <v>45926</v>
      </c>
      <c r="C26" s="150" t="s">
        <v>302</v>
      </c>
      <c r="D26" s="150" t="s">
        <v>11</v>
      </c>
      <c r="E26" s="145">
        <v>236</v>
      </c>
      <c r="F26" s="74">
        <v>160</v>
      </c>
      <c r="G26" s="74">
        <v>160</v>
      </c>
      <c r="H26" s="75">
        <f t="shared" si="0"/>
        <v>-76</v>
      </c>
      <c r="I26" t="s">
        <v>4</v>
      </c>
    </row>
    <row r="27" spans="2:12" x14ac:dyDescent="0.25">
      <c r="B27" s="23">
        <v>45929</v>
      </c>
      <c r="C27" s="70" t="s">
        <v>307</v>
      </c>
      <c r="D27" s="70" t="s">
        <v>10</v>
      </c>
      <c r="E27" s="145">
        <v>1391</v>
      </c>
      <c r="F27" s="145">
        <v>210</v>
      </c>
      <c r="G27" s="145">
        <f>F27*0.904615384615384</f>
        <v>189.96923076923065</v>
      </c>
      <c r="H27" s="75">
        <f t="shared" si="0"/>
        <v>-1201.0307692307692</v>
      </c>
    </row>
    <row r="28" spans="2:12" x14ac:dyDescent="0.25">
      <c r="B28" s="23">
        <v>45929</v>
      </c>
      <c r="C28" s="70" t="s">
        <v>296</v>
      </c>
      <c r="D28" s="70" t="s">
        <v>11</v>
      </c>
      <c r="E28" s="145">
        <v>151</v>
      </c>
      <c r="F28" s="145">
        <v>50</v>
      </c>
      <c r="G28" s="145">
        <v>50</v>
      </c>
      <c r="H28" s="75">
        <f t="shared" si="0"/>
        <v>-101</v>
      </c>
    </row>
    <row r="29" spans="2:12" x14ac:dyDescent="0.25">
      <c r="B29" s="23">
        <v>45930</v>
      </c>
      <c r="C29" s="70" t="s">
        <v>309</v>
      </c>
      <c r="D29" s="70" t="s">
        <v>10</v>
      </c>
      <c r="E29" s="145">
        <v>0</v>
      </c>
      <c r="F29" s="145">
        <v>186</v>
      </c>
      <c r="G29" s="145">
        <f>F29*0.904615384615384</f>
        <v>168.25846153846143</v>
      </c>
      <c r="H29" s="75">
        <f t="shared" si="0"/>
        <v>168.25846153846143</v>
      </c>
    </row>
    <row r="30" spans="2:12" x14ac:dyDescent="0.25">
      <c r="B30" s="23">
        <v>45930</v>
      </c>
      <c r="C30" s="70" t="s">
        <v>296</v>
      </c>
      <c r="D30" s="70" t="s">
        <v>11</v>
      </c>
      <c r="E30" s="145">
        <v>121</v>
      </c>
      <c r="F30" s="145">
        <v>50</v>
      </c>
      <c r="G30" s="145">
        <v>50</v>
      </c>
      <c r="H30" s="75">
        <f t="shared" si="0"/>
        <v>-71</v>
      </c>
    </row>
    <row r="31" spans="2:12" x14ac:dyDescent="0.25">
      <c r="B31" s="23">
        <v>45931</v>
      </c>
      <c r="C31" s="70" t="s">
        <v>311</v>
      </c>
      <c r="D31" s="70" t="s">
        <v>10</v>
      </c>
      <c r="E31" s="74">
        <v>0</v>
      </c>
      <c r="F31" s="145">
        <v>262</v>
      </c>
      <c r="G31" s="145">
        <v>262</v>
      </c>
      <c r="H31" s="75">
        <f t="shared" si="0"/>
        <v>262</v>
      </c>
    </row>
    <row r="32" spans="2:12" x14ac:dyDescent="0.25">
      <c r="B32" s="23">
        <v>45932</v>
      </c>
      <c r="C32" s="70" t="s">
        <v>313</v>
      </c>
      <c r="D32" s="70" t="s">
        <v>10</v>
      </c>
      <c r="E32" s="145">
        <v>0</v>
      </c>
      <c r="F32" s="145">
        <v>274</v>
      </c>
      <c r="G32" s="145">
        <f>F32*0.904615384615384</f>
        <v>247.86461538461523</v>
      </c>
      <c r="H32" s="75">
        <f t="shared" si="0"/>
        <v>247.86461538461523</v>
      </c>
    </row>
    <row r="33" spans="2:8" x14ac:dyDescent="0.25">
      <c r="B33" s="23">
        <v>45932</v>
      </c>
      <c r="C33" s="70" t="s">
        <v>256</v>
      </c>
      <c r="D33" s="70" t="s">
        <v>11</v>
      </c>
      <c r="E33" s="74">
        <v>201</v>
      </c>
      <c r="F33" s="145">
        <v>156</v>
      </c>
      <c r="G33" s="145">
        <f>F33*0.904615384615384</f>
        <v>141.11999999999992</v>
      </c>
      <c r="H33" s="75">
        <f t="shared" si="0"/>
        <v>-59.880000000000081</v>
      </c>
    </row>
    <row r="34" spans="2:8" x14ac:dyDescent="0.25">
      <c r="B34" s="23">
        <v>45933</v>
      </c>
      <c r="C34" s="70" t="s">
        <v>313</v>
      </c>
      <c r="D34" s="70" t="s">
        <v>10</v>
      </c>
      <c r="E34" s="145">
        <v>0</v>
      </c>
      <c r="F34" s="145">
        <v>0</v>
      </c>
      <c r="G34" s="145">
        <v>0</v>
      </c>
      <c r="H34" s="75">
        <f t="shared" si="0"/>
        <v>0</v>
      </c>
    </row>
    <row r="35" spans="2:8" x14ac:dyDescent="0.25">
      <c r="B35" s="23">
        <v>45933</v>
      </c>
      <c r="C35" s="70" t="s">
        <v>315</v>
      </c>
      <c r="D35" s="70" t="s">
        <v>11</v>
      </c>
      <c r="E35" s="145">
        <v>228</v>
      </c>
      <c r="F35" s="145">
        <v>220</v>
      </c>
      <c r="G35" s="145">
        <v>220</v>
      </c>
      <c r="H35" s="75">
        <f t="shared" si="0"/>
        <v>-8</v>
      </c>
    </row>
    <row r="36" spans="2:8" x14ac:dyDescent="0.25">
      <c r="B36" s="23">
        <v>45934</v>
      </c>
      <c r="C36" s="70" t="s">
        <v>308</v>
      </c>
      <c r="D36" s="70" t="s">
        <v>10</v>
      </c>
      <c r="E36" s="145">
        <v>0</v>
      </c>
      <c r="F36" s="145">
        <v>0</v>
      </c>
      <c r="G36" s="145">
        <v>0</v>
      </c>
      <c r="H36" s="75">
        <f t="shared" si="0"/>
        <v>0</v>
      </c>
    </row>
    <row r="37" spans="2:8" x14ac:dyDescent="0.25">
      <c r="B37" s="23">
        <v>45934</v>
      </c>
      <c r="C37" s="70" t="s">
        <v>290</v>
      </c>
      <c r="D37" s="70" t="s">
        <v>11</v>
      </c>
      <c r="E37" s="145">
        <v>265</v>
      </c>
      <c r="F37" s="145">
        <v>236</v>
      </c>
      <c r="G37" s="145">
        <f>F37*0.904615384615384</f>
        <v>213.48923076923063</v>
      </c>
      <c r="H37" s="75">
        <f t="shared" si="0"/>
        <v>-51.51076923076937</v>
      </c>
    </row>
    <row r="38" spans="2:8" x14ac:dyDescent="0.25">
      <c r="B38" s="232">
        <v>46299</v>
      </c>
      <c r="C38" s="70" t="s">
        <v>242</v>
      </c>
      <c r="D38" s="70" t="s">
        <v>11</v>
      </c>
      <c r="E38" s="145">
        <v>0</v>
      </c>
      <c r="F38" s="145">
        <v>225</v>
      </c>
      <c r="G38" s="145">
        <v>225</v>
      </c>
      <c r="H38" s="75">
        <f t="shared" si="0"/>
        <v>225</v>
      </c>
    </row>
    <row r="39" spans="2:8" x14ac:dyDescent="0.25">
      <c r="B39" s="231">
        <v>45937</v>
      </c>
      <c r="C39" s="133" t="s">
        <v>317</v>
      </c>
      <c r="D39" s="70" t="s">
        <v>11</v>
      </c>
      <c r="E39" s="145">
        <v>300</v>
      </c>
      <c r="F39" s="145">
        <v>370</v>
      </c>
      <c r="G39" s="145">
        <f>F39*0.904615384615384</f>
        <v>334.70769230769207</v>
      </c>
      <c r="H39" s="75">
        <f t="shared" si="0"/>
        <v>34.707692307692071</v>
      </c>
    </row>
    <row r="40" spans="2:8" x14ac:dyDescent="0.25">
      <c r="B40" s="23">
        <v>45938</v>
      </c>
      <c r="C40" s="70" t="s">
        <v>319</v>
      </c>
      <c r="D40" s="70" t="s">
        <v>10</v>
      </c>
      <c r="E40" s="145">
        <v>1050</v>
      </c>
      <c r="F40" s="145">
        <v>208</v>
      </c>
      <c r="G40" s="145">
        <f>F40*0.904615384615384</f>
        <v>188.15999999999988</v>
      </c>
      <c r="H40" s="75">
        <f t="shared" si="0"/>
        <v>-861.84000000000015</v>
      </c>
    </row>
    <row r="41" spans="2:8" x14ac:dyDescent="0.25">
      <c r="B41" s="23">
        <v>45938</v>
      </c>
      <c r="C41" s="70" t="s">
        <v>256</v>
      </c>
      <c r="D41" s="70" t="s">
        <v>11</v>
      </c>
      <c r="E41" s="145">
        <v>263</v>
      </c>
      <c r="F41" s="145">
        <v>156</v>
      </c>
      <c r="G41" s="145">
        <f>F41*0.975153846153846</f>
        <v>152.124</v>
      </c>
      <c r="H41" s="75">
        <f t="shared" si="0"/>
        <v>-110.876</v>
      </c>
    </row>
    <row r="42" spans="2:8" x14ac:dyDescent="0.25">
      <c r="B42" s="23">
        <v>45939</v>
      </c>
      <c r="C42" s="70" t="s">
        <v>325</v>
      </c>
      <c r="D42" s="70" t="s">
        <v>10</v>
      </c>
      <c r="E42" s="145">
        <v>0</v>
      </c>
      <c r="F42" s="145">
        <v>164</v>
      </c>
      <c r="G42" s="145">
        <f>F42*0.904615384615384</f>
        <v>148.35692307692298</v>
      </c>
      <c r="H42" s="75">
        <f t="shared" si="0"/>
        <v>148.35692307692298</v>
      </c>
    </row>
    <row r="43" spans="2:8" x14ac:dyDescent="0.25">
      <c r="B43" s="23">
        <v>45939</v>
      </c>
      <c r="C43" s="70" t="s">
        <v>230</v>
      </c>
      <c r="D43" s="70" t="s">
        <v>11</v>
      </c>
      <c r="E43" s="145">
        <v>240</v>
      </c>
      <c r="F43" s="145">
        <v>120</v>
      </c>
      <c r="G43" s="145">
        <v>120</v>
      </c>
      <c r="H43" s="75">
        <f t="shared" si="0"/>
        <v>-120</v>
      </c>
    </row>
    <row r="44" spans="2:8" x14ac:dyDescent="0.25">
      <c r="B44" s="23">
        <v>45940</v>
      </c>
      <c r="C44" s="70" t="s">
        <v>325</v>
      </c>
      <c r="D44" s="70" t="s">
        <v>10</v>
      </c>
      <c r="E44" s="145">
        <v>0</v>
      </c>
      <c r="F44" s="145">
        <v>164</v>
      </c>
      <c r="G44" s="145">
        <f>F44*0.904615384615384</f>
        <v>148.35692307692298</v>
      </c>
      <c r="H44" s="75">
        <f t="shared" si="0"/>
        <v>148.35692307692298</v>
      </c>
    </row>
    <row r="45" spans="2:8" x14ac:dyDescent="0.25">
      <c r="B45" s="23">
        <v>45940</v>
      </c>
      <c r="C45" s="70" t="s">
        <v>256</v>
      </c>
      <c r="D45" s="70" t="s">
        <v>11</v>
      </c>
      <c r="E45" s="145">
        <v>155</v>
      </c>
      <c r="F45" s="145">
        <v>156</v>
      </c>
      <c r="G45" s="145">
        <f>F45*0.975153846153846</f>
        <v>152.124</v>
      </c>
      <c r="H45" s="75">
        <f t="shared" si="0"/>
        <v>-2.8760000000000048</v>
      </c>
    </row>
    <row r="46" spans="2:8" x14ac:dyDescent="0.25">
      <c r="B46" s="23">
        <v>45940</v>
      </c>
      <c r="C46" s="70" t="s">
        <v>328</v>
      </c>
      <c r="D46" s="70" t="s">
        <v>11</v>
      </c>
      <c r="E46" s="145">
        <v>294</v>
      </c>
      <c r="F46" s="145">
        <v>0</v>
      </c>
      <c r="G46" s="145">
        <v>0</v>
      </c>
      <c r="H46" s="75">
        <f t="shared" si="0"/>
        <v>-294</v>
      </c>
    </row>
    <row r="47" spans="2:8" x14ac:dyDescent="0.25">
      <c r="B47" s="23">
        <v>45941</v>
      </c>
      <c r="C47" s="70" t="s">
        <v>329</v>
      </c>
      <c r="D47" s="70" t="s">
        <v>11</v>
      </c>
      <c r="E47" s="74">
        <v>559</v>
      </c>
      <c r="F47" s="145">
        <v>246</v>
      </c>
      <c r="G47" s="145">
        <f>F47*0.975153846153846</f>
        <v>239.88784615384611</v>
      </c>
      <c r="H47" s="75">
        <f t="shared" si="0"/>
        <v>-319.11215384615389</v>
      </c>
    </row>
    <row r="48" spans="2:8" x14ac:dyDescent="0.25">
      <c r="B48" s="23">
        <v>45944</v>
      </c>
      <c r="C48" s="70" t="s">
        <v>484</v>
      </c>
      <c r="D48" s="70" t="s">
        <v>10</v>
      </c>
      <c r="E48" s="145">
        <v>1691</v>
      </c>
      <c r="F48" s="145">
        <v>436</v>
      </c>
      <c r="G48" s="145">
        <f>F48*0.975153846153846</f>
        <v>425.16707692307688</v>
      </c>
      <c r="H48" s="75">
        <f t="shared" si="0"/>
        <v>-1265.8329230769232</v>
      </c>
    </row>
    <row r="49" spans="2:8" x14ac:dyDescent="0.25">
      <c r="B49" s="23">
        <v>45944</v>
      </c>
      <c r="C49" s="70" t="s">
        <v>328</v>
      </c>
      <c r="D49" s="70" t="s">
        <v>11</v>
      </c>
      <c r="E49" s="145">
        <v>326</v>
      </c>
      <c r="F49" s="145">
        <v>0</v>
      </c>
      <c r="G49" s="145">
        <v>0</v>
      </c>
      <c r="H49" s="75">
        <f t="shared" si="0"/>
        <v>-326</v>
      </c>
    </row>
    <row r="50" spans="2:8" x14ac:dyDescent="0.25">
      <c r="B50" s="23">
        <v>45945</v>
      </c>
      <c r="C50" s="70" t="s">
        <v>308</v>
      </c>
      <c r="D50" s="70" t="s">
        <v>10</v>
      </c>
      <c r="E50" s="145">
        <v>1387</v>
      </c>
      <c r="F50" s="145">
        <v>186</v>
      </c>
      <c r="G50" s="145">
        <f>F50*0.975153846153846</f>
        <v>181.37861538461536</v>
      </c>
      <c r="H50" s="75">
        <f t="shared" si="0"/>
        <v>-1205.6213846153846</v>
      </c>
    </row>
    <row r="51" spans="2:8" x14ac:dyDescent="0.25">
      <c r="B51" s="23">
        <v>45945</v>
      </c>
      <c r="C51" s="70" t="s">
        <v>334</v>
      </c>
      <c r="D51" s="70" t="s">
        <v>11</v>
      </c>
      <c r="E51" s="145">
        <f>205+145</f>
        <v>350</v>
      </c>
      <c r="F51" s="145">
        <v>90</v>
      </c>
      <c r="G51" s="145">
        <f>F51*0.975153846153846</f>
        <v>87.763846153846146</v>
      </c>
      <c r="H51" s="75">
        <f t="shared" si="0"/>
        <v>-262.23615384615385</v>
      </c>
    </row>
    <row r="52" spans="2:8" x14ac:dyDescent="0.25">
      <c r="B52" s="23">
        <v>45946</v>
      </c>
      <c r="C52" s="70" t="s">
        <v>316</v>
      </c>
      <c r="D52" s="70" t="s">
        <v>11</v>
      </c>
      <c r="E52" s="74">
        <f>148+117</f>
        <v>265</v>
      </c>
      <c r="F52" s="145">
        <v>0</v>
      </c>
      <c r="G52" s="145">
        <v>0</v>
      </c>
      <c r="H52" s="75">
        <f t="shared" si="0"/>
        <v>-265</v>
      </c>
    </row>
    <row r="53" spans="2:8" x14ac:dyDescent="0.25">
      <c r="B53" s="23">
        <v>45947</v>
      </c>
      <c r="C53" s="70" t="s">
        <v>308</v>
      </c>
      <c r="D53" s="70" t="s">
        <v>10</v>
      </c>
      <c r="E53" s="74">
        <v>0</v>
      </c>
      <c r="F53" s="145">
        <v>186</v>
      </c>
      <c r="G53" s="145">
        <f>F53*0.975153846153846</f>
        <v>181.37861538461536</v>
      </c>
      <c r="H53" s="75">
        <f t="shared" si="0"/>
        <v>181.37861538461536</v>
      </c>
    </row>
    <row r="54" spans="2:8" x14ac:dyDescent="0.25">
      <c r="B54" s="23">
        <v>45947</v>
      </c>
      <c r="C54" s="70" t="s">
        <v>344</v>
      </c>
      <c r="D54" s="70" t="s">
        <v>10</v>
      </c>
      <c r="E54" s="145">
        <v>0</v>
      </c>
      <c r="F54" s="145">
        <v>230</v>
      </c>
      <c r="G54" s="145">
        <f>F54*0.975153846153846</f>
        <v>224.2853846153846</v>
      </c>
      <c r="H54" s="75">
        <f t="shared" si="0"/>
        <v>224.2853846153846</v>
      </c>
    </row>
    <row r="55" spans="2:8" x14ac:dyDescent="0.25">
      <c r="B55" s="23">
        <v>45947</v>
      </c>
      <c r="C55" s="70" t="s">
        <v>269</v>
      </c>
      <c r="D55" s="70" t="s">
        <v>11</v>
      </c>
      <c r="E55" s="145">
        <f>119+96</f>
        <v>215</v>
      </c>
      <c r="F55" s="145">
        <v>36</v>
      </c>
      <c r="G55" s="145">
        <f>F55*0.975153846153846</f>
        <v>35.105538461538458</v>
      </c>
      <c r="H55" s="75">
        <f t="shared" si="0"/>
        <v>-179.89446153846154</v>
      </c>
    </row>
    <row r="56" spans="2:8" x14ac:dyDescent="0.25">
      <c r="B56" s="23">
        <v>45948</v>
      </c>
      <c r="C56" s="70" t="s">
        <v>346</v>
      </c>
      <c r="D56" s="70" t="s">
        <v>10</v>
      </c>
      <c r="E56" s="145">
        <v>0</v>
      </c>
      <c r="F56" s="145">
        <v>230</v>
      </c>
      <c r="G56" s="145">
        <f>F56*0.975153846153846</f>
        <v>224.2853846153846</v>
      </c>
      <c r="H56" s="75">
        <f t="shared" si="0"/>
        <v>224.2853846153846</v>
      </c>
    </row>
    <row r="57" spans="2:8" x14ac:dyDescent="0.25">
      <c r="B57" s="23">
        <v>45948</v>
      </c>
      <c r="C57" s="70" t="s">
        <v>256</v>
      </c>
      <c r="D57" s="70" t="s">
        <v>11</v>
      </c>
      <c r="E57" s="145">
        <v>253</v>
      </c>
      <c r="F57" s="145">
        <v>156</v>
      </c>
      <c r="G57" s="145">
        <f>F57*0.975153846153846</f>
        <v>152.124</v>
      </c>
      <c r="H57" s="75">
        <f t="shared" si="0"/>
        <v>-100.876</v>
      </c>
    </row>
    <row r="58" spans="2:8" x14ac:dyDescent="0.25">
      <c r="B58" s="23">
        <v>45948</v>
      </c>
      <c r="C58" s="70" t="s">
        <v>242</v>
      </c>
      <c r="D58" s="70" t="s">
        <v>11</v>
      </c>
      <c r="E58" s="74">
        <v>92</v>
      </c>
      <c r="F58" s="145">
        <v>225</v>
      </c>
      <c r="G58" s="145">
        <v>225</v>
      </c>
      <c r="H58" s="75">
        <f t="shared" si="0"/>
        <v>133</v>
      </c>
    </row>
    <row r="59" spans="2:8" x14ac:dyDescent="0.25">
      <c r="B59" s="23">
        <v>45949</v>
      </c>
      <c r="C59" s="70" t="s">
        <v>348</v>
      </c>
      <c r="D59" s="70" t="s">
        <v>11</v>
      </c>
      <c r="E59" s="74">
        <f>306+365</f>
        <v>671</v>
      </c>
      <c r="F59" s="145">
        <v>341</v>
      </c>
      <c r="G59" s="145">
        <f>F59*0.975153846153846</f>
        <v>332.52746153846152</v>
      </c>
      <c r="H59" s="75">
        <f t="shared" si="0"/>
        <v>-338.47253846153848</v>
      </c>
    </row>
    <row r="60" spans="2:8" x14ac:dyDescent="0.25">
      <c r="B60" s="23">
        <v>45949</v>
      </c>
      <c r="C60" s="70" t="s">
        <v>347</v>
      </c>
      <c r="D60" s="70" t="s">
        <v>10</v>
      </c>
      <c r="E60" s="74">
        <v>0</v>
      </c>
      <c r="F60" s="145">
        <v>294</v>
      </c>
      <c r="G60" s="145">
        <f>F60*0.975153846153846</f>
        <v>286.69523076923076</v>
      </c>
      <c r="H60" s="75">
        <f t="shared" si="0"/>
        <v>286.69523076923076</v>
      </c>
    </row>
    <row r="61" spans="2:8" x14ac:dyDescent="0.25">
      <c r="B61" s="23">
        <v>45950</v>
      </c>
      <c r="C61" s="70" t="s">
        <v>410</v>
      </c>
      <c r="D61" s="70" t="s">
        <v>10</v>
      </c>
      <c r="E61" s="145">
        <v>0</v>
      </c>
      <c r="F61" s="145">
        <v>588</v>
      </c>
      <c r="G61" s="145">
        <f>F61*0.975153846153846</f>
        <v>573.39046153846152</v>
      </c>
      <c r="H61" s="75">
        <f t="shared" si="0"/>
        <v>573.39046153846152</v>
      </c>
    </row>
    <row r="62" spans="2:8" x14ac:dyDescent="0.25">
      <c r="B62" s="23">
        <v>46315</v>
      </c>
      <c r="C62" s="70" t="s">
        <v>311</v>
      </c>
      <c r="D62" s="70" t="s">
        <v>10</v>
      </c>
      <c r="E62" s="145">
        <v>0</v>
      </c>
      <c r="F62" s="145">
        <v>262</v>
      </c>
      <c r="G62" s="145">
        <v>262</v>
      </c>
      <c r="H62" s="75">
        <f t="shared" si="0"/>
        <v>262</v>
      </c>
    </row>
    <row r="63" spans="2:8" x14ac:dyDescent="0.25">
      <c r="B63" s="23">
        <v>45950</v>
      </c>
      <c r="C63" s="70" t="s">
        <v>242</v>
      </c>
      <c r="D63" s="70" t="s">
        <v>11</v>
      </c>
      <c r="E63" s="74">
        <v>300</v>
      </c>
      <c r="F63" s="145">
        <v>225</v>
      </c>
      <c r="G63" s="145">
        <v>225</v>
      </c>
      <c r="H63" s="75">
        <f t="shared" si="0"/>
        <v>-75</v>
      </c>
    </row>
    <row r="64" spans="2:8" x14ac:dyDescent="0.25">
      <c r="B64" s="23">
        <v>45951</v>
      </c>
      <c r="C64" s="70" t="s">
        <v>352</v>
      </c>
      <c r="D64" s="70" t="s">
        <v>10</v>
      </c>
      <c r="E64" s="145">
        <v>0</v>
      </c>
      <c r="F64" s="145">
        <v>274</v>
      </c>
      <c r="G64" s="145">
        <f>F64*0.975153846153846</f>
        <v>267.19215384615381</v>
      </c>
      <c r="H64" s="75">
        <f t="shared" si="0"/>
        <v>267.19215384615381</v>
      </c>
    </row>
    <row r="65" spans="2:11" x14ac:dyDescent="0.25">
      <c r="B65" s="23">
        <v>45951</v>
      </c>
      <c r="C65" s="70" t="s">
        <v>296</v>
      </c>
      <c r="D65" s="70" t="s">
        <v>11</v>
      </c>
      <c r="E65" s="145">
        <f>240+150</f>
        <v>390</v>
      </c>
      <c r="F65" s="145">
        <v>50</v>
      </c>
      <c r="G65" s="145">
        <v>50</v>
      </c>
      <c r="H65" s="75">
        <f t="shared" si="0"/>
        <v>-340</v>
      </c>
    </row>
    <row r="66" spans="2:11" x14ac:dyDescent="0.25">
      <c r="B66" s="23">
        <v>45957</v>
      </c>
      <c r="C66" s="70" t="s">
        <v>311</v>
      </c>
      <c r="D66" s="70" t="s">
        <v>10</v>
      </c>
      <c r="E66" s="145">
        <v>2042</v>
      </c>
      <c r="F66" s="145">
        <v>262</v>
      </c>
      <c r="G66" s="145">
        <v>262</v>
      </c>
      <c r="H66" s="75">
        <f t="shared" si="0"/>
        <v>-1780</v>
      </c>
    </row>
    <row r="67" spans="2:11" x14ac:dyDescent="0.25">
      <c r="B67" s="23">
        <v>45957</v>
      </c>
      <c r="C67" s="70" t="s">
        <v>322</v>
      </c>
      <c r="D67" s="70" t="s">
        <v>11</v>
      </c>
      <c r="E67" s="145">
        <f>241+146</f>
        <v>387</v>
      </c>
      <c r="F67" s="145">
        <v>104</v>
      </c>
      <c r="G67" s="145">
        <v>104</v>
      </c>
      <c r="H67" s="75">
        <f t="shared" si="0"/>
        <v>-283</v>
      </c>
    </row>
    <row r="68" spans="2:11" x14ac:dyDescent="0.25">
      <c r="B68" s="23">
        <v>45958</v>
      </c>
      <c r="C68" s="70" t="s">
        <v>319</v>
      </c>
      <c r="D68" s="70" t="s">
        <v>10</v>
      </c>
      <c r="E68" s="145">
        <v>1915</v>
      </c>
      <c r="F68" s="145">
        <v>208</v>
      </c>
      <c r="G68" s="145">
        <f>F68*0.975153846153846</f>
        <v>202.83199999999997</v>
      </c>
      <c r="H68" s="75">
        <f t="shared" si="0"/>
        <v>-1712.1680000000001</v>
      </c>
    </row>
    <row r="69" spans="2:11" x14ac:dyDescent="0.25">
      <c r="B69" s="23">
        <v>45958</v>
      </c>
      <c r="C69" s="70" t="s">
        <v>365</v>
      </c>
      <c r="D69" s="70" t="s">
        <v>11</v>
      </c>
      <c r="E69" s="145">
        <f>295+224</f>
        <v>519</v>
      </c>
      <c r="F69" s="145">
        <v>164</v>
      </c>
      <c r="G69" s="145">
        <f>F69*0.975153846153846</f>
        <v>159.92523076923075</v>
      </c>
      <c r="H69" s="75">
        <f t="shared" si="0"/>
        <v>-359.07476923076922</v>
      </c>
    </row>
    <row r="70" spans="2:11" x14ac:dyDescent="0.25">
      <c r="B70" s="23">
        <v>45959</v>
      </c>
      <c r="C70" s="70" t="s">
        <v>367</v>
      </c>
      <c r="D70" s="70" t="s">
        <v>10</v>
      </c>
      <c r="E70" s="145">
        <v>0</v>
      </c>
      <c r="F70" s="145">
        <v>394</v>
      </c>
      <c r="G70" s="145">
        <f>F70*0.975153846153846</f>
        <v>384.21061538461532</v>
      </c>
      <c r="H70" s="75">
        <f t="shared" si="0"/>
        <v>384.21061538461532</v>
      </c>
    </row>
    <row r="71" spans="2:11" x14ac:dyDescent="0.25">
      <c r="B71" s="23">
        <v>45959</v>
      </c>
      <c r="C71" s="70" t="s">
        <v>371</v>
      </c>
      <c r="D71" s="70" t="s">
        <v>11</v>
      </c>
      <c r="E71" s="145">
        <f>93+137</f>
        <v>230</v>
      </c>
      <c r="F71" s="145">
        <v>52</v>
      </c>
      <c r="G71" s="145">
        <v>52</v>
      </c>
      <c r="H71" s="75">
        <f t="shared" si="0"/>
        <v>-178</v>
      </c>
      <c r="K71" t="s">
        <v>4</v>
      </c>
    </row>
    <row r="72" spans="2:11" x14ac:dyDescent="0.25">
      <c r="B72" s="23">
        <v>45960</v>
      </c>
      <c r="C72" s="70" t="s">
        <v>313</v>
      </c>
      <c r="D72" s="70" t="s">
        <v>10</v>
      </c>
      <c r="E72" s="145">
        <v>0</v>
      </c>
      <c r="F72" s="145">
        <v>274</v>
      </c>
      <c r="G72" s="145">
        <f>F72*0.975153846153846</f>
        <v>267.19215384615381</v>
      </c>
      <c r="H72" s="75">
        <f t="shared" si="0"/>
        <v>267.19215384615381</v>
      </c>
    </row>
    <row r="73" spans="2:11" x14ac:dyDescent="0.25">
      <c r="B73" s="23">
        <v>45960</v>
      </c>
      <c r="C73" s="70" t="s">
        <v>296</v>
      </c>
      <c r="D73" s="70" t="s">
        <v>11</v>
      </c>
      <c r="E73" s="145">
        <v>127</v>
      </c>
      <c r="F73" s="145">
        <v>50</v>
      </c>
      <c r="G73" s="145">
        <v>50</v>
      </c>
      <c r="H73" s="75">
        <f t="shared" si="0"/>
        <v>-77</v>
      </c>
    </row>
    <row r="74" spans="2:11" x14ac:dyDescent="0.25">
      <c r="B74" s="23">
        <v>45961</v>
      </c>
      <c r="C74" s="70" t="s">
        <v>313</v>
      </c>
      <c r="D74" s="70" t="s">
        <v>10</v>
      </c>
      <c r="E74" s="145">
        <v>0</v>
      </c>
      <c r="F74" s="145">
        <v>274</v>
      </c>
      <c r="G74" s="145">
        <f>F74*0.975153846153846</f>
        <v>267.19215384615381</v>
      </c>
      <c r="H74" s="75">
        <f t="shared" si="0"/>
        <v>267.19215384615381</v>
      </c>
    </row>
    <row r="75" spans="2:11" x14ac:dyDescent="0.25">
      <c r="B75" s="23">
        <v>45961</v>
      </c>
      <c r="C75" s="70" t="s">
        <v>296</v>
      </c>
      <c r="D75" s="70" t="s">
        <v>11</v>
      </c>
      <c r="E75" s="145">
        <f>120+231</f>
        <v>351</v>
      </c>
      <c r="F75" s="145">
        <v>50</v>
      </c>
      <c r="G75" s="145">
        <v>50</v>
      </c>
      <c r="H75" s="75">
        <f t="shared" si="0"/>
        <v>-301</v>
      </c>
    </row>
    <row r="76" spans="2:11" x14ac:dyDescent="0.25">
      <c r="B76" s="23">
        <v>45962</v>
      </c>
      <c r="C76" s="70" t="s">
        <v>286</v>
      </c>
      <c r="D76" s="70" t="s">
        <v>10</v>
      </c>
      <c r="E76" s="145">
        <v>0</v>
      </c>
      <c r="F76" s="145">
        <v>112</v>
      </c>
      <c r="G76" s="145">
        <f>F76*0.975153846153846</f>
        <v>109.21723076923075</v>
      </c>
      <c r="H76" s="75">
        <f t="shared" si="0"/>
        <v>109.21723076923075</v>
      </c>
      <c r="I76" t="s">
        <v>4</v>
      </c>
    </row>
    <row r="77" spans="2:11" x14ac:dyDescent="0.25">
      <c r="B77" s="23">
        <v>45962</v>
      </c>
      <c r="C77" s="70" t="s">
        <v>378</v>
      </c>
      <c r="D77" s="70" t="s">
        <v>11</v>
      </c>
      <c r="E77" s="145">
        <v>574</v>
      </c>
      <c r="F77" s="145">
        <v>190</v>
      </c>
      <c r="G77" s="145">
        <f>F77*0.975153846153846</f>
        <v>185.27923076923074</v>
      </c>
      <c r="H77" s="75">
        <f t="shared" si="0"/>
        <v>-388.72076923076929</v>
      </c>
    </row>
    <row r="78" spans="2:11" x14ac:dyDescent="0.25">
      <c r="B78" s="23">
        <v>45963</v>
      </c>
      <c r="C78" s="70" t="s">
        <v>286</v>
      </c>
      <c r="D78" s="70" t="s">
        <v>10</v>
      </c>
      <c r="E78" s="145">
        <v>0</v>
      </c>
      <c r="F78" s="145">
        <v>240</v>
      </c>
      <c r="G78" s="145">
        <f>F78*0.975153846153846</f>
        <v>234.03692307692305</v>
      </c>
      <c r="H78" s="75">
        <f t="shared" si="0"/>
        <v>234.03692307692305</v>
      </c>
    </row>
    <row r="79" spans="2:11" x14ac:dyDescent="0.25">
      <c r="B79" s="23">
        <v>45963</v>
      </c>
      <c r="C79" s="70" t="s">
        <v>381</v>
      </c>
      <c r="D79" s="70" t="s">
        <v>11</v>
      </c>
      <c r="E79" s="145">
        <f>228+100</f>
        <v>328</v>
      </c>
      <c r="F79" s="145">
        <v>86</v>
      </c>
      <c r="G79" s="145">
        <v>86</v>
      </c>
      <c r="H79" s="75">
        <f t="shared" si="0"/>
        <v>-242</v>
      </c>
    </row>
    <row r="80" spans="2:11" x14ac:dyDescent="0.25">
      <c r="B80" s="23">
        <v>45964</v>
      </c>
      <c r="C80" s="70" t="s">
        <v>308</v>
      </c>
      <c r="D80" s="70" t="s">
        <v>10</v>
      </c>
      <c r="E80" s="145">
        <v>0</v>
      </c>
      <c r="F80" s="145">
        <v>186</v>
      </c>
      <c r="G80" s="145">
        <f>F80*0.975153846153846</f>
        <v>181.37861538461536</v>
      </c>
      <c r="H80" s="75">
        <f t="shared" si="0"/>
        <v>181.37861538461536</v>
      </c>
    </row>
    <row r="81" spans="2:8" x14ac:dyDescent="0.25">
      <c r="B81" s="23">
        <v>45967</v>
      </c>
      <c r="C81" s="70" t="s">
        <v>230</v>
      </c>
      <c r="D81" s="70" t="s">
        <v>11</v>
      </c>
      <c r="E81" s="145">
        <v>180</v>
      </c>
      <c r="F81" s="145">
        <v>120</v>
      </c>
      <c r="G81" s="145">
        <v>120</v>
      </c>
      <c r="H81" s="75">
        <f t="shared" si="0"/>
        <v>-60</v>
      </c>
    </row>
    <row r="82" spans="2:8" x14ac:dyDescent="0.25">
      <c r="B82" s="23">
        <v>45967</v>
      </c>
      <c r="C82" s="70" t="s">
        <v>313</v>
      </c>
      <c r="D82" s="70" t="s">
        <v>10</v>
      </c>
      <c r="E82" s="145">
        <v>2219</v>
      </c>
      <c r="F82" s="145">
        <v>137</v>
      </c>
      <c r="G82" s="145">
        <f>F82*0.975153846153846</f>
        <v>133.59607692307691</v>
      </c>
      <c r="H82" s="75">
        <f t="shared" si="0"/>
        <v>-2085.4039230769231</v>
      </c>
    </row>
    <row r="83" spans="2:8" x14ac:dyDescent="0.25">
      <c r="B83" s="23">
        <v>45968</v>
      </c>
      <c r="C83" s="70" t="s">
        <v>313</v>
      </c>
      <c r="D83" s="70" t="s">
        <v>10</v>
      </c>
      <c r="E83" s="145">
        <v>1388</v>
      </c>
      <c r="F83" s="145">
        <v>274</v>
      </c>
      <c r="G83" s="145">
        <f>F83*0.975153846153846</f>
        <v>267.19215384615381</v>
      </c>
      <c r="H83" s="75">
        <f t="shared" si="0"/>
        <v>-1120.8078461538462</v>
      </c>
    </row>
    <row r="84" spans="2:8" x14ac:dyDescent="0.25">
      <c r="B84" s="23">
        <v>45968</v>
      </c>
      <c r="C84" s="70" t="s">
        <v>388</v>
      </c>
      <c r="D84" s="70" t="s">
        <v>11</v>
      </c>
      <c r="E84" s="145">
        <v>176</v>
      </c>
      <c r="F84" s="145">
        <v>54</v>
      </c>
      <c r="G84" s="145">
        <v>54</v>
      </c>
      <c r="H84" s="75">
        <f t="shared" si="0"/>
        <v>-122</v>
      </c>
    </row>
    <row r="85" spans="2:8" x14ac:dyDescent="0.25">
      <c r="B85" s="23">
        <v>45968</v>
      </c>
      <c r="C85" s="70" t="s">
        <v>230</v>
      </c>
      <c r="D85" s="70" t="s">
        <v>11</v>
      </c>
      <c r="E85" s="145">
        <v>382</v>
      </c>
      <c r="F85" s="145">
        <v>120</v>
      </c>
      <c r="G85" s="145">
        <v>120</v>
      </c>
      <c r="H85" s="75">
        <f t="shared" si="0"/>
        <v>-262</v>
      </c>
    </row>
    <row r="86" spans="2:8" x14ac:dyDescent="0.25">
      <c r="B86" s="23">
        <v>45969</v>
      </c>
      <c r="C86" s="70" t="s">
        <v>251</v>
      </c>
      <c r="D86" s="70" t="s">
        <v>10</v>
      </c>
      <c r="E86" s="145">
        <v>0</v>
      </c>
      <c r="F86" s="145">
        <v>230</v>
      </c>
      <c r="G86" s="145">
        <f>F86*0.975153846153846</f>
        <v>224.2853846153846</v>
      </c>
      <c r="H86" s="75">
        <f t="shared" si="0"/>
        <v>224.2853846153846</v>
      </c>
    </row>
    <row r="87" spans="2:8" x14ac:dyDescent="0.25">
      <c r="B87" s="23">
        <v>45969</v>
      </c>
      <c r="C87" s="70" t="s">
        <v>321</v>
      </c>
      <c r="D87" s="70" t="s">
        <v>11</v>
      </c>
      <c r="E87" s="145">
        <f>127+172</f>
        <v>299</v>
      </c>
      <c r="F87" s="145">
        <v>88</v>
      </c>
      <c r="G87" s="145">
        <v>88</v>
      </c>
      <c r="H87" s="75">
        <f t="shared" si="0"/>
        <v>-211</v>
      </c>
    </row>
    <row r="88" spans="2:8" x14ac:dyDescent="0.25">
      <c r="B88" s="23">
        <v>45970</v>
      </c>
      <c r="C88" s="70" t="s">
        <v>399</v>
      </c>
      <c r="D88" s="70" t="s">
        <v>10</v>
      </c>
      <c r="E88" s="145">
        <v>0</v>
      </c>
      <c r="F88" s="145">
        <v>466</v>
      </c>
      <c r="G88" s="145">
        <f>F88*0.975153846153846</f>
        <v>454.42169230769224</v>
      </c>
      <c r="H88" s="75">
        <f t="shared" si="0"/>
        <v>454.42169230769224</v>
      </c>
    </row>
    <row r="89" spans="2:8" x14ac:dyDescent="0.25">
      <c r="B89" s="23">
        <v>45970</v>
      </c>
      <c r="C89" s="70" t="s">
        <v>252</v>
      </c>
      <c r="D89" s="70" t="s">
        <v>11</v>
      </c>
      <c r="E89" s="145">
        <v>279</v>
      </c>
      <c r="F89" s="145">
        <v>208</v>
      </c>
      <c r="G89" s="145">
        <f>F89*0.975153846153846</f>
        <v>202.83199999999997</v>
      </c>
      <c r="H89" s="75">
        <f t="shared" si="0"/>
        <v>-76.168000000000035</v>
      </c>
    </row>
    <row r="90" spans="2:8" x14ac:dyDescent="0.25">
      <c r="B90" s="23">
        <v>45970</v>
      </c>
      <c r="C90" s="70" t="s">
        <v>242</v>
      </c>
      <c r="D90" s="70" t="s">
        <v>11</v>
      </c>
      <c r="E90" s="145">
        <v>304</v>
      </c>
      <c r="F90" s="145">
        <v>225</v>
      </c>
      <c r="G90" s="145">
        <v>225</v>
      </c>
      <c r="H90" s="75">
        <f t="shared" si="0"/>
        <v>-79</v>
      </c>
    </row>
    <row r="91" spans="2:8" x14ac:dyDescent="0.25">
      <c r="B91" s="23">
        <v>45971</v>
      </c>
      <c r="C91" s="70" t="s">
        <v>325</v>
      </c>
      <c r="D91" s="70" t="s">
        <v>10</v>
      </c>
      <c r="E91" s="145">
        <v>0</v>
      </c>
      <c r="F91" s="145">
        <v>164</v>
      </c>
      <c r="G91" s="145">
        <f>F91*0.975153846153846</f>
        <v>159.92523076923075</v>
      </c>
      <c r="H91" s="75">
        <f t="shared" si="0"/>
        <v>159.92523076923075</v>
      </c>
    </row>
    <row r="92" spans="2:8" x14ac:dyDescent="0.25">
      <c r="B92" s="23">
        <v>45971</v>
      </c>
      <c r="C92" s="70" t="s">
        <v>383</v>
      </c>
      <c r="D92" s="70" t="s">
        <v>11</v>
      </c>
      <c r="E92" s="145">
        <v>208</v>
      </c>
      <c r="F92" s="145">
        <v>117</v>
      </c>
      <c r="G92" s="145">
        <f>F92*0.975153846153846</f>
        <v>114.09299999999999</v>
      </c>
      <c r="H92" s="75">
        <f t="shared" si="0"/>
        <v>-93.907000000000011</v>
      </c>
    </row>
    <row r="93" spans="2:8" x14ac:dyDescent="0.25">
      <c r="B93" s="23">
        <v>45971</v>
      </c>
      <c r="C93" s="70" t="s">
        <v>230</v>
      </c>
      <c r="D93" s="70" t="s">
        <v>11</v>
      </c>
      <c r="E93" s="145">
        <v>327</v>
      </c>
      <c r="F93" s="145">
        <v>120</v>
      </c>
      <c r="G93" s="145">
        <v>120</v>
      </c>
      <c r="H93" s="75">
        <f t="shared" si="0"/>
        <v>-207</v>
      </c>
    </row>
    <row r="94" spans="2:8" x14ac:dyDescent="0.25">
      <c r="B94" s="23">
        <v>45972</v>
      </c>
      <c r="C94" s="70" t="s">
        <v>387</v>
      </c>
      <c r="D94" s="70" t="s">
        <v>10</v>
      </c>
      <c r="E94" s="145">
        <v>0</v>
      </c>
      <c r="F94" s="145">
        <v>186</v>
      </c>
      <c r="G94" s="145">
        <f>F94*0.975153846153846</f>
        <v>181.37861538461536</v>
      </c>
      <c r="H94" s="75">
        <f t="shared" si="0"/>
        <v>181.37861538461536</v>
      </c>
    </row>
    <row r="95" spans="2:8" x14ac:dyDescent="0.25">
      <c r="B95" s="23">
        <v>45972</v>
      </c>
      <c r="C95" s="70" t="s">
        <v>170</v>
      </c>
      <c r="D95" s="70" t="s">
        <v>11</v>
      </c>
      <c r="E95" s="145">
        <v>64</v>
      </c>
      <c r="F95" s="145">
        <v>40</v>
      </c>
      <c r="G95" s="145">
        <v>40</v>
      </c>
      <c r="H95" s="75">
        <f t="shared" si="0"/>
        <v>-24</v>
      </c>
    </row>
    <row r="96" spans="2:8" x14ac:dyDescent="0.25">
      <c r="B96" s="23">
        <v>45973</v>
      </c>
      <c r="C96" s="70" t="s">
        <v>361</v>
      </c>
      <c r="D96" s="70" t="s">
        <v>10</v>
      </c>
      <c r="E96" s="145">
        <v>990</v>
      </c>
      <c r="F96" s="145">
        <v>246</v>
      </c>
      <c r="G96" s="145">
        <v>246</v>
      </c>
      <c r="H96" s="75">
        <f t="shared" si="0"/>
        <v>-744</v>
      </c>
    </row>
    <row r="97" spans="2:8" x14ac:dyDescent="0.25">
      <c r="B97" s="23">
        <v>45973</v>
      </c>
      <c r="C97" s="70" t="s">
        <v>361</v>
      </c>
      <c r="D97" s="70" t="s">
        <v>11</v>
      </c>
      <c r="E97" s="145">
        <v>1129</v>
      </c>
      <c r="F97" s="145">
        <v>96</v>
      </c>
      <c r="G97" s="145">
        <v>96</v>
      </c>
      <c r="H97" s="75">
        <f t="shared" si="0"/>
        <v>-1033</v>
      </c>
    </row>
    <row r="98" spans="2:8" x14ac:dyDescent="0.25">
      <c r="B98" s="23">
        <v>45973</v>
      </c>
      <c r="C98" s="70" t="s">
        <v>406</v>
      </c>
      <c r="D98" s="70" t="s">
        <v>11</v>
      </c>
      <c r="E98" s="145">
        <v>213</v>
      </c>
      <c r="F98" s="145">
        <v>0</v>
      </c>
      <c r="G98" s="145">
        <v>0</v>
      </c>
      <c r="H98" s="75">
        <f>G98-E98</f>
        <v>-213</v>
      </c>
    </row>
    <row r="99" spans="2:8" x14ac:dyDescent="0.25">
      <c r="B99" s="23">
        <v>45973</v>
      </c>
      <c r="C99" s="70" t="s">
        <v>242</v>
      </c>
      <c r="D99" s="70" t="s">
        <v>11</v>
      </c>
      <c r="E99" s="145">
        <v>348</v>
      </c>
      <c r="F99" s="145">
        <v>225</v>
      </c>
      <c r="G99" s="145">
        <v>225</v>
      </c>
      <c r="H99" s="75">
        <f>G99-E99</f>
        <v>-123</v>
      </c>
    </row>
    <row r="100" spans="2:8" x14ac:dyDescent="0.25">
      <c r="B100" s="23">
        <v>45974</v>
      </c>
      <c r="C100" s="70" t="s">
        <v>410</v>
      </c>
      <c r="D100" s="70" t="s">
        <v>10</v>
      </c>
      <c r="E100" s="145">
        <v>0</v>
      </c>
      <c r="F100" s="145">
        <v>294</v>
      </c>
      <c r="G100" s="145">
        <f>F100*0.975153846153846</f>
        <v>286.69523076923076</v>
      </c>
      <c r="H100" s="75">
        <f t="shared" ref="H100:H171" si="2">G100-E100</f>
        <v>286.69523076923076</v>
      </c>
    </row>
    <row r="101" spans="2:8" x14ac:dyDescent="0.25">
      <c r="B101" s="23">
        <v>45974</v>
      </c>
      <c r="C101" s="70" t="s">
        <v>360</v>
      </c>
      <c r="D101" s="70" t="s">
        <v>11</v>
      </c>
      <c r="E101" s="145">
        <f>187+160</f>
        <v>347</v>
      </c>
      <c r="F101" s="145">
        <v>50</v>
      </c>
      <c r="G101" s="145">
        <f>F101*0.975153846153846</f>
        <v>48.757692307692302</v>
      </c>
      <c r="H101" s="75">
        <f t="shared" si="2"/>
        <v>-298.24230769230769</v>
      </c>
    </row>
    <row r="102" spans="2:8" x14ac:dyDescent="0.25">
      <c r="B102" s="23">
        <v>45975</v>
      </c>
      <c r="C102" s="70" t="s">
        <v>372</v>
      </c>
      <c r="D102" s="70" t="s">
        <v>10</v>
      </c>
      <c r="E102" s="145">
        <v>0</v>
      </c>
      <c r="F102" s="145">
        <v>294</v>
      </c>
      <c r="G102" s="145">
        <f>F102*0.975153846153846</f>
        <v>286.69523076923076</v>
      </c>
      <c r="H102" s="75">
        <f t="shared" si="2"/>
        <v>286.69523076923076</v>
      </c>
    </row>
    <row r="103" spans="2:8" x14ac:dyDescent="0.25">
      <c r="B103" s="23">
        <v>45975</v>
      </c>
      <c r="C103" s="70" t="s">
        <v>413</v>
      </c>
      <c r="D103" s="70" t="s">
        <v>11</v>
      </c>
      <c r="E103" s="145">
        <f>434+240</f>
        <v>674</v>
      </c>
      <c r="F103" s="145">
        <v>385</v>
      </c>
      <c r="G103" s="145">
        <v>385</v>
      </c>
      <c r="H103" s="75">
        <f t="shared" si="2"/>
        <v>-289</v>
      </c>
    </row>
    <row r="104" spans="2:8" x14ac:dyDescent="0.25">
      <c r="B104" s="23">
        <v>45976</v>
      </c>
      <c r="C104" s="70" t="s">
        <v>360</v>
      </c>
      <c r="D104" s="70" t="s">
        <v>11</v>
      </c>
      <c r="E104" s="145">
        <v>151</v>
      </c>
      <c r="F104" s="145">
        <v>50</v>
      </c>
      <c r="G104" s="145">
        <f>F104*0.975153846153846</f>
        <v>48.757692307692302</v>
      </c>
      <c r="H104" s="75">
        <f t="shared" si="2"/>
        <v>-102.24230769230769</v>
      </c>
    </row>
    <row r="105" spans="2:8" x14ac:dyDescent="0.25">
      <c r="B105" s="23">
        <v>45979</v>
      </c>
      <c r="C105" s="70" t="s">
        <v>292</v>
      </c>
      <c r="D105" s="70" t="s">
        <v>10</v>
      </c>
      <c r="E105" s="145">
        <v>2192</v>
      </c>
      <c r="F105" s="145">
        <v>60</v>
      </c>
      <c r="G105" s="145">
        <f>F105*0.975153846153846</f>
        <v>58.509230769230761</v>
      </c>
      <c r="H105" s="75">
        <f t="shared" si="2"/>
        <v>-2133.4907692307693</v>
      </c>
    </row>
    <row r="106" spans="2:8" x14ac:dyDescent="0.25">
      <c r="B106" s="23">
        <v>45979</v>
      </c>
      <c r="C106" s="70" t="s">
        <v>296</v>
      </c>
      <c r="D106" s="70" t="s">
        <v>11</v>
      </c>
      <c r="E106" s="145">
        <v>232</v>
      </c>
      <c r="F106" s="145">
        <v>50</v>
      </c>
      <c r="G106" s="145">
        <v>50</v>
      </c>
      <c r="H106" s="75">
        <f t="shared" si="2"/>
        <v>-182</v>
      </c>
    </row>
    <row r="107" spans="2:8" x14ac:dyDescent="0.25">
      <c r="B107" s="23">
        <v>45980</v>
      </c>
      <c r="C107" s="70" t="s">
        <v>361</v>
      </c>
      <c r="D107" s="70" t="s">
        <v>10</v>
      </c>
      <c r="E107" s="145">
        <v>0</v>
      </c>
      <c r="F107" s="145">
        <v>246</v>
      </c>
      <c r="G107" s="145">
        <v>246</v>
      </c>
      <c r="H107" s="75">
        <f t="shared" si="2"/>
        <v>246</v>
      </c>
    </row>
    <row r="108" spans="2:8" x14ac:dyDescent="0.25">
      <c r="B108" s="23">
        <v>45980</v>
      </c>
      <c r="C108" s="70" t="s">
        <v>296</v>
      </c>
      <c r="D108" s="70" t="s">
        <v>11</v>
      </c>
      <c r="E108" s="145">
        <v>240</v>
      </c>
      <c r="F108" s="145">
        <v>50</v>
      </c>
      <c r="G108" s="145">
        <v>50</v>
      </c>
      <c r="H108" s="75">
        <f t="shared" si="2"/>
        <v>-190</v>
      </c>
    </row>
    <row r="109" spans="2:8" x14ac:dyDescent="0.25">
      <c r="B109" s="23">
        <v>45981</v>
      </c>
      <c r="C109" s="70" t="s">
        <v>428</v>
      </c>
      <c r="D109" s="70" t="s">
        <v>11</v>
      </c>
      <c r="E109" s="145">
        <f>185+80</f>
        <v>265</v>
      </c>
      <c r="F109" s="145">
        <v>74</v>
      </c>
      <c r="G109" s="145">
        <v>74</v>
      </c>
      <c r="H109" s="75">
        <f t="shared" si="2"/>
        <v>-191</v>
      </c>
    </row>
    <row r="110" spans="2:8" x14ac:dyDescent="0.25">
      <c r="B110" s="23">
        <v>45982</v>
      </c>
      <c r="C110" s="70" t="s">
        <v>383</v>
      </c>
      <c r="D110" s="70" t="s">
        <v>10</v>
      </c>
      <c r="E110" s="145">
        <v>0</v>
      </c>
      <c r="F110" s="145">
        <v>117</v>
      </c>
      <c r="G110" s="145">
        <f>F110*0.975153846153846</f>
        <v>114.09299999999999</v>
      </c>
      <c r="H110" s="75">
        <f t="shared" si="2"/>
        <v>114.09299999999999</v>
      </c>
    </row>
    <row r="111" spans="2:8" x14ac:dyDescent="0.25">
      <c r="B111" s="23">
        <v>45982</v>
      </c>
      <c r="C111" s="70" t="s">
        <v>429</v>
      </c>
      <c r="D111" s="70" t="s">
        <v>11</v>
      </c>
      <c r="E111" s="145">
        <f>100+185</f>
        <v>285</v>
      </c>
      <c r="F111" s="145">
        <v>104</v>
      </c>
      <c r="G111" s="145">
        <v>104</v>
      </c>
      <c r="H111" s="75">
        <f t="shared" si="2"/>
        <v>-181</v>
      </c>
    </row>
    <row r="112" spans="2:8" x14ac:dyDescent="0.25">
      <c r="B112" s="23">
        <v>45983</v>
      </c>
      <c r="C112" s="70" t="s">
        <v>430</v>
      </c>
      <c r="D112" s="70" t="s">
        <v>10</v>
      </c>
      <c r="E112" s="145">
        <v>0</v>
      </c>
      <c r="F112" s="145">
        <v>492</v>
      </c>
      <c r="G112" s="145">
        <f>F112*0.975153846153846</f>
        <v>479.77569230769222</v>
      </c>
      <c r="H112" s="75">
        <f t="shared" si="2"/>
        <v>479.77569230769222</v>
      </c>
    </row>
    <row r="113" spans="2:9" x14ac:dyDescent="0.25">
      <c r="B113" s="23">
        <v>45983</v>
      </c>
      <c r="C113" s="70" t="s">
        <v>432</v>
      </c>
      <c r="D113" s="70" t="s">
        <v>11</v>
      </c>
      <c r="E113" s="145">
        <f>73+154</f>
        <v>227</v>
      </c>
      <c r="F113" s="145">
        <v>84</v>
      </c>
      <c r="G113" s="145">
        <v>84</v>
      </c>
      <c r="H113" s="75">
        <f t="shared" si="2"/>
        <v>-143</v>
      </c>
    </row>
    <row r="114" spans="2:9" x14ac:dyDescent="0.25">
      <c r="B114" s="23">
        <v>45984</v>
      </c>
      <c r="C114" s="70" t="s">
        <v>433</v>
      </c>
      <c r="D114" s="70" t="s">
        <v>11</v>
      </c>
      <c r="E114" s="145">
        <f>110+209</f>
        <v>319</v>
      </c>
      <c r="F114" s="145">
        <v>104</v>
      </c>
      <c r="G114" s="145">
        <v>104</v>
      </c>
      <c r="H114" s="75">
        <f t="shared" si="2"/>
        <v>-215</v>
      </c>
    </row>
    <row r="115" spans="2:9" x14ac:dyDescent="0.25">
      <c r="B115" s="23">
        <v>45985</v>
      </c>
      <c r="C115" s="70" t="s">
        <v>81</v>
      </c>
      <c r="D115" s="70" t="s">
        <v>11</v>
      </c>
      <c r="E115" s="145">
        <v>117</v>
      </c>
      <c r="F115" s="145">
        <v>72</v>
      </c>
      <c r="G115" s="145">
        <v>72</v>
      </c>
      <c r="H115" s="75">
        <f t="shared" si="2"/>
        <v>-45</v>
      </c>
    </row>
    <row r="116" spans="2:9" x14ac:dyDescent="0.25">
      <c r="B116" s="23">
        <v>45985</v>
      </c>
      <c r="C116" s="70" t="s">
        <v>242</v>
      </c>
      <c r="D116" s="70" t="s">
        <v>11</v>
      </c>
      <c r="E116" s="145">
        <v>850</v>
      </c>
      <c r="F116" s="145">
        <v>225</v>
      </c>
      <c r="G116" s="145">
        <v>225</v>
      </c>
      <c r="H116" s="75">
        <f t="shared" si="2"/>
        <v>-625</v>
      </c>
    </row>
    <row r="117" spans="2:9" x14ac:dyDescent="0.25">
      <c r="B117" s="23">
        <v>45986</v>
      </c>
      <c r="C117" s="70" t="s">
        <v>436</v>
      </c>
      <c r="D117" s="70" t="s">
        <v>10</v>
      </c>
      <c r="E117" s="145">
        <v>532</v>
      </c>
      <c r="F117" s="145">
        <v>328</v>
      </c>
      <c r="G117" s="145">
        <f>F117*0.975153846153846</f>
        <v>319.8504615384615</v>
      </c>
      <c r="H117" s="75">
        <f t="shared" si="2"/>
        <v>-212.1495384615385</v>
      </c>
    </row>
    <row r="118" spans="2:9" x14ac:dyDescent="0.25">
      <c r="B118" s="23">
        <v>45986</v>
      </c>
      <c r="C118" s="70" t="s">
        <v>438</v>
      </c>
      <c r="D118" s="70" t="s">
        <v>11</v>
      </c>
      <c r="E118" s="145">
        <v>304</v>
      </c>
      <c r="F118" s="145">
        <v>190</v>
      </c>
      <c r="G118" s="145">
        <f>F118*0.975153846153846</f>
        <v>185.27923076923074</v>
      </c>
      <c r="H118" s="75">
        <f t="shared" si="2"/>
        <v>-118.72076923076926</v>
      </c>
    </row>
    <row r="119" spans="2:9" x14ac:dyDescent="0.25">
      <c r="B119" s="23">
        <v>45986</v>
      </c>
      <c r="C119" s="70" t="s">
        <v>437</v>
      </c>
      <c r="D119" s="70" t="s">
        <v>11</v>
      </c>
      <c r="E119" s="145">
        <v>0</v>
      </c>
      <c r="F119" s="145">
        <v>0</v>
      </c>
      <c r="G119" s="145">
        <f t="shared" ref="G119:G120" si="3">F119*0.975153846153846</f>
        <v>0</v>
      </c>
      <c r="H119" s="75">
        <f t="shared" si="2"/>
        <v>0</v>
      </c>
    </row>
    <row r="120" spans="2:9" x14ac:dyDescent="0.25">
      <c r="B120" s="23">
        <v>45987</v>
      </c>
      <c r="C120" s="70" t="s">
        <v>441</v>
      </c>
      <c r="D120" s="70" t="s">
        <v>11</v>
      </c>
      <c r="E120" s="145">
        <v>300</v>
      </c>
      <c r="F120" s="145">
        <v>244</v>
      </c>
      <c r="G120" s="145">
        <f t="shared" si="3"/>
        <v>237.93753846153842</v>
      </c>
      <c r="H120" s="75">
        <f t="shared" si="2"/>
        <v>-62.062461538461577</v>
      </c>
    </row>
    <row r="121" spans="2:9" x14ac:dyDescent="0.25">
      <c r="B121" s="23">
        <v>45987</v>
      </c>
      <c r="C121" s="70" t="s">
        <v>442</v>
      </c>
      <c r="D121" s="70" t="s">
        <v>11</v>
      </c>
      <c r="E121" s="145">
        <v>0</v>
      </c>
      <c r="F121" s="145">
        <v>0</v>
      </c>
      <c r="G121" s="145">
        <v>0</v>
      </c>
      <c r="H121" s="75">
        <f t="shared" si="2"/>
        <v>0</v>
      </c>
    </row>
    <row r="122" spans="2:9" x14ac:dyDescent="0.25">
      <c r="B122" s="23">
        <v>45988</v>
      </c>
      <c r="C122" s="70" t="s">
        <v>443</v>
      </c>
      <c r="D122" s="70" t="s">
        <v>11</v>
      </c>
      <c r="E122" s="145">
        <v>140</v>
      </c>
      <c r="F122" s="145">
        <v>120</v>
      </c>
      <c r="G122" s="145">
        <v>120</v>
      </c>
      <c r="H122" s="75">
        <f t="shared" si="2"/>
        <v>-20</v>
      </c>
    </row>
    <row r="123" spans="2:9" x14ac:dyDescent="0.25">
      <c r="B123" s="23">
        <v>45989</v>
      </c>
      <c r="C123" s="70" t="s">
        <v>296</v>
      </c>
      <c r="D123" s="70" t="s">
        <v>11</v>
      </c>
      <c r="E123" s="145">
        <v>119</v>
      </c>
      <c r="F123" s="145">
        <v>0</v>
      </c>
      <c r="G123" s="145">
        <v>0</v>
      </c>
      <c r="H123" s="75">
        <f t="shared" si="2"/>
        <v>-119</v>
      </c>
    </row>
    <row r="124" spans="2:9" x14ac:dyDescent="0.25">
      <c r="B124" s="23">
        <v>45994</v>
      </c>
      <c r="C124" s="70" t="s">
        <v>449</v>
      </c>
      <c r="D124" s="70" t="s">
        <v>11</v>
      </c>
      <c r="E124" s="145">
        <f>270+307</f>
        <v>577</v>
      </c>
      <c r="F124" s="145">
        <v>208</v>
      </c>
      <c r="G124" s="145">
        <v>208</v>
      </c>
      <c r="H124" s="75">
        <f t="shared" si="2"/>
        <v>-369</v>
      </c>
    </row>
    <row r="125" spans="2:9" x14ac:dyDescent="0.25">
      <c r="B125" s="23">
        <v>45995</v>
      </c>
      <c r="C125" s="70" t="s">
        <v>450</v>
      </c>
      <c r="D125" s="70" t="s">
        <v>11</v>
      </c>
      <c r="E125" s="145">
        <f>337+456</f>
        <v>793</v>
      </c>
      <c r="F125" s="145">
        <v>186</v>
      </c>
      <c r="G125" s="145">
        <f>F125*1.02792307692307</f>
        <v>191.19369230769104</v>
      </c>
      <c r="H125" s="75">
        <f t="shared" si="2"/>
        <v>-601.80630769230902</v>
      </c>
      <c r="I125" t="s">
        <v>4</v>
      </c>
    </row>
    <row r="126" spans="2:9" x14ac:dyDescent="0.25">
      <c r="B126" s="23">
        <v>45999</v>
      </c>
      <c r="C126" s="70" t="s">
        <v>242</v>
      </c>
      <c r="D126" s="70" t="s">
        <v>11</v>
      </c>
      <c r="E126" s="145">
        <v>240</v>
      </c>
      <c r="F126" s="145">
        <v>225</v>
      </c>
      <c r="G126" s="145">
        <v>225</v>
      </c>
      <c r="H126" s="75">
        <f t="shared" si="2"/>
        <v>-15</v>
      </c>
    </row>
    <row r="127" spans="2:9" x14ac:dyDescent="0.25">
      <c r="B127" s="23">
        <v>46001</v>
      </c>
      <c r="C127" s="70" t="s">
        <v>230</v>
      </c>
      <c r="D127" s="70" t="s">
        <v>11</v>
      </c>
      <c r="E127" s="145">
        <v>402</v>
      </c>
      <c r="F127" s="145">
        <v>240</v>
      </c>
      <c r="G127" s="145">
        <v>240</v>
      </c>
      <c r="H127" s="75">
        <f t="shared" si="2"/>
        <v>-162</v>
      </c>
    </row>
    <row r="128" spans="2:9" x14ac:dyDescent="0.25">
      <c r="B128" s="23">
        <v>46002</v>
      </c>
      <c r="C128" s="70" t="s">
        <v>302</v>
      </c>
      <c r="D128" s="70" t="s">
        <v>11</v>
      </c>
      <c r="E128" s="145">
        <v>0</v>
      </c>
      <c r="F128" s="145">
        <v>160</v>
      </c>
      <c r="G128" s="145">
        <v>160</v>
      </c>
      <c r="H128" s="75">
        <f t="shared" si="2"/>
        <v>160</v>
      </c>
    </row>
    <row r="129" spans="2:8" x14ac:dyDescent="0.25">
      <c r="B129" s="23">
        <v>46003</v>
      </c>
      <c r="C129" s="70" t="s">
        <v>379</v>
      </c>
      <c r="D129" s="70" t="s">
        <v>11</v>
      </c>
      <c r="E129" s="145">
        <v>428</v>
      </c>
      <c r="F129" s="145">
        <v>328</v>
      </c>
      <c r="G129" s="145">
        <f>F129*1.02792307692307</f>
        <v>337.15876923076701</v>
      </c>
      <c r="H129" s="75">
        <f t="shared" si="2"/>
        <v>-90.841230769232993</v>
      </c>
    </row>
    <row r="130" spans="2:8" x14ac:dyDescent="0.25">
      <c r="B130" s="23">
        <v>46004</v>
      </c>
      <c r="C130" s="70" t="s">
        <v>230</v>
      </c>
      <c r="D130" s="70" t="s">
        <v>11</v>
      </c>
      <c r="E130" s="145">
        <v>304</v>
      </c>
      <c r="F130" s="145">
        <v>120</v>
      </c>
      <c r="G130" s="145">
        <v>120</v>
      </c>
      <c r="H130" s="75">
        <f t="shared" si="2"/>
        <v>-184</v>
      </c>
    </row>
    <row r="131" spans="2:8" x14ac:dyDescent="0.25">
      <c r="B131" s="23">
        <v>46007</v>
      </c>
      <c r="C131" s="70" t="s">
        <v>242</v>
      </c>
      <c r="D131" s="70" t="s">
        <v>11</v>
      </c>
      <c r="E131" s="145">
        <v>254</v>
      </c>
      <c r="F131" s="145">
        <v>225</v>
      </c>
      <c r="G131" s="145">
        <v>225</v>
      </c>
      <c r="H131" s="75">
        <f t="shared" si="2"/>
        <v>-29</v>
      </c>
    </row>
    <row r="132" spans="2:8" x14ac:dyDescent="0.25">
      <c r="B132" s="23">
        <v>46009</v>
      </c>
      <c r="C132" s="70" t="s">
        <v>242</v>
      </c>
      <c r="D132" s="70" t="s">
        <v>11</v>
      </c>
      <c r="E132" s="145">
        <v>254</v>
      </c>
      <c r="F132" s="145">
        <v>225</v>
      </c>
      <c r="G132" s="145">
        <v>225</v>
      </c>
      <c r="H132" s="75">
        <f t="shared" si="2"/>
        <v>-29</v>
      </c>
    </row>
    <row r="133" spans="2:8" x14ac:dyDescent="0.25">
      <c r="B133" s="23">
        <v>46015</v>
      </c>
      <c r="C133" s="70" t="s">
        <v>242</v>
      </c>
      <c r="D133" s="70" t="s">
        <v>11</v>
      </c>
      <c r="E133" s="145">
        <v>239</v>
      </c>
      <c r="F133" s="145">
        <v>225</v>
      </c>
      <c r="G133" s="145">
        <v>225</v>
      </c>
      <c r="H133" s="75">
        <f t="shared" si="2"/>
        <v>-14</v>
      </c>
    </row>
    <row r="134" spans="2:8" x14ac:dyDescent="0.25">
      <c r="B134" s="23">
        <v>46018</v>
      </c>
      <c r="C134" s="70" t="s">
        <v>413</v>
      </c>
      <c r="D134" s="70" t="s">
        <v>11</v>
      </c>
      <c r="E134" s="145">
        <v>300</v>
      </c>
      <c r="F134" s="145">
        <v>345</v>
      </c>
      <c r="G134" s="145">
        <v>345</v>
      </c>
      <c r="H134" s="75">
        <f t="shared" si="2"/>
        <v>45</v>
      </c>
    </row>
    <row r="135" spans="2:8" x14ac:dyDescent="0.25">
      <c r="B135" s="23">
        <v>46020</v>
      </c>
      <c r="C135" s="70" t="s">
        <v>242</v>
      </c>
      <c r="D135" s="70" t="s">
        <v>11</v>
      </c>
      <c r="E135" s="145">
        <v>283</v>
      </c>
      <c r="F135" s="145">
        <v>225</v>
      </c>
      <c r="G135" s="145">
        <v>225</v>
      </c>
      <c r="H135" s="75">
        <f t="shared" si="2"/>
        <v>-58</v>
      </c>
    </row>
    <row r="136" spans="2:8" x14ac:dyDescent="0.25">
      <c r="B136" s="23">
        <v>46021</v>
      </c>
      <c r="C136" s="70" t="s">
        <v>230</v>
      </c>
      <c r="D136" s="70" t="s">
        <v>11</v>
      </c>
      <c r="E136" s="145">
        <v>133</v>
      </c>
      <c r="F136" s="145">
        <v>120</v>
      </c>
      <c r="G136" s="145">
        <v>120</v>
      </c>
      <c r="H136" s="75">
        <f t="shared" si="2"/>
        <v>-13</v>
      </c>
    </row>
    <row r="137" spans="2:8" x14ac:dyDescent="0.25">
      <c r="B137" s="23">
        <v>46025</v>
      </c>
      <c r="C137" s="70" t="s">
        <v>302</v>
      </c>
      <c r="D137" s="70" t="s">
        <v>11</v>
      </c>
      <c r="E137" s="145">
        <v>175</v>
      </c>
      <c r="F137" s="145">
        <v>160</v>
      </c>
      <c r="G137" s="145">
        <f>F137*1.07692307692307</f>
        <v>172.30769230769118</v>
      </c>
      <c r="H137" s="75">
        <f t="shared" si="2"/>
        <v>-2.6923076923088161</v>
      </c>
    </row>
    <row r="138" spans="2:8" x14ac:dyDescent="0.25">
      <c r="B138" s="23">
        <v>46032</v>
      </c>
      <c r="C138" s="70" t="s">
        <v>413</v>
      </c>
      <c r="D138" s="70" t="s">
        <v>11</v>
      </c>
      <c r="E138" s="145">
        <v>267</v>
      </c>
      <c r="F138" s="145">
        <v>345</v>
      </c>
      <c r="G138" s="145">
        <f t="shared" ref="G138:G142" si="4">F138*1.07692307692307</f>
        <v>371.53846153845916</v>
      </c>
      <c r="H138" s="75">
        <f t="shared" si="2"/>
        <v>104.53846153845916</v>
      </c>
    </row>
    <row r="139" spans="2:8" x14ac:dyDescent="0.25">
      <c r="B139" s="23">
        <v>46050</v>
      </c>
      <c r="C139" s="70" t="s">
        <v>413</v>
      </c>
      <c r="D139" s="70" t="s">
        <v>11</v>
      </c>
      <c r="E139" s="145">
        <v>285</v>
      </c>
      <c r="F139" s="145">
        <v>345</v>
      </c>
      <c r="G139" s="145">
        <f t="shared" si="4"/>
        <v>371.53846153845916</v>
      </c>
      <c r="H139" s="75">
        <f t="shared" si="2"/>
        <v>86.53846153845916</v>
      </c>
    </row>
    <row r="140" spans="2:8" x14ac:dyDescent="0.25">
      <c r="B140" s="23">
        <v>46066</v>
      </c>
      <c r="C140" s="70" t="s">
        <v>413</v>
      </c>
      <c r="D140" s="70" t="s">
        <v>11</v>
      </c>
      <c r="E140" s="145">
        <v>271</v>
      </c>
      <c r="F140" s="145">
        <v>345</v>
      </c>
      <c r="G140" s="145">
        <f t="shared" si="4"/>
        <v>371.53846153845916</v>
      </c>
      <c r="H140" s="75">
        <f t="shared" si="2"/>
        <v>100.53846153845916</v>
      </c>
    </row>
    <row r="141" spans="2:8" x14ac:dyDescent="0.25">
      <c r="B141" s="23">
        <v>46078</v>
      </c>
      <c r="C141" s="70" t="s">
        <v>413</v>
      </c>
      <c r="D141" s="70" t="s">
        <v>11</v>
      </c>
      <c r="E141" s="145">
        <v>273</v>
      </c>
      <c r="F141" s="145">
        <v>345</v>
      </c>
      <c r="G141" s="145">
        <f t="shared" si="4"/>
        <v>371.53846153845916</v>
      </c>
      <c r="H141" s="75">
        <f t="shared" si="2"/>
        <v>98.53846153845916</v>
      </c>
    </row>
    <row r="142" spans="2:8" x14ac:dyDescent="0.25">
      <c r="B142" s="23">
        <v>46093</v>
      </c>
      <c r="C142" s="70" t="s">
        <v>413</v>
      </c>
      <c r="D142" s="70" t="s">
        <v>11</v>
      </c>
      <c r="E142" s="145">
        <v>270</v>
      </c>
      <c r="F142" s="145">
        <v>345</v>
      </c>
      <c r="G142" s="145">
        <f t="shared" si="4"/>
        <v>371.53846153845916</v>
      </c>
      <c r="H142" s="75">
        <f t="shared" si="2"/>
        <v>101.53846153845916</v>
      </c>
    </row>
    <row r="143" spans="2:8" x14ac:dyDescent="0.25">
      <c r="B143" s="23">
        <v>46105</v>
      </c>
      <c r="C143" s="70" t="s">
        <v>413</v>
      </c>
      <c r="D143" s="70" t="s">
        <v>11</v>
      </c>
      <c r="E143" s="145">
        <v>270</v>
      </c>
      <c r="F143" s="145">
        <v>345</v>
      </c>
      <c r="G143" s="145">
        <f>F143*1.3076923076923</f>
        <v>451.15384615384346</v>
      </c>
      <c r="H143" s="75">
        <f t="shared" si="2"/>
        <v>181.15384615384346</v>
      </c>
    </row>
    <row r="144" spans="2:8" x14ac:dyDescent="0.25">
      <c r="B144" s="23">
        <v>46107</v>
      </c>
      <c r="C144" s="70" t="s">
        <v>242</v>
      </c>
      <c r="D144" s="70" t="s">
        <v>11</v>
      </c>
      <c r="E144" s="145">
        <v>280</v>
      </c>
      <c r="F144" s="145">
        <v>280</v>
      </c>
      <c r="G144" s="145">
        <f t="shared" ref="G144:G159" si="5">F144*1.3076923076923</f>
        <v>366.15384615384397</v>
      </c>
      <c r="H144" s="75">
        <f t="shared" si="2"/>
        <v>86.153846153843972</v>
      </c>
    </row>
    <row r="145" spans="2:9" x14ac:dyDescent="0.25">
      <c r="B145" s="23">
        <v>46108</v>
      </c>
      <c r="C145" s="70" t="s">
        <v>242</v>
      </c>
      <c r="D145" s="70" t="s">
        <v>11</v>
      </c>
      <c r="E145" s="145">
        <v>280</v>
      </c>
      <c r="F145" s="145">
        <v>280</v>
      </c>
      <c r="G145" s="145">
        <f t="shared" si="5"/>
        <v>366.15384615384397</v>
      </c>
      <c r="H145" s="75">
        <f t="shared" si="2"/>
        <v>86.153846153843972</v>
      </c>
    </row>
    <row r="146" spans="2:9" x14ac:dyDescent="0.25">
      <c r="B146" s="23">
        <v>46109</v>
      </c>
      <c r="C146" s="70" t="s">
        <v>242</v>
      </c>
      <c r="D146" s="70" t="s">
        <v>11</v>
      </c>
      <c r="E146" s="145">
        <v>280</v>
      </c>
      <c r="F146" s="145">
        <v>280</v>
      </c>
      <c r="G146" s="145">
        <f t="shared" si="5"/>
        <v>366.15384615384397</v>
      </c>
      <c r="H146" s="75">
        <f t="shared" si="2"/>
        <v>86.153846153843972</v>
      </c>
    </row>
    <row r="147" spans="2:9" x14ac:dyDescent="0.25">
      <c r="B147" s="23">
        <v>46110</v>
      </c>
      <c r="C147" s="70" t="s">
        <v>242</v>
      </c>
      <c r="D147" s="70" t="s">
        <v>11</v>
      </c>
      <c r="E147" s="145">
        <v>280</v>
      </c>
      <c r="F147" s="145">
        <v>280</v>
      </c>
      <c r="G147" s="145">
        <f t="shared" si="5"/>
        <v>366.15384615384397</v>
      </c>
      <c r="H147" s="75">
        <f t="shared" si="2"/>
        <v>86.153846153843972</v>
      </c>
    </row>
    <row r="148" spans="2:9" x14ac:dyDescent="0.25">
      <c r="B148" s="23">
        <v>46111</v>
      </c>
      <c r="C148" s="70" t="s">
        <v>242</v>
      </c>
      <c r="D148" s="70" t="s">
        <v>11</v>
      </c>
      <c r="E148" s="145">
        <v>280</v>
      </c>
      <c r="F148" s="145">
        <v>280</v>
      </c>
      <c r="G148" s="145">
        <f t="shared" si="5"/>
        <v>366.15384615384397</v>
      </c>
      <c r="H148" s="75">
        <f t="shared" si="2"/>
        <v>86.153846153843972</v>
      </c>
    </row>
    <row r="149" spans="2:9" x14ac:dyDescent="0.25">
      <c r="B149" s="23">
        <v>46137</v>
      </c>
      <c r="C149" s="70" t="s">
        <v>242</v>
      </c>
      <c r="D149" s="150" t="s">
        <v>11</v>
      </c>
      <c r="E149" s="145">
        <v>248</v>
      </c>
      <c r="F149" s="145">
        <v>225</v>
      </c>
      <c r="G149" s="145">
        <f t="shared" si="5"/>
        <v>294.23076923076746</v>
      </c>
      <c r="H149" s="75">
        <f t="shared" si="2"/>
        <v>46.230769230767464</v>
      </c>
    </row>
    <row r="150" spans="2:9" x14ac:dyDescent="0.25">
      <c r="B150" s="23">
        <v>46138</v>
      </c>
      <c r="C150" s="70" t="s">
        <v>230</v>
      </c>
      <c r="D150" s="150" t="s">
        <v>11</v>
      </c>
      <c r="E150" s="145">
        <v>130</v>
      </c>
      <c r="F150" s="145">
        <v>120</v>
      </c>
      <c r="G150" s="145">
        <f t="shared" si="5"/>
        <v>156.923076923076</v>
      </c>
      <c r="H150" s="75">
        <f t="shared" si="2"/>
        <v>26.923076923075996</v>
      </c>
    </row>
    <row r="151" spans="2:9" x14ac:dyDescent="0.25">
      <c r="B151" s="23">
        <v>46158</v>
      </c>
      <c r="C151" s="70" t="s">
        <v>489</v>
      </c>
      <c r="D151" s="150" t="s">
        <v>11</v>
      </c>
      <c r="E151" s="145">
        <v>75</v>
      </c>
      <c r="F151" s="145">
        <v>0</v>
      </c>
      <c r="G151" s="145">
        <f t="shared" si="5"/>
        <v>0</v>
      </c>
      <c r="H151" s="75">
        <f t="shared" si="2"/>
        <v>-75</v>
      </c>
    </row>
    <row r="152" spans="2:9" x14ac:dyDescent="0.25">
      <c r="B152" s="23">
        <v>46164</v>
      </c>
      <c r="C152" s="70" t="s">
        <v>242</v>
      </c>
      <c r="D152" s="150" t="s">
        <v>11</v>
      </c>
      <c r="E152" s="145">
        <v>404</v>
      </c>
      <c r="F152" s="145">
        <v>225</v>
      </c>
      <c r="G152" s="145">
        <f t="shared" si="5"/>
        <v>294.23076923076746</v>
      </c>
      <c r="H152" s="75">
        <f t="shared" si="2"/>
        <v>-109.76923076923254</v>
      </c>
    </row>
    <row r="153" spans="2:9" x14ac:dyDescent="0.25">
      <c r="B153" s="23">
        <v>46164</v>
      </c>
      <c r="C153" s="70" t="s">
        <v>491</v>
      </c>
      <c r="D153" s="150" t="s">
        <v>10</v>
      </c>
      <c r="E153" s="145">
        <v>180</v>
      </c>
      <c r="F153" s="145">
        <v>0</v>
      </c>
      <c r="G153" s="145">
        <f t="shared" si="5"/>
        <v>0</v>
      </c>
      <c r="H153" s="75">
        <f t="shared" si="2"/>
        <v>-180</v>
      </c>
    </row>
    <row r="154" spans="2:9" x14ac:dyDescent="0.25">
      <c r="B154" s="23">
        <v>46165</v>
      </c>
      <c r="C154" s="70" t="s">
        <v>312</v>
      </c>
      <c r="D154" s="150" t="s">
        <v>11</v>
      </c>
      <c r="E154" s="145">
        <v>108</v>
      </c>
      <c r="F154" s="145">
        <v>92</v>
      </c>
      <c r="G154" s="145">
        <f t="shared" si="5"/>
        <v>120.3076923076916</v>
      </c>
      <c r="H154" s="75">
        <f t="shared" si="2"/>
        <v>12.307692307691596</v>
      </c>
    </row>
    <row r="155" spans="2:9" x14ac:dyDescent="0.25">
      <c r="B155" s="23">
        <v>46167</v>
      </c>
      <c r="C155" s="70" t="s">
        <v>242</v>
      </c>
      <c r="D155" s="150" t="s">
        <v>11</v>
      </c>
      <c r="E155" s="145">
        <v>229</v>
      </c>
      <c r="F155" s="145">
        <v>225</v>
      </c>
      <c r="G155" s="145">
        <f t="shared" si="5"/>
        <v>294.23076923076746</v>
      </c>
      <c r="H155" s="75">
        <f t="shared" si="2"/>
        <v>65.230769230767464</v>
      </c>
    </row>
    <row r="156" spans="2:9" x14ac:dyDescent="0.25">
      <c r="B156" s="23">
        <v>46168</v>
      </c>
      <c r="C156" s="70" t="s">
        <v>429</v>
      </c>
      <c r="D156" s="150" t="s">
        <v>11</v>
      </c>
      <c r="E156" s="145">
        <v>134</v>
      </c>
      <c r="F156" s="145">
        <v>104</v>
      </c>
      <c r="G156" s="145">
        <f t="shared" si="5"/>
        <v>135.9999999999992</v>
      </c>
      <c r="H156" s="75">
        <f t="shared" si="2"/>
        <v>1.9999999999992042</v>
      </c>
    </row>
    <row r="157" spans="2:9" x14ac:dyDescent="0.25">
      <c r="B157" s="23">
        <v>46169</v>
      </c>
      <c r="C157" s="70" t="s">
        <v>494</v>
      </c>
      <c r="D157" s="150" t="s">
        <v>11</v>
      </c>
      <c r="E157" s="145">
        <v>292</v>
      </c>
      <c r="F157" s="145">
        <v>225</v>
      </c>
      <c r="G157" s="145">
        <f t="shared" si="5"/>
        <v>294.23076923076746</v>
      </c>
      <c r="H157" s="75">
        <f t="shared" si="2"/>
        <v>2.2307692307674643</v>
      </c>
      <c r="I157" t="s">
        <v>4</v>
      </c>
    </row>
    <row r="158" spans="2:9" x14ac:dyDescent="0.25">
      <c r="B158" s="23">
        <v>46170</v>
      </c>
      <c r="C158" s="70" t="s">
        <v>230</v>
      </c>
      <c r="D158" s="150" t="s">
        <v>11</v>
      </c>
      <c r="E158" s="145">
        <v>178</v>
      </c>
      <c r="F158" s="145">
        <v>120</v>
      </c>
      <c r="G158" s="145">
        <f t="shared" si="5"/>
        <v>156.923076923076</v>
      </c>
      <c r="H158" s="75">
        <f t="shared" si="2"/>
        <v>-21.076923076924004</v>
      </c>
    </row>
    <row r="159" spans="2:9" x14ac:dyDescent="0.25">
      <c r="B159" s="23">
        <v>46171</v>
      </c>
      <c r="C159" s="70" t="s">
        <v>495</v>
      </c>
      <c r="D159" s="150" t="s">
        <v>11</v>
      </c>
      <c r="E159" s="145">
        <v>308</v>
      </c>
      <c r="F159" s="145">
        <v>280</v>
      </c>
      <c r="G159" s="145">
        <f t="shared" si="5"/>
        <v>366.15384615384397</v>
      </c>
      <c r="H159" s="75">
        <f t="shared" si="2"/>
        <v>58.153846153843972</v>
      </c>
    </row>
    <row r="160" spans="2:9" x14ac:dyDescent="0.25">
      <c r="B160" s="124">
        <v>46167</v>
      </c>
      <c r="C160" s="70" t="s">
        <v>498</v>
      </c>
      <c r="D160" s="150" t="s">
        <v>10</v>
      </c>
      <c r="E160" s="145">
        <v>170</v>
      </c>
      <c r="F160" s="145">
        <v>0</v>
      </c>
      <c r="G160" s="145">
        <v>0</v>
      </c>
      <c r="H160" s="75">
        <f t="shared" si="2"/>
        <v>-170</v>
      </c>
    </row>
    <row r="161" spans="2:8" x14ac:dyDescent="0.25">
      <c r="B161" s="23">
        <v>46175</v>
      </c>
      <c r="C161" s="70" t="s">
        <v>499</v>
      </c>
      <c r="D161" s="150" t="s">
        <v>11</v>
      </c>
      <c r="E161" s="74">
        <v>337</v>
      </c>
      <c r="F161" s="145">
        <v>438</v>
      </c>
      <c r="G161" s="145">
        <f>F161*1.09476923076923</f>
        <v>479.50892307692277</v>
      </c>
      <c r="H161" s="75">
        <f t="shared" si="2"/>
        <v>142.50892307692277</v>
      </c>
    </row>
    <row r="162" spans="2:8" x14ac:dyDescent="0.25">
      <c r="B162" s="23">
        <v>46175</v>
      </c>
      <c r="C162" s="70" t="s">
        <v>500</v>
      </c>
      <c r="D162" s="150" t="s">
        <v>10</v>
      </c>
      <c r="E162" s="74">
        <v>231</v>
      </c>
      <c r="F162" s="145">
        <v>186</v>
      </c>
      <c r="G162" s="145">
        <f>F162*1.09476923076923</f>
        <v>203.6270769230768</v>
      </c>
      <c r="H162" s="75">
        <f t="shared" si="2"/>
        <v>-27.3729230769232</v>
      </c>
    </row>
    <row r="163" spans="2:8" x14ac:dyDescent="0.25">
      <c r="B163" s="23">
        <v>46176</v>
      </c>
      <c r="C163" s="24" t="s">
        <v>501</v>
      </c>
      <c r="D163" s="150" t="s">
        <v>11</v>
      </c>
      <c r="E163" s="74">
        <v>50</v>
      </c>
      <c r="F163" s="145">
        <v>36</v>
      </c>
      <c r="G163" s="145">
        <f t="shared" ref="G163:G171" si="6">F163*1.3076923076923</f>
        <v>47.076923076922796</v>
      </c>
      <c r="H163" s="75">
        <f t="shared" si="2"/>
        <v>-2.923076923077204</v>
      </c>
    </row>
    <row r="164" spans="2:8" x14ac:dyDescent="0.25">
      <c r="B164" s="23">
        <v>46176</v>
      </c>
      <c r="C164" s="70" t="s">
        <v>307</v>
      </c>
      <c r="D164" s="150" t="s">
        <v>10</v>
      </c>
      <c r="E164" s="145">
        <v>249</v>
      </c>
      <c r="F164" s="145">
        <v>210</v>
      </c>
      <c r="G164" s="145">
        <f>F164*1.09476923076923</f>
        <v>229.90153846153831</v>
      </c>
      <c r="H164" s="75">
        <f t="shared" si="2"/>
        <v>-19.098461538461692</v>
      </c>
    </row>
    <row r="165" spans="2:8" x14ac:dyDescent="0.25">
      <c r="B165" s="23">
        <v>46182</v>
      </c>
      <c r="C165" s="24" t="s">
        <v>312</v>
      </c>
      <c r="D165" s="150" t="s">
        <v>11</v>
      </c>
      <c r="E165" s="74">
        <v>119</v>
      </c>
      <c r="F165" s="145">
        <v>0</v>
      </c>
      <c r="G165" s="145">
        <f t="shared" si="6"/>
        <v>0</v>
      </c>
      <c r="H165" s="75">
        <f t="shared" si="2"/>
        <v>-119</v>
      </c>
    </row>
    <row r="166" spans="2:8" x14ac:dyDescent="0.25">
      <c r="B166" s="23">
        <v>46184</v>
      </c>
      <c r="C166" s="24" t="s">
        <v>312</v>
      </c>
      <c r="D166" s="150" t="s">
        <v>11</v>
      </c>
      <c r="E166" s="74">
        <v>116</v>
      </c>
      <c r="F166" s="145">
        <v>92</v>
      </c>
      <c r="G166" s="145">
        <f t="shared" si="6"/>
        <v>120.3076923076916</v>
      </c>
      <c r="H166" s="75">
        <f t="shared" si="2"/>
        <v>4.3076923076915961</v>
      </c>
    </row>
    <row r="167" spans="2:8" x14ac:dyDescent="0.25">
      <c r="B167" s="23">
        <v>46185</v>
      </c>
      <c r="C167" s="24" t="s">
        <v>505</v>
      </c>
      <c r="D167" s="150" t="s">
        <v>11</v>
      </c>
      <c r="E167" s="145">
        <v>200</v>
      </c>
      <c r="F167" s="145">
        <v>296</v>
      </c>
      <c r="G167" s="145">
        <f t="shared" si="6"/>
        <v>387.07692307692076</v>
      </c>
      <c r="H167" s="75">
        <f t="shared" si="2"/>
        <v>187.07692307692076</v>
      </c>
    </row>
    <row r="168" spans="2:8" x14ac:dyDescent="0.25">
      <c r="B168" s="23">
        <v>46185</v>
      </c>
      <c r="C168" s="70" t="s">
        <v>506</v>
      </c>
      <c r="D168" s="150" t="s">
        <v>10</v>
      </c>
      <c r="E168" s="145">
        <v>279</v>
      </c>
      <c r="F168" s="145">
        <v>248</v>
      </c>
      <c r="G168" s="145">
        <f>F168*1.09476923076923</f>
        <v>271.50276923076905</v>
      </c>
      <c r="H168" s="75">
        <f t="shared" si="2"/>
        <v>-7.4972307692309528</v>
      </c>
    </row>
    <row r="169" spans="2:8" x14ac:dyDescent="0.25">
      <c r="B169" s="23">
        <v>46188</v>
      </c>
      <c r="C169" s="70" t="s">
        <v>242</v>
      </c>
      <c r="D169" s="150" t="s">
        <v>11</v>
      </c>
      <c r="E169" s="74">
        <v>393</v>
      </c>
      <c r="F169" s="145">
        <v>225</v>
      </c>
      <c r="G169" s="145">
        <f t="shared" si="6"/>
        <v>294.23076923076746</v>
      </c>
      <c r="H169" s="75">
        <f t="shared" si="2"/>
        <v>-98.769230769232536</v>
      </c>
    </row>
    <row r="170" spans="2:8" x14ac:dyDescent="0.25">
      <c r="B170" s="23">
        <v>46188</v>
      </c>
      <c r="C170" s="70" t="s">
        <v>491</v>
      </c>
      <c r="D170" s="150" t="s">
        <v>10</v>
      </c>
      <c r="E170" s="145">
        <v>185</v>
      </c>
      <c r="F170" s="145">
        <v>0</v>
      </c>
      <c r="G170" s="145">
        <f t="shared" si="6"/>
        <v>0</v>
      </c>
      <c r="H170" s="75">
        <f t="shared" si="2"/>
        <v>-185</v>
      </c>
    </row>
    <row r="171" spans="2:8" x14ac:dyDescent="0.25">
      <c r="B171" s="23">
        <v>46189</v>
      </c>
      <c r="C171" s="24" t="s">
        <v>230</v>
      </c>
      <c r="D171" s="150" t="s">
        <v>11</v>
      </c>
      <c r="E171" s="74">
        <v>133</v>
      </c>
      <c r="F171" s="171">
        <v>120</v>
      </c>
      <c r="G171" s="145">
        <f t="shared" si="6"/>
        <v>156.923076923076</v>
      </c>
      <c r="H171" s="75">
        <f t="shared" si="2"/>
        <v>23.923076923075996</v>
      </c>
    </row>
    <row r="172" spans="2:8" x14ac:dyDescent="0.25">
      <c r="B172" s="23">
        <v>46189</v>
      </c>
      <c r="C172" s="24" t="s">
        <v>508</v>
      </c>
      <c r="D172" s="150" t="s">
        <v>10</v>
      </c>
      <c r="E172" s="145">
        <v>129</v>
      </c>
      <c r="F172" s="171">
        <v>0</v>
      </c>
      <c r="G172" s="145">
        <v>0</v>
      </c>
      <c r="H172" s="75">
        <f t="shared" ref="H172:H240" si="7">G172-E172</f>
        <v>-129</v>
      </c>
    </row>
    <row r="173" spans="2:8" x14ac:dyDescent="0.25">
      <c r="B173" s="23">
        <v>46190</v>
      </c>
      <c r="C173" s="91" t="s">
        <v>507</v>
      </c>
      <c r="D173" s="150" t="s">
        <v>11</v>
      </c>
      <c r="E173" s="74">
        <v>293</v>
      </c>
      <c r="F173" s="171">
        <v>220</v>
      </c>
      <c r="G173" s="145">
        <f>F173*1.09476923076923</f>
        <v>240.84923076923062</v>
      </c>
      <c r="H173" s="75">
        <f t="shared" si="7"/>
        <v>-52.150769230769384</v>
      </c>
    </row>
    <row r="174" spans="2:8" x14ac:dyDescent="0.25">
      <c r="B174" s="23">
        <v>46193</v>
      </c>
      <c r="C174" s="24" t="s">
        <v>242</v>
      </c>
      <c r="D174" s="150" t="s">
        <v>11</v>
      </c>
      <c r="E174" s="145">
        <v>244</v>
      </c>
      <c r="F174" s="171">
        <v>225</v>
      </c>
      <c r="G174" s="145">
        <f t="shared" ref="G174:G177" si="8">F174*1.3076923076923</f>
        <v>294.23076923076746</v>
      </c>
      <c r="H174" s="75">
        <f t="shared" si="7"/>
        <v>50.230769230767464</v>
      </c>
    </row>
    <row r="175" spans="2:8" x14ac:dyDescent="0.25">
      <c r="B175" s="23">
        <v>46196</v>
      </c>
      <c r="C175" s="91" t="s">
        <v>383</v>
      </c>
      <c r="D175" s="150" t="s">
        <v>11</v>
      </c>
      <c r="E175" s="74">
        <v>179</v>
      </c>
      <c r="F175" s="171">
        <v>179</v>
      </c>
      <c r="G175" s="145">
        <f>F175*1.09476923076923</f>
        <v>195.96369230769218</v>
      </c>
      <c r="H175" s="75">
        <f t="shared" si="7"/>
        <v>16.963692307692185</v>
      </c>
    </row>
    <row r="176" spans="2:8" x14ac:dyDescent="0.25">
      <c r="B176" s="23">
        <v>46196</v>
      </c>
      <c r="C176" s="91" t="s">
        <v>511</v>
      </c>
      <c r="D176" s="150" t="s">
        <v>11</v>
      </c>
      <c r="E176" s="74">
        <v>207</v>
      </c>
      <c r="F176" s="171">
        <v>238</v>
      </c>
      <c r="G176" s="145">
        <f t="shared" si="8"/>
        <v>311.23076923076741</v>
      </c>
      <c r="H176" s="75">
        <f t="shared" si="7"/>
        <v>104.23076923076741</v>
      </c>
    </row>
    <row r="177" spans="2:8" x14ac:dyDescent="0.25">
      <c r="B177" s="23">
        <v>46202</v>
      </c>
      <c r="C177" s="91" t="s">
        <v>242</v>
      </c>
      <c r="D177" s="150" t="s">
        <v>11</v>
      </c>
      <c r="E177" s="74">
        <v>244</v>
      </c>
      <c r="F177" s="171">
        <v>225</v>
      </c>
      <c r="G177" s="145">
        <f t="shared" si="8"/>
        <v>294.23076923076746</v>
      </c>
      <c r="H177" s="75">
        <f t="shared" si="7"/>
        <v>50.230769230767464</v>
      </c>
    </row>
    <row r="178" spans="2:8" x14ac:dyDescent="0.25">
      <c r="B178" s="23">
        <v>46204</v>
      </c>
      <c r="C178" s="91" t="s">
        <v>514</v>
      </c>
      <c r="D178" s="150" t="s">
        <v>11</v>
      </c>
      <c r="E178" s="145">
        <v>392</v>
      </c>
      <c r="F178" s="171">
        <v>320</v>
      </c>
      <c r="G178" s="145">
        <f>F178*1.09476923076923</f>
        <v>350.3261538461536</v>
      </c>
      <c r="H178" s="75">
        <f t="shared" si="7"/>
        <v>-41.673846153846398</v>
      </c>
    </row>
    <row r="179" spans="2:8" x14ac:dyDescent="0.25">
      <c r="B179" s="23">
        <v>46205</v>
      </c>
      <c r="C179" s="91" t="s">
        <v>515</v>
      </c>
      <c r="D179" s="150" t="s">
        <v>11</v>
      </c>
      <c r="E179" s="74">
        <v>240</v>
      </c>
      <c r="F179" s="171">
        <v>220</v>
      </c>
      <c r="G179" s="145">
        <f>F179*1.09476923076923</f>
        <v>240.84923076923062</v>
      </c>
      <c r="H179" s="75">
        <f t="shared" si="7"/>
        <v>0.84923076923061558</v>
      </c>
    </row>
    <row r="180" spans="2:8" x14ac:dyDescent="0.25">
      <c r="B180" s="23">
        <v>46206</v>
      </c>
      <c r="C180" s="91" t="s">
        <v>513</v>
      </c>
      <c r="D180" s="150" t="s">
        <v>11</v>
      </c>
      <c r="E180" s="74">
        <v>215</v>
      </c>
      <c r="F180" s="171">
        <v>304</v>
      </c>
      <c r="G180" s="145">
        <f t="shared" ref="G180:G183" si="9">F180*1.3076923076923</f>
        <v>397.53846153845916</v>
      </c>
      <c r="H180" s="75">
        <f t="shared" si="7"/>
        <v>182.53846153845916</v>
      </c>
    </row>
    <row r="181" spans="2:8" x14ac:dyDescent="0.25">
      <c r="B181" s="23">
        <v>46212</v>
      </c>
      <c r="C181" s="91" t="s">
        <v>519</v>
      </c>
      <c r="D181" s="150" t="s">
        <v>11</v>
      </c>
      <c r="E181" s="74">
        <v>216</v>
      </c>
      <c r="F181" s="171">
        <v>100</v>
      </c>
      <c r="G181" s="145">
        <f>F181*1.09476923076923</f>
        <v>109.476923076923</v>
      </c>
      <c r="H181" s="75">
        <f t="shared" si="7"/>
        <v>-106.523076923077</v>
      </c>
    </row>
    <row r="182" spans="2:8" x14ac:dyDescent="0.25">
      <c r="B182" s="23">
        <v>46213</v>
      </c>
      <c r="C182" s="91" t="s">
        <v>517</v>
      </c>
      <c r="D182" s="150" t="s">
        <v>11</v>
      </c>
      <c r="E182" s="74">
        <v>129</v>
      </c>
      <c r="F182" s="171">
        <v>31</v>
      </c>
      <c r="G182" s="145">
        <f t="shared" si="9"/>
        <v>40.538461538461299</v>
      </c>
      <c r="H182" s="75">
        <f t="shared" si="7"/>
        <v>-88.461538461538709</v>
      </c>
    </row>
    <row r="183" spans="2:8" x14ac:dyDescent="0.25">
      <c r="B183" s="23">
        <v>46219</v>
      </c>
      <c r="C183" s="91" t="s">
        <v>413</v>
      </c>
      <c r="D183" s="150" t="s">
        <v>11</v>
      </c>
      <c r="E183" s="74">
        <v>258</v>
      </c>
      <c r="F183" s="171">
        <v>345</v>
      </c>
      <c r="G183" s="145">
        <f t="shared" si="9"/>
        <v>451.15384615384346</v>
      </c>
      <c r="H183" s="75">
        <f t="shared" si="7"/>
        <v>193.15384615384346</v>
      </c>
    </row>
    <row r="184" spans="2:8" x14ac:dyDescent="0.25">
      <c r="B184" s="23">
        <v>46226</v>
      </c>
      <c r="C184" s="91" t="s">
        <v>521</v>
      </c>
      <c r="D184" s="150" t="s">
        <v>11</v>
      </c>
      <c r="E184" s="74">
        <v>286</v>
      </c>
      <c r="F184" s="171">
        <v>440</v>
      </c>
      <c r="G184" s="236"/>
      <c r="H184" s="75">
        <f t="shared" si="7"/>
        <v>-286</v>
      </c>
    </row>
    <row r="185" spans="2:8" x14ac:dyDescent="0.25">
      <c r="B185" s="23"/>
      <c r="C185" s="24"/>
      <c r="D185" s="70"/>
      <c r="E185" s="74"/>
      <c r="F185" s="171"/>
      <c r="G185" s="145"/>
      <c r="H185" s="75">
        <f t="shared" si="7"/>
        <v>0</v>
      </c>
    </row>
    <row r="186" spans="2:8" x14ac:dyDescent="0.25">
      <c r="B186" s="23"/>
      <c r="C186" s="24"/>
      <c r="D186" s="70"/>
      <c r="E186" s="74"/>
      <c r="F186" s="171"/>
      <c r="G186" s="145"/>
      <c r="H186" s="75">
        <f t="shared" si="7"/>
        <v>0</v>
      </c>
    </row>
    <row r="187" spans="2:8" x14ac:dyDescent="0.25">
      <c r="B187" s="23"/>
      <c r="C187" s="91"/>
      <c r="D187" s="150"/>
      <c r="E187" s="74"/>
      <c r="F187" s="171"/>
      <c r="G187" s="145"/>
      <c r="H187" s="75">
        <f t="shared" si="7"/>
        <v>0</v>
      </c>
    </row>
    <row r="188" spans="2:8" x14ac:dyDescent="0.25">
      <c r="B188" s="23"/>
      <c r="C188" s="91"/>
      <c r="D188" s="150"/>
      <c r="E188" s="74"/>
      <c r="F188" s="171"/>
      <c r="G188" s="171"/>
      <c r="H188" s="75">
        <f t="shared" si="7"/>
        <v>0</v>
      </c>
    </row>
    <row r="189" spans="2:8" x14ac:dyDescent="0.25">
      <c r="B189" s="23"/>
      <c r="C189" s="24"/>
      <c r="D189" s="70"/>
      <c r="E189" s="74"/>
      <c r="F189" s="171"/>
      <c r="G189" s="171"/>
      <c r="H189" s="75">
        <f t="shared" si="7"/>
        <v>0</v>
      </c>
    </row>
    <row r="190" spans="2:8" x14ac:dyDescent="0.25">
      <c r="B190" s="23"/>
      <c r="C190" s="24"/>
      <c r="D190" s="70"/>
      <c r="E190" s="145"/>
      <c r="F190" s="171"/>
      <c r="G190" s="171"/>
      <c r="H190" s="75">
        <f t="shared" si="7"/>
        <v>0</v>
      </c>
    </row>
    <row r="191" spans="2:8" x14ac:dyDescent="0.25">
      <c r="B191" s="23"/>
      <c r="C191" s="24"/>
      <c r="D191" s="70"/>
      <c r="E191" s="74"/>
      <c r="F191" s="171"/>
      <c r="G191" s="171"/>
      <c r="H191" s="75">
        <f t="shared" si="7"/>
        <v>0</v>
      </c>
    </row>
    <row r="192" spans="2:8" x14ac:dyDescent="0.25">
      <c r="B192" s="23"/>
      <c r="C192" s="24"/>
      <c r="D192" s="70"/>
      <c r="E192" s="145"/>
      <c r="F192" s="171"/>
      <c r="G192" s="171"/>
      <c r="H192" s="75">
        <f t="shared" si="7"/>
        <v>0</v>
      </c>
    </row>
    <row r="193" spans="2:18" x14ac:dyDescent="0.25">
      <c r="B193" s="23"/>
      <c r="C193" s="24"/>
      <c r="D193" s="70"/>
      <c r="E193" s="145"/>
      <c r="F193" s="171"/>
      <c r="G193" s="171"/>
      <c r="H193" s="75">
        <f t="shared" si="7"/>
        <v>0</v>
      </c>
    </row>
    <row r="194" spans="2:18" x14ac:dyDescent="0.25">
      <c r="B194" s="23"/>
      <c r="C194" s="24"/>
      <c r="D194" s="70"/>
      <c r="E194" s="74"/>
      <c r="F194" s="174"/>
      <c r="G194" s="171"/>
      <c r="H194" s="75">
        <f t="shared" si="7"/>
        <v>0</v>
      </c>
    </row>
    <row r="195" spans="2:18" x14ac:dyDescent="0.25">
      <c r="B195" s="23"/>
      <c r="C195" s="24"/>
      <c r="D195" s="70"/>
      <c r="E195" s="74"/>
      <c r="F195" s="174"/>
      <c r="G195" s="171"/>
      <c r="H195" s="75">
        <f t="shared" si="7"/>
        <v>0</v>
      </c>
    </row>
    <row r="196" spans="2:18" x14ac:dyDescent="0.25">
      <c r="B196" s="23"/>
      <c r="C196" s="24"/>
      <c r="D196" s="70"/>
      <c r="E196" s="74"/>
      <c r="F196" s="174"/>
      <c r="G196" s="171"/>
      <c r="H196" s="75">
        <f t="shared" si="7"/>
        <v>0</v>
      </c>
    </row>
    <row r="197" spans="2:18" x14ac:dyDescent="0.25">
      <c r="B197" s="23"/>
      <c r="C197" s="24"/>
      <c r="D197" s="70"/>
      <c r="E197" s="74"/>
      <c r="F197" s="171"/>
      <c r="G197" s="171"/>
      <c r="H197" s="75">
        <f t="shared" si="7"/>
        <v>0</v>
      </c>
    </row>
    <row r="198" spans="2:18" x14ac:dyDescent="0.25">
      <c r="B198" s="23"/>
      <c r="C198" s="24"/>
      <c r="D198" s="70"/>
      <c r="E198" s="145"/>
      <c r="F198" s="174"/>
      <c r="G198" s="171"/>
      <c r="H198" s="75">
        <f t="shared" si="7"/>
        <v>0</v>
      </c>
    </row>
    <row r="199" spans="2:18" x14ac:dyDescent="0.25">
      <c r="B199" s="23"/>
      <c r="C199" s="24"/>
      <c r="D199" s="70"/>
      <c r="E199" s="74"/>
      <c r="F199" s="174"/>
      <c r="G199" s="171"/>
      <c r="H199" s="75">
        <f t="shared" si="7"/>
        <v>0</v>
      </c>
      <c r="L199" t="s">
        <v>4</v>
      </c>
    </row>
    <row r="200" spans="2:18" x14ac:dyDescent="0.25">
      <c r="B200" s="23"/>
      <c r="C200" s="91"/>
      <c r="D200" s="70"/>
      <c r="E200" s="74"/>
      <c r="F200" s="171"/>
      <c r="G200" s="171"/>
      <c r="H200" s="75">
        <f t="shared" si="7"/>
        <v>0</v>
      </c>
      <c r="K200" t="s">
        <v>4</v>
      </c>
      <c r="R200" t="s">
        <v>4</v>
      </c>
    </row>
    <row r="201" spans="2:18" x14ac:dyDescent="0.25">
      <c r="B201" s="23"/>
      <c r="C201" s="24"/>
      <c r="D201" s="70"/>
      <c r="E201" s="74"/>
      <c r="F201" s="174"/>
      <c r="G201" s="171"/>
      <c r="H201" s="75">
        <f t="shared" si="7"/>
        <v>0</v>
      </c>
    </row>
    <row r="202" spans="2:18" x14ac:dyDescent="0.25">
      <c r="B202" s="23"/>
      <c r="C202" s="24"/>
      <c r="D202" s="70"/>
      <c r="E202" s="74"/>
      <c r="F202" s="174"/>
      <c r="G202" s="171"/>
      <c r="H202" s="75">
        <f t="shared" si="7"/>
        <v>0</v>
      </c>
    </row>
    <row r="203" spans="2:18" x14ac:dyDescent="0.25">
      <c r="B203" s="23"/>
      <c r="C203" s="91"/>
      <c r="D203" s="70"/>
      <c r="E203" s="74"/>
      <c r="F203" s="171"/>
      <c r="G203" s="171"/>
      <c r="H203" s="75">
        <f t="shared" si="7"/>
        <v>0</v>
      </c>
    </row>
    <row r="204" spans="2:18" x14ac:dyDescent="0.25">
      <c r="B204" s="23"/>
      <c r="C204" s="91"/>
      <c r="D204" s="70"/>
      <c r="E204" s="74"/>
      <c r="F204" s="171"/>
      <c r="G204" s="171"/>
      <c r="H204" s="75">
        <f t="shared" si="7"/>
        <v>0</v>
      </c>
    </row>
    <row r="205" spans="2:18" x14ac:dyDescent="0.25">
      <c r="B205" s="23"/>
      <c r="C205" s="91"/>
      <c r="D205" s="70"/>
      <c r="E205" s="74"/>
      <c r="F205" s="171"/>
      <c r="G205" s="171"/>
      <c r="H205" s="75">
        <f t="shared" si="7"/>
        <v>0</v>
      </c>
    </row>
    <row r="206" spans="2:18" x14ac:dyDescent="0.25">
      <c r="B206" s="23"/>
      <c r="C206" s="157"/>
      <c r="D206" s="70"/>
      <c r="E206" s="74"/>
      <c r="F206" s="174"/>
      <c r="G206" s="171"/>
      <c r="H206" s="75">
        <f t="shared" ref="H206:H226" si="10">G206-E206</f>
        <v>0</v>
      </c>
    </row>
    <row r="207" spans="2:18" x14ac:dyDescent="0.25">
      <c r="B207" s="23"/>
      <c r="C207" s="157"/>
      <c r="D207" s="70"/>
      <c r="E207" s="74"/>
      <c r="F207" s="171"/>
      <c r="G207" s="171"/>
      <c r="H207" s="75">
        <f t="shared" si="10"/>
        <v>0</v>
      </c>
      <c r="I207" t="s">
        <v>4</v>
      </c>
    </row>
    <row r="208" spans="2:18" x14ac:dyDescent="0.25">
      <c r="B208" s="23"/>
      <c r="C208" s="157"/>
      <c r="D208" s="70"/>
      <c r="E208" s="74"/>
      <c r="F208" s="174"/>
      <c r="G208" s="171"/>
      <c r="H208" s="75">
        <f t="shared" si="10"/>
        <v>0</v>
      </c>
    </row>
    <row r="209" spans="2:10" x14ac:dyDescent="0.25">
      <c r="B209" s="23"/>
      <c r="C209" s="91"/>
      <c r="D209" s="70"/>
      <c r="E209" s="74"/>
      <c r="F209" s="171"/>
      <c r="G209" s="171"/>
      <c r="H209" s="75">
        <f t="shared" si="10"/>
        <v>0</v>
      </c>
    </row>
    <row r="210" spans="2:10" x14ac:dyDescent="0.25">
      <c r="B210" s="23"/>
      <c r="C210" s="91"/>
      <c r="D210" s="70"/>
      <c r="E210" s="74"/>
      <c r="F210" s="174"/>
      <c r="G210" s="171"/>
      <c r="H210" s="75">
        <f t="shared" si="10"/>
        <v>0</v>
      </c>
    </row>
    <row r="211" spans="2:10" x14ac:dyDescent="0.25">
      <c r="B211" s="23"/>
      <c r="C211" s="91"/>
      <c r="D211" s="70"/>
      <c r="E211" s="74"/>
      <c r="F211" s="174"/>
      <c r="G211" s="174"/>
      <c r="H211" s="75">
        <f t="shared" si="10"/>
        <v>0</v>
      </c>
    </row>
    <row r="212" spans="2:10" x14ac:dyDescent="0.25">
      <c r="B212" s="23"/>
      <c r="C212" s="91"/>
      <c r="D212" s="70"/>
      <c r="E212" s="74"/>
      <c r="F212" s="174"/>
      <c r="G212" s="174"/>
      <c r="H212" s="75">
        <f t="shared" si="10"/>
        <v>0</v>
      </c>
    </row>
    <row r="213" spans="2:10" x14ac:dyDescent="0.25">
      <c r="B213" s="23"/>
      <c r="C213" s="91"/>
      <c r="D213" s="70"/>
      <c r="E213" s="74"/>
      <c r="F213" s="174"/>
      <c r="G213" s="174"/>
      <c r="H213" s="75">
        <f t="shared" si="10"/>
        <v>0</v>
      </c>
    </row>
    <row r="214" spans="2:10" x14ac:dyDescent="0.25">
      <c r="B214" s="23"/>
      <c r="C214" s="91"/>
      <c r="D214" s="70"/>
      <c r="E214" s="74"/>
      <c r="F214" s="174"/>
      <c r="G214" s="174"/>
      <c r="H214" s="75">
        <f t="shared" si="10"/>
        <v>0</v>
      </c>
    </row>
    <row r="215" spans="2:10" x14ac:dyDescent="0.25">
      <c r="B215" s="23"/>
      <c r="C215" s="91"/>
      <c r="D215" s="70"/>
      <c r="E215" s="145"/>
      <c r="F215" s="174"/>
      <c r="G215" s="174"/>
      <c r="H215" s="75">
        <f t="shared" si="10"/>
        <v>0</v>
      </c>
    </row>
    <row r="216" spans="2:10" x14ac:dyDescent="0.25">
      <c r="B216" s="23"/>
      <c r="C216" s="91"/>
      <c r="D216" s="70"/>
      <c r="E216" s="145"/>
      <c r="F216" s="174"/>
      <c r="G216" s="174"/>
      <c r="H216" s="75">
        <f t="shared" si="10"/>
        <v>0</v>
      </c>
      <c r="J216" t="s">
        <v>4</v>
      </c>
    </row>
    <row r="217" spans="2:10" x14ac:dyDescent="0.25">
      <c r="B217" s="23"/>
      <c r="C217" s="91"/>
      <c r="D217" s="70"/>
      <c r="E217" s="74"/>
      <c r="F217" s="174"/>
      <c r="G217" s="174"/>
      <c r="H217" s="75">
        <f t="shared" si="10"/>
        <v>0</v>
      </c>
    </row>
    <row r="218" spans="2:10" x14ac:dyDescent="0.25">
      <c r="B218" s="23"/>
      <c r="C218" s="91"/>
      <c r="D218" s="70"/>
      <c r="E218" s="74"/>
      <c r="F218" s="174"/>
      <c r="G218" s="174"/>
      <c r="H218" s="75">
        <f t="shared" si="10"/>
        <v>0</v>
      </c>
    </row>
    <row r="219" spans="2:10" x14ac:dyDescent="0.25">
      <c r="B219" s="23"/>
      <c r="C219" s="91"/>
      <c r="D219" s="70"/>
      <c r="E219" s="74"/>
      <c r="F219" s="174"/>
      <c r="G219" s="174"/>
      <c r="H219" s="75">
        <f t="shared" si="10"/>
        <v>0</v>
      </c>
    </row>
    <row r="220" spans="2:10" x14ac:dyDescent="0.25">
      <c r="B220" s="23"/>
      <c r="C220" s="91"/>
      <c r="D220" s="70"/>
      <c r="E220" s="145"/>
      <c r="F220" s="174"/>
      <c r="G220" s="174"/>
      <c r="H220" s="75">
        <f t="shared" si="10"/>
        <v>0</v>
      </c>
    </row>
    <row r="221" spans="2:10" x14ac:dyDescent="0.25">
      <c r="B221" s="23"/>
      <c r="C221" s="91"/>
      <c r="D221" s="70"/>
      <c r="E221" s="74"/>
      <c r="F221" s="174"/>
      <c r="G221" s="174"/>
      <c r="H221" s="75">
        <f t="shared" si="10"/>
        <v>0</v>
      </c>
    </row>
    <row r="222" spans="2:10" x14ac:dyDescent="0.25">
      <c r="B222" s="23"/>
      <c r="C222" s="91"/>
      <c r="D222" s="70"/>
      <c r="E222" s="145"/>
      <c r="F222" s="174"/>
      <c r="G222" s="174"/>
      <c r="H222" s="75">
        <f t="shared" si="10"/>
        <v>0</v>
      </c>
    </row>
    <row r="223" spans="2:10" x14ac:dyDescent="0.25">
      <c r="B223" s="23"/>
      <c r="C223" s="91"/>
      <c r="D223" s="70"/>
      <c r="E223" s="74"/>
      <c r="F223" s="174"/>
      <c r="G223" s="174"/>
      <c r="H223" s="75">
        <f t="shared" si="10"/>
        <v>0</v>
      </c>
    </row>
    <row r="224" spans="2:10" x14ac:dyDescent="0.25">
      <c r="B224" s="23"/>
      <c r="C224" s="91"/>
      <c r="D224" s="70"/>
      <c r="E224" s="74"/>
      <c r="F224" s="174"/>
      <c r="G224" s="174"/>
      <c r="H224" s="75">
        <f t="shared" si="10"/>
        <v>0</v>
      </c>
    </row>
    <row r="225" spans="2:8" x14ac:dyDescent="0.25">
      <c r="B225" s="23"/>
      <c r="C225" s="91"/>
      <c r="D225" s="70"/>
      <c r="E225" s="74"/>
      <c r="F225" s="174"/>
      <c r="G225" s="174"/>
      <c r="H225" s="75">
        <f t="shared" si="10"/>
        <v>0</v>
      </c>
    </row>
    <row r="226" spans="2:8" x14ac:dyDescent="0.25">
      <c r="B226" s="23"/>
      <c r="C226" s="91"/>
      <c r="D226" s="70"/>
      <c r="E226" s="74"/>
      <c r="F226" s="174"/>
      <c r="G226" s="174"/>
      <c r="H226" s="75">
        <f t="shared" si="10"/>
        <v>0</v>
      </c>
    </row>
    <row r="227" spans="2:8" x14ac:dyDescent="0.25">
      <c r="B227" s="23"/>
      <c r="C227" s="91"/>
      <c r="D227" s="70"/>
      <c r="E227" s="74"/>
      <c r="F227" s="174"/>
      <c r="G227" s="174"/>
      <c r="H227" s="75">
        <f t="shared" si="7"/>
        <v>0</v>
      </c>
    </row>
    <row r="228" spans="2:8" x14ac:dyDescent="0.25">
      <c r="B228" s="23"/>
      <c r="C228" s="91"/>
      <c r="D228" s="70"/>
      <c r="E228" s="74"/>
      <c r="F228" s="174"/>
      <c r="G228" s="145"/>
      <c r="H228" s="75">
        <f t="shared" si="7"/>
        <v>0</v>
      </c>
    </row>
    <row r="229" spans="2:8" x14ac:dyDescent="0.25">
      <c r="B229" s="23"/>
      <c r="C229" s="91"/>
      <c r="D229" s="70"/>
      <c r="E229" s="74"/>
      <c r="F229" s="174"/>
      <c r="G229" s="174"/>
      <c r="H229" s="75">
        <f t="shared" si="7"/>
        <v>0</v>
      </c>
    </row>
    <row r="230" spans="2:8" x14ac:dyDescent="0.25">
      <c r="B230" s="23"/>
      <c r="C230" s="70"/>
      <c r="D230" s="70"/>
      <c r="E230" s="74"/>
      <c r="F230" s="145"/>
      <c r="G230" s="174"/>
      <c r="H230" s="75">
        <f t="shared" si="7"/>
        <v>0</v>
      </c>
    </row>
    <row r="231" spans="2:8" x14ac:dyDescent="0.25">
      <c r="B231" s="23"/>
      <c r="C231" s="70"/>
      <c r="D231" s="70"/>
      <c r="E231" s="74"/>
      <c r="F231" s="145"/>
      <c r="G231" s="174"/>
      <c r="H231" s="75">
        <f t="shared" si="7"/>
        <v>0</v>
      </c>
    </row>
    <row r="232" spans="2:8" x14ac:dyDescent="0.25">
      <c r="B232" s="23"/>
      <c r="C232" s="91"/>
      <c r="D232" s="70"/>
      <c r="E232" s="74"/>
      <c r="F232" s="145"/>
      <c r="G232" s="174"/>
      <c r="H232" s="75">
        <f t="shared" si="7"/>
        <v>0</v>
      </c>
    </row>
    <row r="233" spans="2:8" x14ac:dyDescent="0.25">
      <c r="B233" s="23"/>
      <c r="C233" s="91"/>
      <c r="D233" s="70"/>
      <c r="E233" s="74"/>
      <c r="F233" s="145"/>
      <c r="G233" s="145"/>
      <c r="H233" s="75">
        <f t="shared" si="7"/>
        <v>0</v>
      </c>
    </row>
    <row r="234" spans="2:8" x14ac:dyDescent="0.25">
      <c r="B234" s="23"/>
      <c r="C234" s="91"/>
      <c r="D234" s="70"/>
      <c r="E234" s="74"/>
      <c r="F234" s="145"/>
      <c r="G234" s="145"/>
      <c r="H234" s="75">
        <f t="shared" si="7"/>
        <v>0</v>
      </c>
    </row>
    <row r="235" spans="2:8" x14ac:dyDescent="0.25">
      <c r="B235" s="23"/>
      <c r="C235" s="91"/>
      <c r="D235" s="70"/>
      <c r="E235" s="74"/>
      <c r="F235" s="145"/>
      <c r="G235" s="145"/>
      <c r="H235" s="75">
        <f t="shared" si="7"/>
        <v>0</v>
      </c>
    </row>
    <row r="236" spans="2:8" x14ac:dyDescent="0.25">
      <c r="B236" s="23"/>
      <c r="C236" s="91"/>
      <c r="D236" s="70"/>
      <c r="E236" s="74"/>
      <c r="F236" s="145"/>
      <c r="G236" s="145"/>
      <c r="H236" s="75">
        <f t="shared" si="7"/>
        <v>0</v>
      </c>
    </row>
    <row r="237" spans="2:8" x14ac:dyDescent="0.25">
      <c r="B237" s="23"/>
      <c r="C237" s="91"/>
      <c r="D237" s="70"/>
      <c r="E237" s="145"/>
      <c r="F237" s="145"/>
      <c r="G237" s="145"/>
      <c r="H237" s="75">
        <f t="shared" si="7"/>
        <v>0</v>
      </c>
    </row>
    <row r="238" spans="2:8" x14ac:dyDescent="0.25">
      <c r="B238" s="23"/>
      <c r="C238" s="91"/>
      <c r="D238" s="70"/>
      <c r="E238" s="145"/>
      <c r="F238" s="145"/>
      <c r="G238" s="145"/>
      <c r="H238" s="75">
        <f t="shared" si="7"/>
        <v>0</v>
      </c>
    </row>
    <row r="239" spans="2:8" x14ac:dyDescent="0.25">
      <c r="B239" s="23"/>
      <c r="C239" s="91"/>
      <c r="D239" s="70"/>
      <c r="E239" s="74"/>
      <c r="F239" s="145"/>
      <c r="G239" s="145"/>
      <c r="H239" s="75">
        <f t="shared" si="7"/>
        <v>0</v>
      </c>
    </row>
    <row r="240" spans="2:8" x14ac:dyDescent="0.25">
      <c r="B240" s="23"/>
      <c r="C240" s="91"/>
      <c r="D240" s="70"/>
      <c r="E240" s="145"/>
      <c r="F240" s="145"/>
      <c r="G240" s="145"/>
      <c r="H240" s="75">
        <f t="shared" si="7"/>
        <v>0</v>
      </c>
    </row>
    <row r="241" spans="1:8" x14ac:dyDescent="0.25">
      <c r="B241" s="23"/>
      <c r="C241" s="91"/>
      <c r="D241" s="70"/>
      <c r="E241" s="145"/>
      <c r="F241" s="145"/>
      <c r="G241" s="145"/>
      <c r="H241" s="75">
        <f t="shared" ref="H241:H247" si="11">G241-E241</f>
        <v>0</v>
      </c>
    </row>
    <row r="242" spans="1:8" x14ac:dyDescent="0.25">
      <c r="B242" s="23"/>
      <c r="C242" s="91"/>
      <c r="D242" s="70"/>
      <c r="E242" s="74"/>
      <c r="F242" s="145"/>
      <c r="G242" s="145"/>
      <c r="H242" s="75">
        <f t="shared" si="11"/>
        <v>0</v>
      </c>
    </row>
    <row r="243" spans="1:8" x14ac:dyDescent="0.25">
      <c r="B243" s="23"/>
      <c r="C243" s="91"/>
      <c r="D243" s="70"/>
      <c r="E243" s="74"/>
      <c r="F243" s="145"/>
      <c r="G243" s="145"/>
      <c r="H243" s="75">
        <f t="shared" si="11"/>
        <v>0</v>
      </c>
    </row>
    <row r="244" spans="1:8" x14ac:dyDescent="0.25">
      <c r="B244" s="23"/>
      <c r="C244" s="91"/>
      <c r="D244" s="70"/>
      <c r="E244" s="74"/>
      <c r="F244" s="145"/>
      <c r="G244" s="145"/>
      <c r="H244" s="75">
        <f t="shared" si="11"/>
        <v>0</v>
      </c>
    </row>
    <row r="245" spans="1:8" x14ac:dyDescent="0.25">
      <c r="B245" s="23"/>
      <c r="C245" s="91"/>
      <c r="D245" s="70"/>
      <c r="E245" s="74"/>
      <c r="F245" s="145"/>
      <c r="G245" s="145"/>
      <c r="H245" s="75">
        <f t="shared" si="11"/>
        <v>0</v>
      </c>
    </row>
    <row r="246" spans="1:8" x14ac:dyDescent="0.25">
      <c r="B246" s="23"/>
      <c r="C246" s="70"/>
      <c r="D246" s="70"/>
      <c r="E246" s="74"/>
      <c r="F246" s="145"/>
      <c r="G246" s="145"/>
      <c r="H246" s="75">
        <f t="shared" si="11"/>
        <v>0</v>
      </c>
    </row>
    <row r="247" spans="1:8" x14ac:dyDescent="0.25">
      <c r="B247" s="23"/>
      <c r="C247" s="70"/>
      <c r="D247" s="70"/>
      <c r="E247" s="74"/>
      <c r="F247" s="74"/>
      <c r="G247" s="145"/>
      <c r="H247" s="75">
        <f t="shared" si="11"/>
        <v>0</v>
      </c>
    </row>
    <row r="248" spans="1:8" x14ac:dyDescent="0.25">
      <c r="A248" s="144"/>
      <c r="B248" s="23"/>
      <c r="C248" s="70"/>
      <c r="D248" s="70"/>
      <c r="E248" s="74"/>
      <c r="F248" s="74"/>
      <c r="G248" s="145"/>
      <c r="H248" s="75">
        <f t="shared" ref="H248:H309" si="12">G248-E248</f>
        <v>0</v>
      </c>
    </row>
    <row r="249" spans="1:8" x14ac:dyDescent="0.25">
      <c r="B249" s="23"/>
      <c r="C249" s="70"/>
      <c r="D249" s="70"/>
      <c r="E249" s="130"/>
      <c r="F249" s="130"/>
      <c r="G249" s="174"/>
      <c r="H249" s="75">
        <f t="shared" si="12"/>
        <v>0</v>
      </c>
    </row>
    <row r="250" spans="1:8" x14ac:dyDescent="0.25">
      <c r="B250" s="23"/>
      <c r="C250" s="70"/>
      <c r="D250" s="70"/>
      <c r="E250" s="130"/>
      <c r="F250" s="130"/>
      <c r="G250" s="174"/>
      <c r="H250" s="75">
        <f t="shared" si="12"/>
        <v>0</v>
      </c>
    </row>
    <row r="251" spans="1:8" x14ac:dyDescent="0.25">
      <c r="A251" s="144"/>
      <c r="B251" s="23"/>
      <c r="C251" s="70"/>
      <c r="D251" s="70"/>
      <c r="E251" s="130"/>
      <c r="F251" s="130"/>
      <c r="G251" s="174"/>
      <c r="H251" s="75">
        <f t="shared" si="12"/>
        <v>0</v>
      </c>
    </row>
    <row r="252" spans="1:8" x14ac:dyDescent="0.25">
      <c r="A252" s="144"/>
      <c r="B252" s="23"/>
      <c r="C252" s="70"/>
      <c r="D252" s="70"/>
      <c r="E252" s="130"/>
      <c r="F252" s="130"/>
      <c r="G252" s="145"/>
      <c r="H252" s="75">
        <f t="shared" si="12"/>
        <v>0</v>
      </c>
    </row>
    <row r="253" spans="1:8" x14ac:dyDescent="0.25">
      <c r="A253" s="144"/>
      <c r="B253" s="23"/>
      <c r="C253" s="70"/>
      <c r="D253" s="70"/>
      <c r="E253" s="74"/>
      <c r="F253" s="74"/>
      <c r="G253" s="145"/>
      <c r="H253" s="75">
        <f t="shared" si="12"/>
        <v>0</v>
      </c>
    </row>
    <row r="254" spans="1:8" x14ac:dyDescent="0.25">
      <c r="A254" s="144"/>
      <c r="B254" s="23"/>
      <c r="C254" s="70"/>
      <c r="D254" s="70"/>
      <c r="E254" s="74"/>
      <c r="F254" s="130"/>
      <c r="G254" s="174"/>
      <c r="H254" s="75">
        <f t="shared" si="12"/>
        <v>0</v>
      </c>
    </row>
    <row r="255" spans="1:8" x14ac:dyDescent="0.25">
      <c r="B255" s="23"/>
      <c r="C255" s="70"/>
      <c r="D255" s="70"/>
      <c r="E255" s="74"/>
      <c r="F255" s="174"/>
      <c r="G255" s="145"/>
      <c r="H255" s="75">
        <f t="shared" si="12"/>
        <v>0</v>
      </c>
    </row>
    <row r="256" spans="1:8" x14ac:dyDescent="0.25">
      <c r="B256" s="23"/>
      <c r="C256" s="70"/>
      <c r="D256" s="150"/>
      <c r="E256" s="74"/>
      <c r="F256" s="130"/>
      <c r="G256" s="145"/>
      <c r="H256" s="75">
        <f t="shared" si="12"/>
        <v>0</v>
      </c>
    </row>
    <row r="257" spans="2:19" x14ac:dyDescent="0.25">
      <c r="B257" s="23"/>
      <c r="C257" s="70"/>
      <c r="D257" s="150"/>
      <c r="E257" s="74"/>
      <c r="F257" s="130"/>
      <c r="G257" s="145"/>
      <c r="H257" s="75">
        <f t="shared" si="12"/>
        <v>0</v>
      </c>
      <c r="S257" t="s">
        <v>4</v>
      </c>
    </row>
    <row r="258" spans="2:19" x14ac:dyDescent="0.25">
      <c r="B258" s="23"/>
      <c r="C258" s="70"/>
      <c r="D258" s="150"/>
      <c r="E258" s="74"/>
      <c r="F258" s="130"/>
      <c r="G258" s="145"/>
      <c r="H258" s="75">
        <f t="shared" si="12"/>
        <v>0</v>
      </c>
    </row>
    <row r="259" spans="2:19" x14ac:dyDescent="0.25">
      <c r="B259" s="23"/>
      <c r="C259" s="70"/>
      <c r="D259" s="150"/>
      <c r="E259" s="74"/>
      <c r="F259" s="130"/>
      <c r="G259" s="145"/>
      <c r="H259" s="75">
        <f t="shared" si="12"/>
        <v>0</v>
      </c>
    </row>
    <row r="260" spans="2:19" x14ac:dyDescent="0.25">
      <c r="B260" s="23"/>
      <c r="C260" s="70"/>
      <c r="D260" s="150"/>
      <c r="E260" s="74"/>
      <c r="F260" s="130"/>
      <c r="G260" s="145"/>
      <c r="H260" s="75">
        <f t="shared" si="12"/>
        <v>0</v>
      </c>
    </row>
    <row r="261" spans="2:19" x14ac:dyDescent="0.25">
      <c r="B261" s="23"/>
      <c r="C261" s="70"/>
      <c r="D261" s="150"/>
      <c r="E261" s="74"/>
      <c r="F261" s="130"/>
      <c r="G261" s="145"/>
      <c r="H261" s="75">
        <f t="shared" si="12"/>
        <v>0</v>
      </c>
    </row>
    <row r="262" spans="2:19" x14ac:dyDescent="0.25">
      <c r="B262" s="23"/>
      <c r="C262" s="91"/>
      <c r="D262" s="150"/>
      <c r="E262" s="74"/>
      <c r="F262" s="130"/>
      <c r="G262" s="145"/>
      <c r="H262" s="75">
        <f t="shared" si="12"/>
        <v>0</v>
      </c>
    </row>
    <row r="263" spans="2:19" x14ac:dyDescent="0.25">
      <c r="B263" s="23"/>
      <c r="C263" s="91"/>
      <c r="D263" s="150"/>
      <c r="E263" s="74"/>
      <c r="F263" s="174"/>
      <c r="G263" s="145"/>
      <c r="H263" s="75">
        <f t="shared" si="12"/>
        <v>0</v>
      </c>
    </row>
    <row r="264" spans="2:19" x14ac:dyDescent="0.25">
      <c r="B264" s="23"/>
      <c r="C264" s="91"/>
      <c r="D264" s="150"/>
      <c r="E264" s="74"/>
      <c r="F264" s="174"/>
      <c r="G264" s="145"/>
      <c r="H264" s="75">
        <f t="shared" si="12"/>
        <v>0</v>
      </c>
    </row>
    <row r="265" spans="2:19" x14ac:dyDescent="0.25">
      <c r="B265" s="23"/>
      <c r="C265" s="91"/>
      <c r="D265" s="150"/>
      <c r="E265" s="74"/>
      <c r="F265" s="174"/>
      <c r="G265" s="145"/>
      <c r="H265" s="75">
        <f t="shared" si="12"/>
        <v>0</v>
      </c>
      <c r="I265" t="s">
        <v>4</v>
      </c>
    </row>
    <row r="266" spans="2:19" x14ac:dyDescent="0.25">
      <c r="B266" s="23"/>
      <c r="C266" s="91"/>
      <c r="D266" s="150"/>
      <c r="E266" s="145"/>
      <c r="F266" s="174"/>
      <c r="G266" s="145"/>
      <c r="H266" s="75">
        <f t="shared" si="12"/>
        <v>0</v>
      </c>
    </row>
    <row r="267" spans="2:19" x14ac:dyDescent="0.25">
      <c r="B267" s="23"/>
      <c r="C267" s="70"/>
      <c r="D267" s="150"/>
      <c r="E267" s="145"/>
      <c r="F267" s="145"/>
      <c r="G267" s="145"/>
      <c r="H267" s="75">
        <f t="shared" si="12"/>
        <v>0</v>
      </c>
    </row>
    <row r="268" spans="2:19" x14ac:dyDescent="0.25">
      <c r="B268" s="23"/>
      <c r="C268" s="91"/>
      <c r="D268" s="150"/>
      <c r="E268" s="74"/>
      <c r="F268" s="174"/>
      <c r="G268" s="145"/>
      <c r="H268" s="75">
        <f t="shared" si="12"/>
        <v>0</v>
      </c>
    </row>
    <row r="269" spans="2:19" x14ac:dyDescent="0.25">
      <c r="B269" s="23"/>
      <c r="C269" s="91"/>
      <c r="D269" s="150"/>
      <c r="E269" s="74"/>
      <c r="F269" s="174"/>
      <c r="G269" s="145"/>
      <c r="H269" s="75">
        <f t="shared" si="12"/>
        <v>0</v>
      </c>
    </row>
    <row r="270" spans="2:19" x14ac:dyDescent="0.25">
      <c r="B270" s="23"/>
      <c r="C270" s="91"/>
      <c r="D270" s="150"/>
      <c r="E270" s="74"/>
      <c r="F270" s="174"/>
      <c r="G270" s="145"/>
      <c r="H270" s="75">
        <f t="shared" si="12"/>
        <v>0</v>
      </c>
    </row>
    <row r="271" spans="2:19" x14ac:dyDescent="0.25">
      <c r="B271" s="23"/>
      <c r="C271" s="91"/>
      <c r="D271" s="150"/>
      <c r="E271" s="145"/>
      <c r="F271" s="174"/>
      <c r="G271" s="145"/>
      <c r="H271" s="75">
        <f t="shared" si="12"/>
        <v>0</v>
      </c>
    </row>
    <row r="272" spans="2:19" x14ac:dyDescent="0.25">
      <c r="B272" s="23"/>
      <c r="C272" s="70"/>
      <c r="D272" s="150"/>
      <c r="E272" s="145"/>
      <c r="F272" s="174"/>
      <c r="G272" s="145"/>
      <c r="H272" s="75">
        <f t="shared" si="12"/>
        <v>0</v>
      </c>
    </row>
    <row r="273" spans="2:8" x14ac:dyDescent="0.25">
      <c r="B273" s="23"/>
      <c r="C273" s="91"/>
      <c r="D273" s="150"/>
      <c r="E273" s="74"/>
      <c r="F273" s="130"/>
      <c r="G273" s="145"/>
      <c r="H273" s="75">
        <f>G273-E273</f>
        <v>0</v>
      </c>
    </row>
    <row r="274" spans="2:8" x14ac:dyDescent="0.25">
      <c r="B274" s="23"/>
      <c r="C274" s="91"/>
      <c r="D274" s="150"/>
      <c r="E274" s="74"/>
      <c r="F274" s="130"/>
      <c r="G274" s="145"/>
      <c r="H274" s="75">
        <f t="shared" si="12"/>
        <v>0</v>
      </c>
    </row>
    <row r="275" spans="2:8" x14ac:dyDescent="0.25">
      <c r="B275" s="23"/>
      <c r="C275" s="91"/>
      <c r="D275" s="150"/>
      <c r="E275" s="74"/>
      <c r="F275" s="130"/>
      <c r="G275" s="145"/>
      <c r="H275" s="75">
        <f t="shared" si="12"/>
        <v>0</v>
      </c>
    </row>
    <row r="276" spans="2:8" x14ac:dyDescent="0.25">
      <c r="B276" s="23"/>
      <c r="C276" s="91"/>
      <c r="D276" s="150"/>
      <c r="E276" s="74"/>
      <c r="F276" s="130"/>
      <c r="G276" s="145"/>
      <c r="H276" s="75">
        <f t="shared" si="12"/>
        <v>0</v>
      </c>
    </row>
    <row r="277" spans="2:8" x14ac:dyDescent="0.25">
      <c r="B277" s="124"/>
      <c r="C277" s="91"/>
      <c r="D277" s="150"/>
      <c r="E277" s="74"/>
      <c r="F277" s="174"/>
      <c r="G277" s="145"/>
      <c r="H277" s="75">
        <f t="shared" si="12"/>
        <v>0</v>
      </c>
    </row>
    <row r="278" spans="2:8" x14ac:dyDescent="0.25">
      <c r="B278" s="124"/>
      <c r="C278" s="91"/>
      <c r="D278" s="150"/>
      <c r="E278" s="74"/>
      <c r="F278" s="174"/>
      <c r="G278" s="145"/>
      <c r="H278" s="75">
        <f t="shared" si="12"/>
        <v>0</v>
      </c>
    </row>
    <row r="279" spans="2:8" x14ac:dyDescent="0.25">
      <c r="B279" s="124"/>
      <c r="C279" s="91"/>
      <c r="D279" s="150"/>
      <c r="E279" s="74"/>
      <c r="F279" s="174"/>
      <c r="G279" s="145"/>
      <c r="H279" s="75">
        <f t="shared" si="12"/>
        <v>0</v>
      </c>
    </row>
    <row r="280" spans="2:8" x14ac:dyDescent="0.25">
      <c r="B280" s="124"/>
      <c r="C280" s="91"/>
      <c r="D280" s="150"/>
      <c r="E280" s="74"/>
      <c r="F280" s="174"/>
      <c r="G280" s="145"/>
      <c r="H280" s="75">
        <f t="shared" si="12"/>
        <v>0</v>
      </c>
    </row>
    <row r="281" spans="2:8" x14ac:dyDescent="0.25">
      <c r="B281" s="124"/>
      <c r="C281" s="91"/>
      <c r="D281" s="150"/>
      <c r="E281" s="74"/>
      <c r="F281" s="174"/>
      <c r="G281" s="145"/>
      <c r="H281" s="75">
        <f t="shared" si="12"/>
        <v>0</v>
      </c>
    </row>
    <row r="282" spans="2:8" x14ac:dyDescent="0.25">
      <c r="B282" s="124"/>
      <c r="C282" s="91"/>
      <c r="D282" s="150"/>
      <c r="E282" s="74"/>
      <c r="F282" s="130"/>
      <c r="G282" s="145"/>
      <c r="H282" s="75">
        <f t="shared" si="12"/>
        <v>0</v>
      </c>
    </row>
    <row r="283" spans="2:8" x14ac:dyDescent="0.25">
      <c r="B283" s="124"/>
      <c r="C283" s="91"/>
      <c r="D283" s="150"/>
      <c r="E283" s="74"/>
      <c r="F283" s="130"/>
      <c r="G283" s="145"/>
      <c r="H283" s="75">
        <f t="shared" si="12"/>
        <v>0</v>
      </c>
    </row>
    <row r="284" spans="2:8" x14ac:dyDescent="0.25">
      <c r="B284" s="124"/>
      <c r="C284" s="91"/>
      <c r="D284" s="150"/>
      <c r="E284" s="74"/>
      <c r="F284" s="130"/>
      <c r="G284" s="145"/>
      <c r="H284" s="75">
        <f t="shared" si="12"/>
        <v>0</v>
      </c>
    </row>
    <row r="285" spans="2:8" x14ac:dyDescent="0.25">
      <c r="B285" s="124"/>
      <c r="C285" s="91"/>
      <c r="D285" s="150"/>
      <c r="E285" s="74"/>
      <c r="F285" s="130"/>
      <c r="G285" s="145"/>
      <c r="H285" s="75">
        <f t="shared" si="12"/>
        <v>0</v>
      </c>
    </row>
    <row r="286" spans="2:8" x14ac:dyDescent="0.25">
      <c r="B286" s="124"/>
      <c r="C286" s="91"/>
      <c r="D286" s="150"/>
      <c r="E286" s="74"/>
      <c r="F286" s="130"/>
      <c r="G286" s="145"/>
      <c r="H286" s="75">
        <f t="shared" si="12"/>
        <v>0</v>
      </c>
    </row>
    <row r="287" spans="2:8" x14ac:dyDescent="0.25">
      <c r="B287" s="124"/>
      <c r="C287" s="91"/>
      <c r="D287" s="150"/>
      <c r="E287" s="74"/>
      <c r="F287" s="130"/>
      <c r="G287" s="145"/>
      <c r="H287" s="75">
        <f t="shared" si="12"/>
        <v>0</v>
      </c>
    </row>
    <row r="288" spans="2:8" x14ac:dyDescent="0.25">
      <c r="B288" s="124"/>
      <c r="C288" s="91"/>
      <c r="D288" s="150"/>
      <c r="E288" s="74"/>
      <c r="F288" s="130"/>
      <c r="G288" s="145"/>
      <c r="H288" s="75">
        <f t="shared" si="12"/>
        <v>0</v>
      </c>
    </row>
    <row r="289" spans="2:8" x14ac:dyDescent="0.25">
      <c r="B289" s="124"/>
      <c r="C289" s="70"/>
      <c r="D289" s="150"/>
      <c r="E289" s="74"/>
      <c r="F289" s="74"/>
      <c r="G289" s="74"/>
      <c r="H289" s="75">
        <f t="shared" si="12"/>
        <v>0</v>
      </c>
    </row>
    <row r="290" spans="2:8" x14ac:dyDescent="0.25">
      <c r="B290" s="124"/>
      <c r="C290" s="70"/>
      <c r="D290" s="150"/>
      <c r="E290" s="74"/>
      <c r="F290" s="74"/>
      <c r="G290" s="74"/>
      <c r="H290" s="75">
        <f t="shared" si="12"/>
        <v>0</v>
      </c>
    </row>
    <row r="291" spans="2:8" x14ac:dyDescent="0.25">
      <c r="B291" s="124"/>
      <c r="C291" s="70"/>
      <c r="D291" s="150"/>
      <c r="E291" s="74"/>
      <c r="F291" s="74"/>
      <c r="G291" s="74"/>
      <c r="H291" s="75">
        <f t="shared" si="12"/>
        <v>0</v>
      </c>
    </row>
    <row r="292" spans="2:8" x14ac:dyDescent="0.25">
      <c r="B292" s="124"/>
      <c r="C292" s="70"/>
      <c r="D292" s="150"/>
      <c r="E292" s="74"/>
      <c r="F292" s="74"/>
      <c r="G292" s="74"/>
      <c r="H292" s="75">
        <f t="shared" si="12"/>
        <v>0</v>
      </c>
    </row>
    <row r="293" spans="2:8" x14ac:dyDescent="0.25">
      <c r="B293" s="23"/>
      <c r="C293" s="70"/>
      <c r="D293" s="70"/>
      <c r="E293" s="74"/>
      <c r="F293" s="74"/>
      <c r="G293" s="74"/>
      <c r="H293" s="75">
        <f t="shared" si="12"/>
        <v>0</v>
      </c>
    </row>
    <row r="294" spans="2:8" x14ac:dyDescent="0.25">
      <c r="B294" s="23"/>
      <c r="C294" s="70"/>
      <c r="D294" s="70"/>
      <c r="E294" s="74"/>
      <c r="F294" s="74"/>
      <c r="G294" s="74"/>
      <c r="H294" s="75">
        <f t="shared" si="12"/>
        <v>0</v>
      </c>
    </row>
    <row r="295" spans="2:8" x14ac:dyDescent="0.25">
      <c r="B295" s="23"/>
      <c r="C295" s="70"/>
      <c r="D295" s="70"/>
      <c r="E295" s="74"/>
      <c r="F295" s="74"/>
      <c r="G295" s="74"/>
      <c r="H295" s="75">
        <f t="shared" si="12"/>
        <v>0</v>
      </c>
    </row>
    <row r="296" spans="2:8" x14ac:dyDescent="0.25">
      <c r="B296" s="23"/>
      <c r="C296" s="70"/>
      <c r="D296" s="70"/>
      <c r="E296" s="74"/>
      <c r="F296" s="74"/>
      <c r="G296" s="74"/>
      <c r="H296" s="75">
        <f t="shared" si="12"/>
        <v>0</v>
      </c>
    </row>
    <row r="297" spans="2:8" x14ac:dyDescent="0.25">
      <c r="B297" s="23"/>
      <c r="C297" s="70"/>
      <c r="D297" s="70"/>
      <c r="E297" s="74"/>
      <c r="F297" s="74"/>
      <c r="G297" s="74"/>
      <c r="H297" s="75">
        <f t="shared" si="12"/>
        <v>0</v>
      </c>
    </row>
    <row r="298" spans="2:8" x14ac:dyDescent="0.25">
      <c r="B298" s="23"/>
      <c r="C298" s="70"/>
      <c r="D298" s="70"/>
      <c r="E298" s="74"/>
      <c r="F298" s="74"/>
      <c r="G298" s="74"/>
      <c r="H298" s="75">
        <f t="shared" si="12"/>
        <v>0</v>
      </c>
    </row>
    <row r="299" spans="2:8" x14ac:dyDescent="0.25">
      <c r="B299" s="23"/>
      <c r="C299" s="70"/>
      <c r="D299" s="70"/>
      <c r="E299" s="74"/>
      <c r="F299" s="74"/>
      <c r="G299" s="74"/>
      <c r="H299" s="75">
        <f t="shared" si="12"/>
        <v>0</v>
      </c>
    </row>
    <row r="300" spans="2:8" x14ac:dyDescent="0.25">
      <c r="B300" s="23"/>
      <c r="C300" s="70"/>
      <c r="D300" s="70"/>
      <c r="E300" s="74"/>
      <c r="F300" s="74"/>
      <c r="G300" s="74"/>
      <c r="H300" s="75">
        <f t="shared" si="12"/>
        <v>0</v>
      </c>
    </row>
    <row r="301" spans="2:8" x14ac:dyDescent="0.25">
      <c r="B301" s="23"/>
      <c r="C301" s="70"/>
      <c r="D301" s="70"/>
      <c r="E301" s="74"/>
      <c r="F301" s="74"/>
      <c r="G301" s="74"/>
      <c r="H301" s="75">
        <f t="shared" si="12"/>
        <v>0</v>
      </c>
    </row>
    <row r="302" spans="2:8" x14ac:dyDescent="0.25">
      <c r="B302" s="23"/>
      <c r="C302" s="70"/>
      <c r="D302" s="70"/>
      <c r="E302" s="74"/>
      <c r="F302" s="74"/>
      <c r="G302" s="74"/>
      <c r="H302" s="75">
        <f t="shared" si="12"/>
        <v>0</v>
      </c>
    </row>
    <row r="303" spans="2:8" x14ac:dyDescent="0.25">
      <c r="B303" s="23"/>
      <c r="C303" s="70"/>
      <c r="D303" s="70"/>
      <c r="E303" s="74"/>
      <c r="F303" s="74"/>
      <c r="G303" s="74"/>
      <c r="H303" s="75">
        <f t="shared" si="12"/>
        <v>0</v>
      </c>
    </row>
    <row r="304" spans="2:8" x14ac:dyDescent="0.25">
      <c r="B304" s="23"/>
      <c r="C304" s="70"/>
      <c r="D304" s="70"/>
      <c r="E304" s="74"/>
      <c r="F304" s="74"/>
      <c r="G304" s="74"/>
      <c r="H304" s="75">
        <f t="shared" si="12"/>
        <v>0</v>
      </c>
    </row>
    <row r="305" spans="2:9" x14ac:dyDescent="0.25">
      <c r="B305" s="23"/>
      <c r="C305" s="70"/>
      <c r="D305" s="70"/>
      <c r="E305" s="74"/>
      <c r="F305" s="74"/>
      <c r="G305" s="74"/>
      <c r="H305" s="75">
        <f t="shared" si="12"/>
        <v>0</v>
      </c>
    </row>
    <row r="306" spans="2:9" x14ac:dyDescent="0.25">
      <c r="B306" s="23"/>
      <c r="C306" s="70"/>
      <c r="D306" s="70"/>
      <c r="E306" s="74"/>
      <c r="F306" s="74"/>
      <c r="G306" s="74"/>
      <c r="H306" s="75">
        <f t="shared" si="12"/>
        <v>0</v>
      </c>
    </row>
    <row r="307" spans="2:9" x14ac:dyDescent="0.25">
      <c r="B307" s="23"/>
      <c r="C307" s="70"/>
      <c r="D307" s="70"/>
      <c r="E307" s="74"/>
      <c r="F307" s="74"/>
      <c r="G307" s="74"/>
      <c r="H307" s="75">
        <f t="shared" si="12"/>
        <v>0</v>
      </c>
    </row>
    <row r="308" spans="2:9" x14ac:dyDescent="0.25">
      <c r="B308" s="23"/>
      <c r="C308" s="70"/>
      <c r="D308" s="70"/>
      <c r="E308" s="74"/>
      <c r="F308" s="74"/>
      <c r="G308" s="74"/>
      <c r="H308" s="75">
        <f t="shared" si="12"/>
        <v>0</v>
      </c>
    </row>
    <row r="309" spans="2:9" x14ac:dyDescent="0.25">
      <c r="B309" s="23"/>
      <c r="C309" s="70"/>
      <c r="D309" s="70"/>
      <c r="E309" s="74"/>
      <c r="F309" s="74"/>
      <c r="G309" s="74"/>
      <c r="H309" s="75">
        <f t="shared" si="12"/>
        <v>0</v>
      </c>
    </row>
    <row r="310" spans="2:9" x14ac:dyDescent="0.25">
      <c r="B310" s="77" t="s">
        <v>9</v>
      </c>
      <c r="C310" s="77"/>
      <c r="D310" s="77"/>
      <c r="E310" s="78">
        <f>SUM(E6:E309)</f>
        <v>55201</v>
      </c>
      <c r="F310" s="78">
        <f>SUM(F6:F309)</f>
        <v>35003</v>
      </c>
      <c r="G310" s="78"/>
      <c r="H310" s="78">
        <f>SUM(H6:H309)</f>
        <v>-19577.167539987757</v>
      </c>
      <c r="I310" t="s">
        <v>4</v>
      </c>
    </row>
  </sheetData>
  <autoFilter ref="A5:U310" xr:uid="{00000000-0009-0000-0000-000002000000}"/>
  <mergeCells count="3">
    <mergeCell ref="K3:L3"/>
    <mergeCell ref="O3:P3"/>
    <mergeCell ref="S3:T3"/>
  </mergeCells>
  <dataValidations count="1">
    <dataValidation type="list" allowBlank="1" showInputMessage="1" showErrorMessage="1" sqref="D6:D309" xr:uid="{00000000-0002-0000-0200-000000000000}">
      <formula1>"Tomas, Paco, Agustin"</formula1>
    </dataValidation>
  </dataValidations>
  <pageMargins left="0.7" right="0.7" top="0.75" bottom="0.75" header="0.3" footer="0.3"/>
  <pageSetup orientation="portrait" r:id="rId1"/>
  <ignoredErrors>
    <ignoredError sqref="G41 G163:G164 G168 G180:G181 G174:G17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1"/>
  <sheetViews>
    <sheetView showGridLines="0" topLeftCell="A201" workbookViewId="0">
      <selection activeCell="H221" sqref="H221"/>
    </sheetView>
  </sheetViews>
  <sheetFormatPr baseColWidth="10" defaultRowHeight="15" x14ac:dyDescent="0.25"/>
  <cols>
    <col min="1" max="1" width="7.140625" customWidth="1"/>
    <col min="3" max="3" width="28.7109375" bestFit="1" customWidth="1"/>
    <col min="4" max="4" width="16.28515625" bestFit="1" customWidth="1"/>
    <col min="6" max="6" width="6.7109375" customWidth="1"/>
    <col min="7" max="7" width="13" bestFit="1" customWidth="1"/>
    <col min="8" max="8" width="15.140625" bestFit="1" customWidth="1"/>
    <col min="9" max="9" width="16.42578125" bestFit="1" customWidth="1"/>
    <col min="10" max="10" width="5.7109375" customWidth="1"/>
    <col min="11" max="11" width="13" bestFit="1" customWidth="1"/>
    <col min="12" max="13" width="15.140625" bestFit="1" customWidth="1"/>
    <col min="14" max="14" width="5.7109375" customWidth="1"/>
    <col min="15" max="15" width="13" bestFit="1" customWidth="1"/>
    <col min="16" max="16" width="14.85546875" bestFit="1" customWidth="1"/>
    <col min="17" max="17" width="15.85546875" bestFit="1" customWidth="1"/>
  </cols>
  <sheetData>
    <row r="1" spans="2:18" ht="5.25" customHeigh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2:18" ht="26.25" x14ac:dyDescent="0.4">
      <c r="B2" s="35" t="s">
        <v>54</v>
      </c>
    </row>
    <row r="3" spans="2:18" ht="15" customHeight="1" x14ac:dyDescent="0.4">
      <c r="B3" s="35"/>
      <c r="H3" s="238" t="s">
        <v>445</v>
      </c>
      <c r="I3" s="239"/>
      <c r="J3" s="73"/>
      <c r="L3" s="238" t="s">
        <v>446</v>
      </c>
      <c r="M3" s="239"/>
      <c r="P3" s="238" t="s">
        <v>108</v>
      </c>
      <c r="Q3" s="239"/>
    </row>
    <row r="4" spans="2:18" ht="15" customHeight="1" x14ac:dyDescent="0.4">
      <c r="B4" s="35"/>
      <c r="G4" s="163"/>
      <c r="H4" s="160" t="s">
        <v>11</v>
      </c>
      <c r="I4" s="160" t="s">
        <v>10</v>
      </c>
      <c r="J4" s="161"/>
      <c r="K4" s="164"/>
      <c r="L4" s="159" t="s">
        <v>11</v>
      </c>
      <c r="M4" s="160" t="s">
        <v>10</v>
      </c>
      <c r="N4" s="162"/>
      <c r="O4" s="163"/>
      <c r="P4" s="160" t="s">
        <v>11</v>
      </c>
      <c r="Q4" s="160" t="s">
        <v>10</v>
      </c>
    </row>
    <row r="5" spans="2:18" ht="15" customHeight="1" x14ac:dyDescent="0.25">
      <c r="D5" s="72" t="s">
        <v>112</v>
      </c>
      <c r="G5" s="79" t="s">
        <v>9</v>
      </c>
      <c r="H5" s="76">
        <f>SUMIF(E7:E220,H4,D7:D220)</f>
        <v>66853917.212677009</v>
      </c>
      <c r="I5" s="76">
        <f>SUMIF(E7:E220,I4,D7:D220)</f>
        <v>45765585.708314985</v>
      </c>
      <c r="J5" s="73"/>
      <c r="K5" s="79" t="s">
        <v>9</v>
      </c>
      <c r="L5" s="76">
        <f>D221*Referencias!U7</f>
        <v>56309751.460496098</v>
      </c>
      <c r="M5" s="76">
        <f>D221*Referencias!T7</f>
        <v>56309751.460496098</v>
      </c>
      <c r="O5" s="79" t="s">
        <v>9</v>
      </c>
      <c r="P5" s="76">
        <f>(H5-L5)</f>
        <v>10544165.752180912</v>
      </c>
      <c r="Q5" s="76">
        <f>(I5-M5)</f>
        <v>-10544165.752181113</v>
      </c>
    </row>
    <row r="6" spans="2:18" x14ac:dyDescent="0.25">
      <c r="B6" s="72" t="s">
        <v>0</v>
      </c>
      <c r="C6" s="72" t="s">
        <v>48</v>
      </c>
      <c r="D6" s="72" t="s">
        <v>3</v>
      </c>
      <c r="E6" s="72" t="s">
        <v>52</v>
      </c>
      <c r="F6" s="11"/>
      <c r="G6" s="220"/>
      <c r="H6" s="221"/>
      <c r="I6" s="221"/>
      <c r="J6" s="11"/>
      <c r="K6" s="220"/>
      <c r="L6" s="221"/>
      <c r="M6" s="221"/>
      <c r="N6" s="11"/>
      <c r="O6" s="220"/>
      <c r="P6" s="221"/>
      <c r="Q6" s="221"/>
      <c r="R6" s="11"/>
    </row>
    <row r="7" spans="2:18" x14ac:dyDescent="0.25">
      <c r="B7" s="79"/>
      <c r="C7" s="70" t="s">
        <v>182</v>
      </c>
      <c r="D7" s="83">
        <f>Viajes!S5</f>
        <v>6687951.1976770377</v>
      </c>
      <c r="E7" s="70" t="s">
        <v>11</v>
      </c>
    </row>
    <row r="8" spans="2:18" x14ac:dyDescent="0.25">
      <c r="B8" s="79"/>
      <c r="C8" s="70" t="s">
        <v>182</v>
      </c>
      <c r="D8" s="83">
        <f>Viajes!T5</f>
        <v>6037207.7033150028</v>
      </c>
      <c r="E8" s="70" t="s">
        <v>10</v>
      </c>
    </row>
    <row r="9" spans="2:18" x14ac:dyDescent="0.25">
      <c r="B9" s="79">
        <v>45912</v>
      </c>
      <c r="C9" s="70" t="s">
        <v>237</v>
      </c>
      <c r="D9" s="83">
        <v>20000</v>
      </c>
      <c r="E9" s="70" t="s">
        <v>10</v>
      </c>
    </row>
    <row r="10" spans="2:18" x14ac:dyDescent="0.25">
      <c r="B10" s="79">
        <v>45912</v>
      </c>
      <c r="C10" s="70" t="s">
        <v>238</v>
      </c>
      <c r="D10" s="83">
        <v>19000</v>
      </c>
      <c r="E10" s="70" t="s">
        <v>11</v>
      </c>
    </row>
    <row r="11" spans="2:18" x14ac:dyDescent="0.25">
      <c r="B11" s="79">
        <v>45916</v>
      </c>
      <c r="C11" s="70" t="s">
        <v>280</v>
      </c>
      <c r="D11" s="83">
        <v>120000</v>
      </c>
      <c r="E11" s="70" t="s">
        <v>11</v>
      </c>
    </row>
    <row r="12" spans="2:18" x14ac:dyDescent="0.25">
      <c r="B12" s="79">
        <v>45917</v>
      </c>
      <c r="C12" s="70" t="s">
        <v>281</v>
      </c>
      <c r="D12" s="83">
        <v>150000</v>
      </c>
      <c r="E12" s="70" t="s">
        <v>11</v>
      </c>
    </row>
    <row r="13" spans="2:18" x14ac:dyDescent="0.25">
      <c r="B13" s="79">
        <v>45918</v>
      </c>
      <c r="C13" s="70" t="s">
        <v>279</v>
      </c>
      <c r="D13" s="83">
        <v>150000</v>
      </c>
      <c r="E13" s="70" t="s">
        <v>10</v>
      </c>
    </row>
    <row r="14" spans="2:18" x14ac:dyDescent="0.25">
      <c r="B14" s="79">
        <v>45919</v>
      </c>
      <c r="C14" s="70" t="s">
        <v>262</v>
      </c>
      <c r="D14" s="83">
        <v>14200</v>
      </c>
      <c r="E14" s="70" t="s">
        <v>11</v>
      </c>
    </row>
    <row r="15" spans="2:18" ht="15.75" customHeight="1" x14ac:dyDescent="0.25">
      <c r="B15" s="79">
        <v>45919</v>
      </c>
      <c r="C15" s="70" t="s">
        <v>263</v>
      </c>
      <c r="D15" s="83">
        <v>11500</v>
      </c>
      <c r="E15" s="70" t="s">
        <v>11</v>
      </c>
    </row>
    <row r="16" spans="2:18" x14ac:dyDescent="0.25">
      <c r="B16" s="79">
        <v>45922</v>
      </c>
      <c r="C16" s="70" t="s">
        <v>275</v>
      </c>
      <c r="D16" s="83">
        <v>442500</v>
      </c>
      <c r="E16" s="70" t="s">
        <v>10</v>
      </c>
    </row>
    <row r="17" spans="2:12" x14ac:dyDescent="0.25">
      <c r="B17" s="80">
        <v>45922</v>
      </c>
      <c r="C17" s="70" t="s">
        <v>275</v>
      </c>
      <c r="D17" s="151">
        <v>73700</v>
      </c>
      <c r="E17" s="70" t="s">
        <v>10</v>
      </c>
      <c r="J17" s="73"/>
    </row>
    <row r="18" spans="2:12" x14ac:dyDescent="0.25">
      <c r="B18" s="80">
        <v>45922</v>
      </c>
      <c r="C18" s="70" t="s">
        <v>276</v>
      </c>
      <c r="D18" s="151">
        <v>35692.26</v>
      </c>
      <c r="E18" s="70" t="s">
        <v>10</v>
      </c>
      <c r="J18" s="73"/>
    </row>
    <row r="19" spans="2:12" x14ac:dyDescent="0.25">
      <c r="B19" s="80">
        <v>45923</v>
      </c>
      <c r="C19" s="70" t="s">
        <v>276</v>
      </c>
      <c r="D19" s="83">
        <v>44113.599999999999</v>
      </c>
      <c r="E19" s="70" t="s">
        <v>10</v>
      </c>
      <c r="J19" s="73"/>
      <c r="L19" s="166"/>
    </row>
    <row r="20" spans="2:12" x14ac:dyDescent="0.25">
      <c r="B20" s="183">
        <v>45923</v>
      </c>
      <c r="C20" s="150" t="s">
        <v>280</v>
      </c>
      <c r="D20" s="151">
        <v>150000</v>
      </c>
      <c r="E20" s="150" t="s">
        <v>11</v>
      </c>
      <c r="J20" s="73"/>
    </row>
    <row r="21" spans="2:12" x14ac:dyDescent="0.25">
      <c r="B21" s="183">
        <v>45924</v>
      </c>
      <c r="C21" s="150" t="s">
        <v>276</v>
      </c>
      <c r="D21" s="151">
        <v>48950</v>
      </c>
      <c r="E21" s="150" t="s">
        <v>10</v>
      </c>
      <c r="J21" s="73"/>
    </row>
    <row r="22" spans="2:12" x14ac:dyDescent="0.25">
      <c r="B22" s="79">
        <v>45925</v>
      </c>
      <c r="C22" s="70" t="s">
        <v>277</v>
      </c>
      <c r="D22" s="83">
        <v>322800</v>
      </c>
      <c r="E22" s="70" t="s">
        <v>10</v>
      </c>
      <c r="J22" s="73"/>
    </row>
    <row r="23" spans="2:12" x14ac:dyDescent="0.25">
      <c r="B23" s="79">
        <v>45924</v>
      </c>
      <c r="C23" s="70" t="s">
        <v>278</v>
      </c>
      <c r="D23" s="151">
        <v>125000</v>
      </c>
      <c r="E23" s="70" t="s">
        <v>10</v>
      </c>
      <c r="J23" s="73"/>
    </row>
    <row r="24" spans="2:12" x14ac:dyDescent="0.25">
      <c r="B24" s="79">
        <v>45926</v>
      </c>
      <c r="C24" s="70" t="s">
        <v>279</v>
      </c>
      <c r="D24" s="83">
        <v>100000</v>
      </c>
      <c r="E24" s="70" t="s">
        <v>10</v>
      </c>
      <c r="J24" s="73"/>
    </row>
    <row r="25" spans="2:12" x14ac:dyDescent="0.25">
      <c r="B25" s="79">
        <v>45926</v>
      </c>
      <c r="C25" s="70" t="s">
        <v>282</v>
      </c>
      <c r="D25" s="83">
        <v>200000</v>
      </c>
      <c r="E25" s="70" t="s">
        <v>10</v>
      </c>
      <c r="J25" s="73"/>
    </row>
    <row r="26" spans="2:12" x14ac:dyDescent="0.25">
      <c r="B26" s="79">
        <v>45926</v>
      </c>
      <c r="C26" s="70" t="s">
        <v>283</v>
      </c>
      <c r="D26" s="83">
        <v>200000</v>
      </c>
      <c r="E26" s="70" t="s">
        <v>10</v>
      </c>
      <c r="H26" t="s">
        <v>4</v>
      </c>
    </row>
    <row r="27" spans="2:12" x14ac:dyDescent="0.25">
      <c r="B27" s="79">
        <v>45926</v>
      </c>
      <c r="C27" s="70" t="s">
        <v>284</v>
      </c>
      <c r="D27" s="83">
        <v>125000</v>
      </c>
      <c r="E27" s="70" t="s">
        <v>10</v>
      </c>
    </row>
    <row r="28" spans="2:12" x14ac:dyDescent="0.25">
      <c r="B28" s="79">
        <v>45926</v>
      </c>
      <c r="C28" s="70" t="s">
        <v>285</v>
      </c>
      <c r="D28" s="83">
        <v>100000</v>
      </c>
      <c r="E28" s="70" t="s">
        <v>11</v>
      </c>
    </row>
    <row r="29" spans="2:12" x14ac:dyDescent="0.25">
      <c r="B29" s="79">
        <v>45926</v>
      </c>
      <c r="C29" s="70" t="s">
        <v>279</v>
      </c>
      <c r="D29" s="83">
        <v>30000</v>
      </c>
      <c r="E29" s="70" t="s">
        <v>10</v>
      </c>
    </row>
    <row r="30" spans="2:12" x14ac:dyDescent="0.25">
      <c r="B30" s="79">
        <v>45926</v>
      </c>
      <c r="C30" s="70" t="s">
        <v>276</v>
      </c>
      <c r="D30" s="83">
        <v>28000</v>
      </c>
      <c r="E30" s="70" t="s">
        <v>10</v>
      </c>
    </row>
    <row r="31" spans="2:12" x14ac:dyDescent="0.25">
      <c r="B31" s="79">
        <v>45931</v>
      </c>
      <c r="C31" s="70" t="s">
        <v>275</v>
      </c>
      <c r="D31" s="83">
        <v>90000</v>
      </c>
      <c r="E31" s="70" t="s">
        <v>10</v>
      </c>
    </row>
    <row r="32" spans="2:12" x14ac:dyDescent="0.25">
      <c r="B32" s="79">
        <v>45931</v>
      </c>
      <c r="C32" s="70" t="s">
        <v>276</v>
      </c>
      <c r="D32" s="151">
        <v>62300</v>
      </c>
      <c r="E32" s="70" t="s">
        <v>10</v>
      </c>
    </row>
    <row r="33" spans="2:8" x14ac:dyDescent="0.25">
      <c r="B33" s="79">
        <v>45934</v>
      </c>
      <c r="C33" s="70" t="s">
        <v>262</v>
      </c>
      <c r="D33" s="151">
        <v>15000</v>
      </c>
      <c r="E33" s="70" t="s">
        <v>11</v>
      </c>
    </row>
    <row r="34" spans="2:8" x14ac:dyDescent="0.25">
      <c r="B34" s="79">
        <v>45934</v>
      </c>
      <c r="C34" s="70" t="s">
        <v>304</v>
      </c>
      <c r="D34" s="83">
        <v>37778</v>
      </c>
      <c r="E34" s="70" t="s">
        <v>11</v>
      </c>
    </row>
    <row r="35" spans="2:8" x14ac:dyDescent="0.25">
      <c r="B35" s="79">
        <v>45934</v>
      </c>
      <c r="C35" s="70" t="s">
        <v>305</v>
      </c>
      <c r="D35" s="170">
        <v>150000</v>
      </c>
      <c r="E35" s="70" t="s">
        <v>10</v>
      </c>
    </row>
    <row r="36" spans="2:8" x14ac:dyDescent="0.25">
      <c r="B36" s="79">
        <v>45934</v>
      </c>
      <c r="C36" s="70" t="s">
        <v>279</v>
      </c>
      <c r="D36" s="151">
        <v>200000</v>
      </c>
      <c r="E36" s="70" t="s">
        <v>10</v>
      </c>
    </row>
    <row r="37" spans="2:8" x14ac:dyDescent="0.25">
      <c r="B37" s="79">
        <v>45936</v>
      </c>
      <c r="C37" s="70" t="s">
        <v>306</v>
      </c>
      <c r="D37" s="199">
        <v>150000</v>
      </c>
      <c r="E37" s="70" t="s">
        <v>11</v>
      </c>
    </row>
    <row r="38" spans="2:8" x14ac:dyDescent="0.25">
      <c r="B38" s="79">
        <v>45937</v>
      </c>
      <c r="C38" s="70" t="s">
        <v>280</v>
      </c>
      <c r="D38" s="151">
        <v>150000</v>
      </c>
      <c r="E38" s="70" t="s">
        <v>11</v>
      </c>
    </row>
    <row r="39" spans="2:8" x14ac:dyDescent="0.25">
      <c r="B39" s="79">
        <v>45939</v>
      </c>
      <c r="C39" s="70" t="s">
        <v>283</v>
      </c>
      <c r="D39" s="83">
        <v>300000</v>
      </c>
      <c r="E39" s="70" t="s">
        <v>10</v>
      </c>
    </row>
    <row r="40" spans="2:8" x14ac:dyDescent="0.25">
      <c r="B40" s="79">
        <v>45944</v>
      </c>
      <c r="C40" s="70" t="s">
        <v>280</v>
      </c>
      <c r="D40" s="83">
        <v>47000</v>
      </c>
      <c r="E40" s="70" t="s">
        <v>11</v>
      </c>
      <c r="H40" t="s">
        <v>4</v>
      </c>
    </row>
    <row r="41" spans="2:8" x14ac:dyDescent="0.25">
      <c r="B41" s="79">
        <v>45946</v>
      </c>
      <c r="C41" s="70" t="s">
        <v>280</v>
      </c>
      <c r="D41" s="83">
        <v>62000</v>
      </c>
      <c r="E41" s="70" t="s">
        <v>11</v>
      </c>
    </row>
    <row r="42" spans="2:8" x14ac:dyDescent="0.25">
      <c r="B42" s="79">
        <v>45947</v>
      </c>
      <c r="C42" s="70" t="s">
        <v>305</v>
      </c>
      <c r="D42" s="83">
        <v>121000</v>
      </c>
      <c r="E42" s="70" t="s">
        <v>11</v>
      </c>
      <c r="F42" t="s">
        <v>4</v>
      </c>
    </row>
    <row r="43" spans="2:8" x14ac:dyDescent="0.25">
      <c r="B43" s="79">
        <v>45949</v>
      </c>
      <c r="C43" s="70" t="s">
        <v>331</v>
      </c>
      <c r="D43" s="83">
        <v>50000</v>
      </c>
      <c r="E43" s="70" t="s">
        <v>11</v>
      </c>
    </row>
    <row r="44" spans="2:8" x14ac:dyDescent="0.25">
      <c r="B44" s="79">
        <v>45950</v>
      </c>
      <c r="C44" s="70" t="s">
        <v>281</v>
      </c>
      <c r="D44" s="83">
        <v>100000</v>
      </c>
      <c r="E44" s="70" t="s">
        <v>11</v>
      </c>
    </row>
    <row r="45" spans="2:8" x14ac:dyDescent="0.25">
      <c r="B45" s="79">
        <v>45950</v>
      </c>
      <c r="C45" s="70" t="s">
        <v>305</v>
      </c>
      <c r="D45" s="151">
        <v>50000</v>
      </c>
      <c r="E45" s="70" t="s">
        <v>11</v>
      </c>
    </row>
    <row r="46" spans="2:8" ht="14.25" customHeight="1" x14ac:dyDescent="0.25">
      <c r="B46" s="79">
        <v>45945</v>
      </c>
      <c r="C46" s="70" t="s">
        <v>279</v>
      </c>
      <c r="D46" s="83">
        <v>300000</v>
      </c>
      <c r="E46" s="70" t="s">
        <v>10</v>
      </c>
    </row>
    <row r="47" spans="2:8" x14ac:dyDescent="0.25">
      <c r="B47" s="79">
        <v>45945</v>
      </c>
      <c r="C47" s="70" t="s">
        <v>285</v>
      </c>
      <c r="D47" s="83">
        <v>80000</v>
      </c>
      <c r="E47" s="70" t="s">
        <v>10</v>
      </c>
      <c r="G47" t="s">
        <v>4</v>
      </c>
    </row>
    <row r="48" spans="2:8" x14ac:dyDescent="0.25">
      <c r="B48" s="79">
        <v>45946</v>
      </c>
      <c r="C48" s="70" t="s">
        <v>354</v>
      </c>
      <c r="D48" s="83">
        <v>40000</v>
      </c>
      <c r="E48" s="70" t="s">
        <v>11</v>
      </c>
    </row>
    <row r="49" spans="2:5" x14ac:dyDescent="0.25">
      <c r="B49" s="79">
        <v>45947</v>
      </c>
      <c r="C49" s="70" t="s">
        <v>282</v>
      </c>
      <c r="D49" s="83">
        <v>265000</v>
      </c>
      <c r="E49" s="70" t="s">
        <v>10</v>
      </c>
    </row>
    <row r="50" spans="2:5" x14ac:dyDescent="0.25">
      <c r="B50" s="79">
        <v>45948</v>
      </c>
      <c r="C50" s="70" t="s">
        <v>355</v>
      </c>
      <c r="D50" s="83">
        <v>135000</v>
      </c>
      <c r="E50" s="70" t="s">
        <v>10</v>
      </c>
    </row>
    <row r="51" spans="2:5" x14ac:dyDescent="0.25">
      <c r="B51" s="79">
        <v>45948</v>
      </c>
      <c r="C51" s="70" t="s">
        <v>276</v>
      </c>
      <c r="D51" s="151">
        <v>65000</v>
      </c>
      <c r="E51" s="70" t="s">
        <v>10</v>
      </c>
    </row>
    <row r="52" spans="2:5" x14ac:dyDescent="0.25">
      <c r="B52" s="79">
        <v>45948</v>
      </c>
      <c r="C52" s="70" t="s">
        <v>275</v>
      </c>
      <c r="D52" s="151">
        <v>210000</v>
      </c>
      <c r="E52" s="70" t="s">
        <v>10</v>
      </c>
    </row>
    <row r="53" spans="2:5" x14ac:dyDescent="0.25">
      <c r="B53" s="79">
        <v>45949</v>
      </c>
      <c r="C53" s="70" t="s">
        <v>276</v>
      </c>
      <c r="D53" s="151">
        <v>46400</v>
      </c>
      <c r="E53" s="70" t="s">
        <v>10</v>
      </c>
    </row>
    <row r="54" spans="2:5" x14ac:dyDescent="0.25">
      <c r="B54" s="79">
        <v>45950</v>
      </c>
      <c r="C54" s="70" t="s">
        <v>356</v>
      </c>
      <c r="D54" s="151">
        <v>258000</v>
      </c>
      <c r="E54" s="70" t="s">
        <v>10</v>
      </c>
    </row>
    <row r="55" spans="2:5" x14ac:dyDescent="0.25">
      <c r="B55" s="79">
        <v>45954</v>
      </c>
      <c r="C55" s="70" t="s">
        <v>285</v>
      </c>
      <c r="D55" s="151">
        <v>250000</v>
      </c>
      <c r="E55" s="70" t="s">
        <v>11</v>
      </c>
    </row>
    <row r="56" spans="2:5" x14ac:dyDescent="0.25">
      <c r="B56" s="79">
        <v>45954</v>
      </c>
      <c r="C56" s="70" t="s">
        <v>306</v>
      </c>
      <c r="D56" s="151">
        <v>300000</v>
      </c>
      <c r="E56" s="70" t="s">
        <v>11</v>
      </c>
    </row>
    <row r="57" spans="2:5" x14ac:dyDescent="0.25">
      <c r="B57" s="79">
        <v>45954</v>
      </c>
      <c r="C57" s="70" t="s">
        <v>357</v>
      </c>
      <c r="D57" s="151">
        <v>250000</v>
      </c>
      <c r="E57" s="70" t="s">
        <v>11</v>
      </c>
    </row>
    <row r="58" spans="2:5" x14ac:dyDescent="0.25">
      <c r="B58" s="79">
        <v>45954</v>
      </c>
      <c r="C58" s="70" t="s">
        <v>331</v>
      </c>
      <c r="D58" s="151">
        <v>50000</v>
      </c>
      <c r="E58" s="70" t="s">
        <v>11</v>
      </c>
    </row>
    <row r="59" spans="2:5" x14ac:dyDescent="0.25">
      <c r="B59" s="79">
        <v>45954</v>
      </c>
      <c r="C59" s="70" t="s">
        <v>358</v>
      </c>
      <c r="D59" s="151">
        <v>170000</v>
      </c>
      <c r="E59" s="70" t="s">
        <v>11</v>
      </c>
    </row>
    <row r="60" spans="2:5" x14ac:dyDescent="0.25">
      <c r="B60" s="79">
        <v>45954</v>
      </c>
      <c r="C60" s="70" t="s">
        <v>359</v>
      </c>
      <c r="D60" s="151">
        <v>200000</v>
      </c>
      <c r="E60" s="70" t="s">
        <v>11</v>
      </c>
    </row>
    <row r="61" spans="2:5" x14ac:dyDescent="0.25">
      <c r="B61" s="79">
        <v>45954</v>
      </c>
      <c r="C61" s="150" t="s">
        <v>451</v>
      </c>
      <c r="D61" s="151">
        <v>250000</v>
      </c>
      <c r="E61" s="70" t="s">
        <v>11</v>
      </c>
    </row>
    <row r="62" spans="2:5" x14ac:dyDescent="0.25">
      <c r="B62" s="79">
        <v>45954</v>
      </c>
      <c r="C62" s="150" t="s">
        <v>354</v>
      </c>
      <c r="D62" s="151">
        <v>110000</v>
      </c>
      <c r="E62" s="70" t="s">
        <v>11</v>
      </c>
    </row>
    <row r="63" spans="2:5" x14ac:dyDescent="0.25">
      <c r="B63" s="79">
        <v>45954</v>
      </c>
      <c r="C63" s="150" t="s">
        <v>280</v>
      </c>
      <c r="D63" s="151">
        <v>300000</v>
      </c>
      <c r="E63" s="70" t="s">
        <v>11</v>
      </c>
    </row>
    <row r="64" spans="2:5" x14ac:dyDescent="0.25">
      <c r="B64" s="79">
        <v>45956</v>
      </c>
      <c r="C64" s="150" t="s">
        <v>305</v>
      </c>
      <c r="D64" s="151">
        <v>108000</v>
      </c>
      <c r="E64" s="70" t="s">
        <v>11</v>
      </c>
    </row>
    <row r="65" spans="2:5" x14ac:dyDescent="0.25">
      <c r="B65" s="79">
        <v>45958</v>
      </c>
      <c r="C65" s="150" t="s">
        <v>305</v>
      </c>
      <c r="D65" s="151">
        <v>250000</v>
      </c>
      <c r="E65" s="70" t="s">
        <v>10</v>
      </c>
    </row>
    <row r="66" spans="2:5" x14ac:dyDescent="0.25">
      <c r="B66" s="79">
        <v>45960</v>
      </c>
      <c r="C66" s="150" t="s">
        <v>279</v>
      </c>
      <c r="D66" s="151">
        <v>100000</v>
      </c>
      <c r="E66" s="70" t="s">
        <v>10</v>
      </c>
    </row>
    <row r="67" spans="2:5" x14ac:dyDescent="0.25">
      <c r="B67" s="79">
        <v>45960</v>
      </c>
      <c r="C67" s="150" t="s">
        <v>280</v>
      </c>
      <c r="D67" s="151">
        <v>100000</v>
      </c>
      <c r="E67" s="70" t="s">
        <v>10</v>
      </c>
    </row>
    <row r="68" spans="2:5" x14ac:dyDescent="0.25">
      <c r="B68" s="79">
        <v>45961</v>
      </c>
      <c r="C68" s="150" t="s">
        <v>305</v>
      </c>
      <c r="D68" s="151">
        <v>150000</v>
      </c>
      <c r="E68" s="70" t="s">
        <v>10</v>
      </c>
    </row>
    <row r="69" spans="2:5" x14ac:dyDescent="0.25">
      <c r="B69" s="79">
        <v>45964</v>
      </c>
      <c r="C69" s="150" t="s">
        <v>285</v>
      </c>
      <c r="D69" s="151">
        <v>200000</v>
      </c>
      <c r="E69" s="70" t="s">
        <v>11</v>
      </c>
    </row>
    <row r="70" spans="2:5" x14ac:dyDescent="0.25">
      <c r="B70" s="79">
        <v>45964</v>
      </c>
      <c r="C70" s="150" t="s">
        <v>281</v>
      </c>
      <c r="D70" s="151">
        <v>200000</v>
      </c>
      <c r="E70" s="70" t="s">
        <v>11</v>
      </c>
    </row>
    <row r="71" spans="2:5" x14ac:dyDescent="0.25">
      <c r="B71" s="79">
        <v>45964</v>
      </c>
      <c r="C71" s="150" t="s">
        <v>356</v>
      </c>
      <c r="D71" s="151">
        <v>761000</v>
      </c>
      <c r="E71" s="70" t="s">
        <v>10</v>
      </c>
    </row>
    <row r="72" spans="2:5" x14ac:dyDescent="0.25">
      <c r="B72" s="79">
        <v>45965</v>
      </c>
      <c r="C72" s="150" t="s">
        <v>384</v>
      </c>
      <c r="D72" s="151">
        <v>300000</v>
      </c>
      <c r="E72" s="70" t="s">
        <v>11</v>
      </c>
    </row>
    <row r="73" spans="2:5" x14ac:dyDescent="0.25">
      <c r="B73" s="79">
        <v>45965</v>
      </c>
      <c r="C73" s="70" t="s">
        <v>305</v>
      </c>
      <c r="D73" s="151">
        <v>155000</v>
      </c>
      <c r="E73" s="70" t="s">
        <v>11</v>
      </c>
    </row>
    <row r="74" spans="2:5" x14ac:dyDescent="0.25">
      <c r="B74" s="79">
        <v>45966</v>
      </c>
      <c r="C74" s="70" t="s">
        <v>280</v>
      </c>
      <c r="D74" s="151">
        <v>150000</v>
      </c>
      <c r="E74" s="70" t="s">
        <v>11</v>
      </c>
    </row>
    <row r="75" spans="2:5" x14ac:dyDescent="0.25">
      <c r="B75" s="79">
        <v>45966</v>
      </c>
      <c r="C75" s="70" t="s">
        <v>306</v>
      </c>
      <c r="D75" s="151">
        <v>150000</v>
      </c>
      <c r="E75" s="70" t="s">
        <v>11</v>
      </c>
    </row>
    <row r="76" spans="2:5" x14ac:dyDescent="0.25">
      <c r="B76" s="149">
        <v>45967</v>
      </c>
      <c r="C76" s="70" t="s">
        <v>331</v>
      </c>
      <c r="D76" s="151">
        <v>50000</v>
      </c>
      <c r="E76" s="150" t="s">
        <v>11</v>
      </c>
    </row>
    <row r="77" spans="2:5" x14ac:dyDescent="0.25">
      <c r="B77" s="149">
        <v>45967</v>
      </c>
      <c r="C77" s="70" t="s">
        <v>305</v>
      </c>
      <c r="D77" s="151">
        <v>200000</v>
      </c>
      <c r="E77" s="150" t="s">
        <v>11</v>
      </c>
    </row>
    <row r="78" spans="2:5" x14ac:dyDescent="0.25">
      <c r="B78" s="149">
        <v>45969</v>
      </c>
      <c r="C78" s="70" t="s">
        <v>283</v>
      </c>
      <c r="D78" s="151">
        <v>905000</v>
      </c>
      <c r="E78" s="150" t="s">
        <v>10</v>
      </c>
    </row>
    <row r="79" spans="2:5" x14ac:dyDescent="0.25">
      <c r="B79" s="149">
        <v>45969</v>
      </c>
      <c r="C79" s="150" t="s">
        <v>279</v>
      </c>
      <c r="D79" s="151">
        <v>875000</v>
      </c>
      <c r="E79" s="150" t="s">
        <v>10</v>
      </c>
    </row>
    <row r="80" spans="2:5" x14ac:dyDescent="0.25">
      <c r="B80" s="149">
        <v>45969</v>
      </c>
      <c r="C80" s="150" t="s">
        <v>331</v>
      </c>
      <c r="D80" s="151">
        <v>50000</v>
      </c>
      <c r="E80" s="150" t="s">
        <v>10</v>
      </c>
    </row>
    <row r="81" spans="2:5" x14ac:dyDescent="0.25">
      <c r="B81" s="149">
        <v>45971</v>
      </c>
      <c r="C81" s="150" t="s">
        <v>305</v>
      </c>
      <c r="D81" s="151">
        <v>350000</v>
      </c>
      <c r="E81" s="150" t="s">
        <v>10</v>
      </c>
    </row>
    <row r="82" spans="2:5" x14ac:dyDescent="0.25">
      <c r="B82" s="149">
        <v>45971</v>
      </c>
      <c r="C82" s="150" t="s">
        <v>280</v>
      </c>
      <c r="D82" s="151">
        <v>200000</v>
      </c>
      <c r="E82" s="150" t="s">
        <v>11</v>
      </c>
    </row>
    <row r="83" spans="2:5" x14ac:dyDescent="0.25">
      <c r="B83" s="149">
        <v>45971</v>
      </c>
      <c r="C83" s="150" t="s">
        <v>280</v>
      </c>
      <c r="D83" s="151">
        <v>200000</v>
      </c>
      <c r="E83" s="150" t="s">
        <v>10</v>
      </c>
    </row>
    <row r="84" spans="2:5" x14ac:dyDescent="0.25">
      <c r="B84" s="149">
        <v>45971</v>
      </c>
      <c r="C84" s="150" t="s">
        <v>331</v>
      </c>
      <c r="D84" s="151">
        <v>50000</v>
      </c>
      <c r="E84" s="150" t="s">
        <v>11</v>
      </c>
    </row>
    <row r="85" spans="2:5" x14ac:dyDescent="0.25">
      <c r="B85" s="149">
        <v>45971</v>
      </c>
      <c r="C85" s="150" t="s">
        <v>281</v>
      </c>
      <c r="D85" s="151">
        <v>550000</v>
      </c>
      <c r="E85" s="150" t="s">
        <v>11</v>
      </c>
    </row>
    <row r="86" spans="2:5" x14ac:dyDescent="0.25">
      <c r="B86" s="149">
        <v>45973</v>
      </c>
      <c r="C86" s="150" t="s">
        <v>305</v>
      </c>
      <c r="D86" s="151">
        <v>150000</v>
      </c>
      <c r="E86" s="150" t="s">
        <v>11</v>
      </c>
    </row>
    <row r="87" spans="2:5" x14ac:dyDescent="0.25">
      <c r="B87" s="149">
        <v>45974</v>
      </c>
      <c r="C87" s="150" t="s">
        <v>419</v>
      </c>
      <c r="D87" s="151">
        <v>300000</v>
      </c>
      <c r="E87" s="150" t="s">
        <v>10</v>
      </c>
    </row>
    <row r="88" spans="2:5" x14ac:dyDescent="0.25">
      <c r="B88" s="149">
        <v>45976</v>
      </c>
      <c r="C88" s="150" t="s">
        <v>420</v>
      </c>
      <c r="D88" s="151">
        <v>50000</v>
      </c>
      <c r="E88" s="150" t="s">
        <v>11</v>
      </c>
    </row>
    <row r="89" spans="2:5" x14ac:dyDescent="0.25">
      <c r="B89" s="149">
        <v>45976</v>
      </c>
      <c r="C89" s="150" t="s">
        <v>305</v>
      </c>
      <c r="D89" s="151">
        <v>200000</v>
      </c>
      <c r="E89" s="150" t="s">
        <v>10</v>
      </c>
    </row>
    <row r="90" spans="2:5" x14ac:dyDescent="0.25">
      <c r="B90" s="149">
        <v>45971</v>
      </c>
      <c r="C90" s="150" t="s">
        <v>54</v>
      </c>
      <c r="D90" s="151">
        <v>305000</v>
      </c>
      <c r="E90" s="150" t="s">
        <v>10</v>
      </c>
    </row>
    <row r="91" spans="2:5" x14ac:dyDescent="0.25">
      <c r="B91" s="149">
        <v>45979</v>
      </c>
      <c r="C91" s="150" t="s">
        <v>306</v>
      </c>
      <c r="D91" s="151">
        <v>200000</v>
      </c>
      <c r="E91" s="150" t="s">
        <v>11</v>
      </c>
    </row>
    <row r="92" spans="2:5" x14ac:dyDescent="0.25">
      <c r="B92" s="149">
        <v>45979</v>
      </c>
      <c r="C92" s="150" t="s">
        <v>423</v>
      </c>
      <c r="D92" s="151">
        <v>139000</v>
      </c>
      <c r="E92" s="150" t="s">
        <v>10</v>
      </c>
    </row>
    <row r="93" spans="2:5" x14ac:dyDescent="0.25">
      <c r="B93" s="149">
        <v>45980</v>
      </c>
      <c r="C93" s="150" t="s">
        <v>306</v>
      </c>
      <c r="D93" s="151">
        <v>200000</v>
      </c>
      <c r="E93" s="150" t="s">
        <v>10</v>
      </c>
    </row>
    <row r="94" spans="2:5" x14ac:dyDescent="0.25">
      <c r="B94" s="149">
        <v>45980</v>
      </c>
      <c r="C94" s="150" t="s">
        <v>424</v>
      </c>
      <c r="D94" s="151">
        <v>200000</v>
      </c>
      <c r="E94" s="150" t="s">
        <v>11</v>
      </c>
    </row>
    <row r="95" spans="2:5" x14ac:dyDescent="0.25">
      <c r="B95" s="149">
        <v>45983</v>
      </c>
      <c r="C95" s="150" t="s">
        <v>305</v>
      </c>
      <c r="D95" s="151">
        <v>250000</v>
      </c>
      <c r="E95" s="150" t="s">
        <v>10</v>
      </c>
    </row>
    <row r="96" spans="2:5" x14ac:dyDescent="0.25">
      <c r="B96" s="149">
        <v>45987</v>
      </c>
      <c r="C96" s="150" t="s">
        <v>279</v>
      </c>
      <c r="D96" s="151">
        <v>325000</v>
      </c>
      <c r="E96" s="150" t="s">
        <v>10</v>
      </c>
    </row>
    <row r="97" spans="2:5" x14ac:dyDescent="0.25">
      <c r="B97" s="149">
        <v>45989</v>
      </c>
      <c r="C97" s="150" t="s">
        <v>444</v>
      </c>
      <c r="D97" s="151">
        <v>955000</v>
      </c>
      <c r="E97" s="150" t="s">
        <v>11</v>
      </c>
    </row>
    <row r="98" spans="2:5" x14ac:dyDescent="0.25">
      <c r="B98" s="149">
        <v>45989</v>
      </c>
      <c r="C98" s="150" t="s">
        <v>444</v>
      </c>
      <c r="D98" s="151">
        <v>955000</v>
      </c>
      <c r="E98" s="150" t="s">
        <v>10</v>
      </c>
    </row>
    <row r="99" spans="2:5" x14ac:dyDescent="0.25">
      <c r="B99" s="149">
        <v>45989</v>
      </c>
      <c r="C99" s="150" t="s">
        <v>444</v>
      </c>
      <c r="D99" s="151">
        <v>131541.25</v>
      </c>
      <c r="E99" s="150" t="s">
        <v>11</v>
      </c>
    </row>
    <row r="100" spans="2:5" x14ac:dyDescent="0.25">
      <c r="B100" s="149">
        <v>45989</v>
      </c>
      <c r="C100" s="150" t="s">
        <v>444</v>
      </c>
      <c r="D100" s="151">
        <v>131541.25</v>
      </c>
      <c r="E100" s="150" t="s">
        <v>10</v>
      </c>
    </row>
    <row r="101" spans="2:5" x14ac:dyDescent="0.25">
      <c r="B101" s="149">
        <v>45989</v>
      </c>
      <c r="C101" s="150" t="s">
        <v>285</v>
      </c>
      <c r="D101" s="151">
        <v>27500</v>
      </c>
      <c r="E101" s="150" t="s">
        <v>11</v>
      </c>
    </row>
    <row r="102" spans="2:5" x14ac:dyDescent="0.25">
      <c r="B102" s="149">
        <v>45989</v>
      </c>
      <c r="C102" s="150" t="s">
        <v>447</v>
      </c>
      <c r="D102" s="151">
        <v>200000</v>
      </c>
      <c r="E102" s="150" t="s">
        <v>11</v>
      </c>
    </row>
    <row r="103" spans="2:5" x14ac:dyDescent="0.25">
      <c r="B103" s="149">
        <v>45990</v>
      </c>
      <c r="C103" s="150" t="s">
        <v>305</v>
      </c>
      <c r="D103" s="151">
        <v>100000</v>
      </c>
      <c r="E103" s="150" t="s">
        <v>11</v>
      </c>
    </row>
    <row r="104" spans="2:5" x14ac:dyDescent="0.25">
      <c r="B104" s="149">
        <v>45990</v>
      </c>
      <c r="C104" s="150" t="s">
        <v>331</v>
      </c>
      <c r="D104" s="151">
        <v>50000</v>
      </c>
      <c r="E104" s="150" t="s">
        <v>11</v>
      </c>
    </row>
    <row r="105" spans="2:5" x14ac:dyDescent="0.25">
      <c r="B105" s="149">
        <v>45992</v>
      </c>
      <c r="C105" s="150" t="s">
        <v>305</v>
      </c>
      <c r="D105" s="151">
        <v>500000</v>
      </c>
      <c r="E105" s="150" t="s">
        <v>10</v>
      </c>
    </row>
    <row r="106" spans="2:5" x14ac:dyDescent="0.25">
      <c r="B106" s="149">
        <v>45992</v>
      </c>
      <c r="C106" s="150" t="s">
        <v>448</v>
      </c>
      <c r="D106" s="151">
        <v>250000</v>
      </c>
      <c r="E106" s="150" t="s">
        <v>11</v>
      </c>
    </row>
    <row r="107" spans="2:5" x14ac:dyDescent="0.25">
      <c r="B107" s="149">
        <v>45992</v>
      </c>
      <c r="C107" s="150" t="s">
        <v>285</v>
      </c>
      <c r="D107" s="151">
        <v>300000</v>
      </c>
      <c r="E107" s="150" t="s">
        <v>11</v>
      </c>
    </row>
    <row r="108" spans="2:5" x14ac:dyDescent="0.25">
      <c r="B108" s="149">
        <v>45993</v>
      </c>
      <c r="C108" s="150" t="s">
        <v>306</v>
      </c>
      <c r="D108" s="151">
        <v>400000</v>
      </c>
      <c r="E108" s="150" t="s">
        <v>11</v>
      </c>
    </row>
    <row r="109" spans="2:5" x14ac:dyDescent="0.25">
      <c r="B109" s="149">
        <v>45993</v>
      </c>
      <c r="C109" s="150" t="s">
        <v>285</v>
      </c>
      <c r="D109" s="151">
        <v>200000</v>
      </c>
      <c r="E109" s="150" t="s">
        <v>11</v>
      </c>
    </row>
    <row r="110" spans="2:5" x14ac:dyDescent="0.25">
      <c r="B110" s="149">
        <v>45996</v>
      </c>
      <c r="C110" s="150" t="s">
        <v>451</v>
      </c>
      <c r="D110" s="151">
        <v>50000</v>
      </c>
      <c r="E110" s="150" t="s">
        <v>11</v>
      </c>
    </row>
    <row r="111" spans="2:5" x14ac:dyDescent="0.25">
      <c r="B111" s="149">
        <v>45996</v>
      </c>
      <c r="C111" s="150" t="s">
        <v>447</v>
      </c>
      <c r="D111" s="151">
        <v>350000</v>
      </c>
      <c r="E111" s="150" t="s">
        <v>11</v>
      </c>
    </row>
    <row r="112" spans="2:5" x14ac:dyDescent="0.25">
      <c r="B112" s="149">
        <v>45997</v>
      </c>
      <c r="C112" s="150" t="s">
        <v>357</v>
      </c>
      <c r="D112" s="151">
        <v>150000</v>
      </c>
      <c r="E112" s="150" t="s">
        <v>11</v>
      </c>
    </row>
    <row r="113" spans="2:5" x14ac:dyDescent="0.25">
      <c r="B113" s="149">
        <v>46000</v>
      </c>
      <c r="C113" s="150" t="s">
        <v>359</v>
      </c>
      <c r="D113" s="151">
        <v>150000</v>
      </c>
      <c r="E113" s="150" t="s">
        <v>11</v>
      </c>
    </row>
    <row r="114" spans="2:5" x14ac:dyDescent="0.25">
      <c r="B114" s="149">
        <v>46000</v>
      </c>
      <c r="C114" s="150" t="s">
        <v>305</v>
      </c>
      <c r="D114" s="151">
        <v>1000000</v>
      </c>
      <c r="E114" s="150" t="s">
        <v>10</v>
      </c>
    </row>
    <row r="115" spans="2:5" x14ac:dyDescent="0.25">
      <c r="B115" s="149">
        <v>46002</v>
      </c>
      <c r="C115" s="150" t="s">
        <v>419</v>
      </c>
      <c r="D115" s="151">
        <v>400000</v>
      </c>
      <c r="E115" s="150" t="s">
        <v>10</v>
      </c>
    </row>
    <row r="116" spans="2:5" x14ac:dyDescent="0.25">
      <c r="B116" s="149">
        <v>46002</v>
      </c>
      <c r="C116" s="150" t="s">
        <v>419</v>
      </c>
      <c r="D116" s="151">
        <v>200000</v>
      </c>
      <c r="E116" s="150" t="s">
        <v>11</v>
      </c>
    </row>
    <row r="117" spans="2:5" x14ac:dyDescent="0.25">
      <c r="B117" s="149">
        <v>46002</v>
      </c>
      <c r="C117" s="150" t="s">
        <v>452</v>
      </c>
      <c r="D117" s="151">
        <v>2000000</v>
      </c>
      <c r="E117" s="150" t="s">
        <v>11</v>
      </c>
    </row>
    <row r="118" spans="2:5" x14ac:dyDescent="0.25">
      <c r="B118" s="149">
        <v>46006</v>
      </c>
      <c r="C118" s="150" t="s">
        <v>424</v>
      </c>
      <c r="D118" s="151">
        <v>300000</v>
      </c>
      <c r="E118" s="150" t="s">
        <v>11</v>
      </c>
    </row>
    <row r="119" spans="2:5" x14ac:dyDescent="0.25">
      <c r="B119" s="149">
        <v>46003</v>
      </c>
      <c r="C119" s="150" t="s">
        <v>444</v>
      </c>
      <c r="D119" s="185">
        <v>9120783.9000000004</v>
      </c>
      <c r="E119" s="150" t="s">
        <v>10</v>
      </c>
    </row>
    <row r="120" spans="2:5" x14ac:dyDescent="0.25">
      <c r="B120" s="149">
        <v>46003</v>
      </c>
      <c r="C120" s="150" t="s">
        <v>444</v>
      </c>
      <c r="D120" s="185">
        <v>9120783.9000000004</v>
      </c>
      <c r="E120" s="150" t="s">
        <v>11</v>
      </c>
    </row>
    <row r="121" spans="2:5" x14ac:dyDescent="0.25">
      <c r="B121" s="149">
        <v>46008</v>
      </c>
      <c r="C121" s="150" t="s">
        <v>305</v>
      </c>
      <c r="D121" s="151">
        <v>300000</v>
      </c>
      <c r="E121" s="150" t="s">
        <v>11</v>
      </c>
    </row>
    <row r="122" spans="2:5" x14ac:dyDescent="0.25">
      <c r="B122" s="149">
        <v>46009</v>
      </c>
      <c r="C122" s="150" t="s">
        <v>384</v>
      </c>
      <c r="D122" s="151">
        <v>128624</v>
      </c>
      <c r="E122" s="150" t="s">
        <v>11</v>
      </c>
    </row>
    <row r="123" spans="2:5" x14ac:dyDescent="0.25">
      <c r="B123" s="149">
        <v>46009</v>
      </c>
      <c r="C123" s="150" t="s">
        <v>453</v>
      </c>
      <c r="D123" s="92">
        <v>2016509.875</v>
      </c>
      <c r="E123" s="150" t="s">
        <v>11</v>
      </c>
    </row>
    <row r="124" spans="2:5" x14ac:dyDescent="0.25">
      <c r="B124" s="149">
        <v>46009</v>
      </c>
      <c r="C124" s="150" t="s">
        <v>453</v>
      </c>
      <c r="D124" s="92">
        <v>2016509.875</v>
      </c>
      <c r="E124" s="150" t="s">
        <v>10</v>
      </c>
    </row>
    <row r="125" spans="2:5" x14ac:dyDescent="0.25">
      <c r="B125" s="149">
        <v>46009</v>
      </c>
      <c r="C125" s="150" t="s">
        <v>281</v>
      </c>
      <c r="D125" s="92">
        <v>250000</v>
      </c>
      <c r="E125" s="150" t="s">
        <v>11</v>
      </c>
    </row>
    <row r="126" spans="2:5" x14ac:dyDescent="0.25">
      <c r="B126" s="149">
        <v>46014</v>
      </c>
      <c r="C126" s="150" t="s">
        <v>305</v>
      </c>
      <c r="D126" s="92">
        <v>200000</v>
      </c>
      <c r="E126" s="150" t="s">
        <v>10</v>
      </c>
    </row>
    <row r="127" spans="2:5" x14ac:dyDescent="0.25">
      <c r="B127" s="149">
        <v>46015</v>
      </c>
      <c r="C127" s="150" t="s">
        <v>305</v>
      </c>
      <c r="D127" s="92">
        <v>500000</v>
      </c>
      <c r="E127" s="150" t="s">
        <v>10</v>
      </c>
    </row>
    <row r="128" spans="2:5" x14ac:dyDescent="0.25">
      <c r="B128" s="149">
        <v>46016</v>
      </c>
      <c r="C128" s="150" t="s">
        <v>305</v>
      </c>
      <c r="D128" s="92">
        <v>2000000</v>
      </c>
      <c r="E128" s="150" t="s">
        <v>10</v>
      </c>
    </row>
    <row r="129" spans="2:5" x14ac:dyDescent="0.25">
      <c r="B129" s="149">
        <v>46017</v>
      </c>
      <c r="C129" s="150" t="s">
        <v>424</v>
      </c>
      <c r="D129" s="92">
        <v>225000</v>
      </c>
      <c r="E129" s="150" t="s">
        <v>11</v>
      </c>
    </row>
    <row r="130" spans="2:5" x14ac:dyDescent="0.25">
      <c r="B130" s="149">
        <v>46017</v>
      </c>
      <c r="C130" s="150" t="s">
        <v>453</v>
      </c>
      <c r="D130" s="92">
        <v>1068377.5</v>
      </c>
      <c r="E130" s="150" t="s">
        <v>11</v>
      </c>
    </row>
    <row r="131" spans="2:5" x14ac:dyDescent="0.25">
      <c r="B131" s="149">
        <v>46017</v>
      </c>
      <c r="C131" s="150" t="s">
        <v>453</v>
      </c>
      <c r="D131" s="92">
        <v>1068377.5</v>
      </c>
      <c r="E131" s="150" t="s">
        <v>10</v>
      </c>
    </row>
    <row r="132" spans="2:5" x14ac:dyDescent="0.25">
      <c r="B132" s="149">
        <v>46385</v>
      </c>
      <c r="C132" s="150" t="s">
        <v>419</v>
      </c>
      <c r="D132" s="92">
        <v>529918.6</v>
      </c>
      <c r="E132" s="150" t="s">
        <v>11</v>
      </c>
    </row>
    <row r="133" spans="2:5" x14ac:dyDescent="0.25">
      <c r="B133" s="149">
        <v>46024</v>
      </c>
      <c r="C133" s="150" t="s">
        <v>306</v>
      </c>
      <c r="D133" s="92">
        <v>480000</v>
      </c>
      <c r="E133" s="150" t="s">
        <v>11</v>
      </c>
    </row>
    <row r="134" spans="2:5" x14ac:dyDescent="0.25">
      <c r="B134" s="149">
        <v>46024</v>
      </c>
      <c r="C134" s="150" t="s">
        <v>281</v>
      </c>
      <c r="D134" s="92">
        <v>941918.2</v>
      </c>
      <c r="E134" s="150" t="s">
        <v>11</v>
      </c>
    </row>
    <row r="135" spans="2:5" x14ac:dyDescent="0.25">
      <c r="B135" s="149">
        <v>46024</v>
      </c>
      <c r="C135" s="150" t="s">
        <v>280</v>
      </c>
      <c r="D135" s="92">
        <v>4197230.5</v>
      </c>
      <c r="E135" s="150" t="s">
        <v>11</v>
      </c>
    </row>
    <row r="136" spans="2:5" x14ac:dyDescent="0.25">
      <c r="B136" s="149">
        <v>46024</v>
      </c>
      <c r="C136" s="150" t="s">
        <v>359</v>
      </c>
      <c r="D136" s="92">
        <v>314521.5</v>
      </c>
      <c r="E136" s="150" t="s">
        <v>11</v>
      </c>
    </row>
    <row r="137" spans="2:5" x14ac:dyDescent="0.25">
      <c r="B137" s="149">
        <v>46024</v>
      </c>
      <c r="C137" s="150" t="s">
        <v>444</v>
      </c>
      <c r="D137" s="92">
        <v>112641.8</v>
      </c>
      <c r="E137" s="150" t="s">
        <v>11</v>
      </c>
    </row>
    <row r="138" spans="2:5" x14ac:dyDescent="0.25">
      <c r="B138" s="149">
        <v>46025</v>
      </c>
      <c r="C138" s="150" t="s">
        <v>305</v>
      </c>
      <c r="D138" s="92">
        <v>400000</v>
      </c>
      <c r="E138" s="150" t="s">
        <v>11</v>
      </c>
    </row>
    <row r="139" spans="2:5" x14ac:dyDescent="0.25">
      <c r="B139" s="149">
        <v>46027</v>
      </c>
      <c r="C139" s="150" t="s">
        <v>305</v>
      </c>
      <c r="D139" s="92">
        <v>2000000</v>
      </c>
      <c r="E139" s="150" t="s">
        <v>11</v>
      </c>
    </row>
    <row r="140" spans="2:5" x14ac:dyDescent="0.25">
      <c r="B140" s="149">
        <v>46037</v>
      </c>
      <c r="C140" s="150" t="s">
        <v>453</v>
      </c>
      <c r="D140" s="92">
        <v>1062910.5</v>
      </c>
      <c r="E140" s="150" t="s">
        <v>11</v>
      </c>
    </row>
    <row r="141" spans="2:5" x14ac:dyDescent="0.25">
      <c r="B141" s="149">
        <v>46037</v>
      </c>
      <c r="C141" s="150" t="s">
        <v>453</v>
      </c>
      <c r="D141" s="92">
        <v>1062910.5</v>
      </c>
      <c r="E141" s="150" t="s">
        <v>10</v>
      </c>
    </row>
    <row r="142" spans="2:5" x14ac:dyDescent="0.25">
      <c r="B142" s="149">
        <v>46038</v>
      </c>
      <c r="C142" s="150" t="s">
        <v>305</v>
      </c>
      <c r="D142" s="92">
        <v>1668550.3</v>
      </c>
      <c r="E142" s="150" t="s">
        <v>11</v>
      </c>
    </row>
    <row r="143" spans="2:5" x14ac:dyDescent="0.25">
      <c r="B143" s="149">
        <v>46040</v>
      </c>
      <c r="C143" s="150" t="s">
        <v>464</v>
      </c>
      <c r="D143" s="92">
        <v>506220</v>
      </c>
      <c r="E143" s="150" t="s">
        <v>11</v>
      </c>
    </row>
    <row r="144" spans="2:5" x14ac:dyDescent="0.25">
      <c r="B144" s="149">
        <v>46040</v>
      </c>
      <c r="C144" s="150" t="s">
        <v>465</v>
      </c>
      <c r="D144" s="92">
        <v>363792</v>
      </c>
      <c r="E144" s="150" t="s">
        <v>11</v>
      </c>
    </row>
    <row r="145" spans="2:5" x14ac:dyDescent="0.25">
      <c r="B145" s="149">
        <v>46040</v>
      </c>
      <c r="C145" s="150" t="s">
        <v>466</v>
      </c>
      <c r="D145" s="92">
        <v>233376</v>
      </c>
      <c r="E145" s="150" t="s">
        <v>11</v>
      </c>
    </row>
    <row r="146" spans="2:5" x14ac:dyDescent="0.25">
      <c r="B146" s="149"/>
      <c r="C146" s="150" t="s">
        <v>467</v>
      </c>
      <c r="D146" s="92">
        <v>391400.62</v>
      </c>
      <c r="E146" s="150" t="s">
        <v>11</v>
      </c>
    </row>
    <row r="147" spans="2:5" x14ac:dyDescent="0.25">
      <c r="B147" s="149"/>
      <c r="C147" s="150" t="s">
        <v>467</v>
      </c>
      <c r="D147" s="92">
        <v>49435.58</v>
      </c>
      <c r="E147" s="150" t="s">
        <v>11</v>
      </c>
    </row>
    <row r="148" spans="2:5" x14ac:dyDescent="0.25">
      <c r="B148" s="149"/>
      <c r="C148" s="150" t="s">
        <v>467</v>
      </c>
      <c r="D148" s="92">
        <v>391400.62</v>
      </c>
      <c r="E148" s="150" t="s">
        <v>10</v>
      </c>
    </row>
    <row r="149" spans="2:5" x14ac:dyDescent="0.25">
      <c r="B149" s="149"/>
      <c r="C149" s="150" t="s">
        <v>468</v>
      </c>
      <c r="D149" s="92">
        <v>391400.62</v>
      </c>
      <c r="E149" s="150" t="s">
        <v>11</v>
      </c>
    </row>
    <row r="150" spans="2:5" x14ac:dyDescent="0.25">
      <c r="B150" s="149"/>
      <c r="C150" s="150" t="s">
        <v>468</v>
      </c>
      <c r="D150" s="92">
        <v>49435.58</v>
      </c>
      <c r="E150" s="150" t="s">
        <v>11</v>
      </c>
    </row>
    <row r="151" spans="2:5" x14ac:dyDescent="0.25">
      <c r="B151" s="149"/>
      <c r="C151" s="150" t="s">
        <v>468</v>
      </c>
      <c r="D151" s="92">
        <v>391400.62</v>
      </c>
      <c r="E151" s="150" t="s">
        <v>10</v>
      </c>
    </row>
    <row r="152" spans="2:5" x14ac:dyDescent="0.25">
      <c r="B152" s="149"/>
      <c r="C152" s="150" t="s">
        <v>469</v>
      </c>
      <c r="D152" s="92">
        <v>391400.62</v>
      </c>
      <c r="E152" s="150" t="s">
        <v>11</v>
      </c>
    </row>
    <row r="153" spans="2:5" x14ac:dyDescent="0.25">
      <c r="B153" s="149"/>
      <c r="C153" s="150" t="s">
        <v>469</v>
      </c>
      <c r="D153" s="92">
        <v>49435.58</v>
      </c>
      <c r="E153" s="150" t="s">
        <v>11</v>
      </c>
    </row>
    <row r="154" spans="2:5" x14ac:dyDescent="0.25">
      <c r="B154" s="149"/>
      <c r="C154" s="150" t="s">
        <v>469</v>
      </c>
      <c r="D154" s="92">
        <v>391400.62</v>
      </c>
      <c r="E154" s="150" t="s">
        <v>10</v>
      </c>
    </row>
    <row r="155" spans="2:5" x14ac:dyDescent="0.25">
      <c r="B155" s="149"/>
      <c r="C155" s="150" t="s">
        <v>470</v>
      </c>
      <c r="D155" s="92">
        <v>172457.38</v>
      </c>
      <c r="E155" s="150" t="s">
        <v>11</v>
      </c>
    </row>
    <row r="156" spans="2:5" x14ac:dyDescent="0.25">
      <c r="B156" s="149"/>
      <c r="C156" s="150" t="s">
        <v>470</v>
      </c>
      <c r="D156" s="92">
        <v>49435.58</v>
      </c>
      <c r="E156" s="150" t="s">
        <v>11</v>
      </c>
    </row>
    <row r="157" spans="2:5" x14ac:dyDescent="0.25">
      <c r="B157" s="149"/>
      <c r="C157" s="150" t="s">
        <v>470</v>
      </c>
      <c r="D157" s="92">
        <v>391400.62</v>
      </c>
      <c r="E157" s="150" t="s">
        <v>10</v>
      </c>
    </row>
    <row r="158" spans="2:5" x14ac:dyDescent="0.25">
      <c r="B158" s="149"/>
      <c r="C158" s="150" t="s">
        <v>472</v>
      </c>
      <c r="D158" s="92">
        <v>77495</v>
      </c>
      <c r="E158" s="150" t="s">
        <v>11</v>
      </c>
    </row>
    <row r="159" spans="2:5" x14ac:dyDescent="0.25">
      <c r="B159" s="149"/>
      <c r="C159" s="150" t="s">
        <v>471</v>
      </c>
      <c r="D159" s="92">
        <v>172457.38</v>
      </c>
      <c r="E159" s="150" t="s">
        <v>11</v>
      </c>
    </row>
    <row r="160" spans="2:5" x14ac:dyDescent="0.25">
      <c r="B160" s="149"/>
      <c r="C160" s="150" t="s">
        <v>471</v>
      </c>
      <c r="D160" s="92">
        <v>49435.58</v>
      </c>
      <c r="E160" s="150" t="s">
        <v>11</v>
      </c>
    </row>
    <row r="161" spans="2:5" x14ac:dyDescent="0.25">
      <c r="B161" s="149"/>
      <c r="C161" s="150" t="s">
        <v>471</v>
      </c>
      <c r="D161" s="92">
        <v>391400.62</v>
      </c>
      <c r="E161" s="150" t="s">
        <v>10</v>
      </c>
    </row>
    <row r="162" spans="2:5" x14ac:dyDescent="0.25">
      <c r="B162" s="149">
        <v>46041</v>
      </c>
      <c r="C162" s="150" t="s">
        <v>473</v>
      </c>
      <c r="D162" s="92">
        <v>57000</v>
      </c>
      <c r="E162" s="150" t="s">
        <v>11</v>
      </c>
    </row>
    <row r="163" spans="2:5" x14ac:dyDescent="0.25">
      <c r="B163" s="149">
        <v>46041</v>
      </c>
      <c r="C163" s="150" t="s">
        <v>474</v>
      </c>
      <c r="D163" s="92">
        <v>58000</v>
      </c>
      <c r="E163" s="150" t="s">
        <v>11</v>
      </c>
    </row>
    <row r="164" spans="2:5" x14ac:dyDescent="0.25">
      <c r="B164" s="149">
        <v>46041</v>
      </c>
      <c r="C164" s="150" t="s">
        <v>475</v>
      </c>
      <c r="D164" s="92">
        <v>59000</v>
      </c>
      <c r="E164" s="150" t="s">
        <v>11</v>
      </c>
    </row>
    <row r="165" spans="2:5" x14ac:dyDescent="0.25">
      <c r="B165" s="149">
        <v>46041</v>
      </c>
      <c r="C165" s="150" t="s">
        <v>476</v>
      </c>
      <c r="D165" s="92">
        <v>60400</v>
      </c>
      <c r="E165" s="150" t="s">
        <v>11</v>
      </c>
    </row>
    <row r="166" spans="2:5" x14ac:dyDescent="0.25">
      <c r="B166" s="149"/>
      <c r="C166" s="150" t="s">
        <v>477</v>
      </c>
      <c r="D166" s="230">
        <v>999007.65</v>
      </c>
      <c r="E166" s="150" t="s">
        <v>11</v>
      </c>
    </row>
    <row r="167" spans="2:5" x14ac:dyDescent="0.25">
      <c r="B167" s="149"/>
      <c r="C167" s="150" t="s">
        <v>477</v>
      </c>
      <c r="D167" s="173">
        <v>447346.93</v>
      </c>
      <c r="E167" s="150" t="s">
        <v>11</v>
      </c>
    </row>
    <row r="168" spans="2:5" x14ac:dyDescent="0.25">
      <c r="B168" s="149"/>
      <c r="C168" s="150" t="s">
        <v>477</v>
      </c>
      <c r="D168" s="230">
        <v>447346.93</v>
      </c>
      <c r="E168" s="150" t="s">
        <v>10</v>
      </c>
    </row>
    <row r="169" spans="2:5" x14ac:dyDescent="0.25">
      <c r="B169" s="149"/>
      <c r="C169" s="150" t="s">
        <v>478</v>
      </c>
      <c r="D169" s="230">
        <v>999007.65</v>
      </c>
      <c r="E169" s="150" t="s">
        <v>11</v>
      </c>
    </row>
    <row r="170" spans="2:5" x14ac:dyDescent="0.25">
      <c r="B170" s="149"/>
      <c r="C170" s="150" t="s">
        <v>478</v>
      </c>
      <c r="D170" s="173">
        <v>447346.93</v>
      </c>
      <c r="E170" s="150" t="s">
        <v>11</v>
      </c>
    </row>
    <row r="171" spans="2:5" x14ac:dyDescent="0.25">
      <c r="B171" s="149"/>
      <c r="C171" s="150" t="s">
        <v>478</v>
      </c>
      <c r="D171" s="230">
        <v>447346.93</v>
      </c>
      <c r="E171" s="150" t="s">
        <v>10</v>
      </c>
    </row>
    <row r="172" spans="2:5" x14ac:dyDescent="0.25">
      <c r="B172" s="149"/>
      <c r="C172" s="150" t="s">
        <v>479</v>
      </c>
      <c r="D172" s="230">
        <v>999007.65</v>
      </c>
      <c r="E172" s="150" t="s">
        <v>11</v>
      </c>
    </row>
    <row r="173" spans="2:5" x14ac:dyDescent="0.25">
      <c r="B173" s="149"/>
      <c r="C173" s="150" t="s">
        <v>479</v>
      </c>
      <c r="D173" s="173">
        <v>447346.93</v>
      </c>
      <c r="E173" s="150" t="s">
        <v>11</v>
      </c>
    </row>
    <row r="174" spans="2:5" x14ac:dyDescent="0.25">
      <c r="B174" s="149"/>
      <c r="C174" s="150" t="s">
        <v>479</v>
      </c>
      <c r="D174" s="230">
        <v>447346.93</v>
      </c>
      <c r="E174" s="150" t="s">
        <v>10</v>
      </c>
    </row>
    <row r="175" spans="2:5" x14ac:dyDescent="0.25">
      <c r="B175" s="149"/>
      <c r="C175" s="150" t="s">
        <v>480</v>
      </c>
      <c r="D175" s="230">
        <v>999007.65</v>
      </c>
      <c r="E175" s="150" t="s">
        <v>11</v>
      </c>
    </row>
    <row r="176" spans="2:5" x14ac:dyDescent="0.25">
      <c r="B176" s="149"/>
      <c r="C176" s="150" t="s">
        <v>480</v>
      </c>
      <c r="D176" s="230">
        <v>447346.93</v>
      </c>
      <c r="E176" s="150" t="s">
        <v>11</v>
      </c>
    </row>
    <row r="177" spans="2:5" x14ac:dyDescent="0.25">
      <c r="B177" s="149"/>
      <c r="C177" s="150" t="s">
        <v>480</v>
      </c>
      <c r="D177" s="230">
        <v>447346.93</v>
      </c>
      <c r="E177" s="150" t="s">
        <v>10</v>
      </c>
    </row>
    <row r="178" spans="2:5" x14ac:dyDescent="0.25">
      <c r="B178" s="149"/>
      <c r="C178" s="150" t="s">
        <v>481</v>
      </c>
      <c r="D178" s="230">
        <v>999007.65</v>
      </c>
      <c r="E178" s="150" t="s">
        <v>11</v>
      </c>
    </row>
    <row r="179" spans="2:5" x14ac:dyDescent="0.25">
      <c r="B179" s="149"/>
      <c r="C179" s="150" t="s">
        <v>481</v>
      </c>
      <c r="D179" s="230">
        <v>447346.93</v>
      </c>
      <c r="E179" s="150" t="s">
        <v>11</v>
      </c>
    </row>
    <row r="180" spans="2:5" x14ac:dyDescent="0.25">
      <c r="B180" s="149"/>
      <c r="C180" s="150" t="s">
        <v>481</v>
      </c>
      <c r="D180" s="230">
        <v>447346.93</v>
      </c>
      <c r="E180" s="150" t="s">
        <v>10</v>
      </c>
    </row>
    <row r="181" spans="2:5" x14ac:dyDescent="0.25">
      <c r="B181" s="149"/>
      <c r="C181" s="150" t="s">
        <v>482</v>
      </c>
      <c r="D181" s="230">
        <v>999007.65</v>
      </c>
      <c r="E181" s="150" t="s">
        <v>11</v>
      </c>
    </row>
    <row r="182" spans="2:5" x14ac:dyDescent="0.25">
      <c r="B182" s="149"/>
      <c r="C182" s="150" t="s">
        <v>482</v>
      </c>
      <c r="D182" s="230">
        <v>447346.93</v>
      </c>
      <c r="E182" s="150" t="s">
        <v>11</v>
      </c>
    </row>
    <row r="183" spans="2:5" x14ac:dyDescent="0.25">
      <c r="B183" s="149"/>
      <c r="C183" s="150" t="s">
        <v>482</v>
      </c>
      <c r="D183" s="230">
        <v>447346.93</v>
      </c>
      <c r="E183" s="150" t="s">
        <v>10</v>
      </c>
    </row>
    <row r="184" spans="2:5" x14ac:dyDescent="0.25">
      <c r="B184" s="149"/>
      <c r="C184" s="150" t="s">
        <v>483</v>
      </c>
      <c r="D184" s="230">
        <v>999007.65</v>
      </c>
      <c r="E184" s="150" t="s">
        <v>11</v>
      </c>
    </row>
    <row r="185" spans="2:5" x14ac:dyDescent="0.25">
      <c r="B185" s="149"/>
      <c r="C185" s="150" t="s">
        <v>483</v>
      </c>
      <c r="D185" s="230">
        <v>447346.93</v>
      </c>
      <c r="E185" s="150" t="s">
        <v>11</v>
      </c>
    </row>
    <row r="186" spans="2:5" x14ac:dyDescent="0.25">
      <c r="B186" s="149"/>
      <c r="C186" s="150" t="s">
        <v>483</v>
      </c>
      <c r="D186" s="230">
        <v>447346.93</v>
      </c>
      <c r="E186" s="150" t="s">
        <v>10</v>
      </c>
    </row>
    <row r="187" spans="2:5" x14ac:dyDescent="0.25">
      <c r="B187" s="149">
        <v>46049</v>
      </c>
      <c r="C187" s="150" t="s">
        <v>485</v>
      </c>
      <c r="D187" s="92">
        <v>2096000</v>
      </c>
      <c r="E187" s="150" t="s">
        <v>11</v>
      </c>
    </row>
    <row r="188" spans="2:5" x14ac:dyDescent="0.25">
      <c r="B188" s="149">
        <v>46051</v>
      </c>
      <c r="C188" s="150" t="s">
        <v>486</v>
      </c>
      <c r="D188" s="92">
        <v>952723.51</v>
      </c>
      <c r="E188" s="150" t="s">
        <v>11</v>
      </c>
    </row>
    <row r="189" spans="2:5" x14ac:dyDescent="0.25">
      <c r="B189" s="149">
        <v>46051</v>
      </c>
      <c r="C189" s="150" t="s">
        <v>486</v>
      </c>
      <c r="D189" s="92">
        <v>952723.51</v>
      </c>
      <c r="E189" s="150" t="s">
        <v>10</v>
      </c>
    </row>
    <row r="190" spans="2:5" x14ac:dyDescent="0.25">
      <c r="B190" s="149">
        <v>46057</v>
      </c>
      <c r="C190" s="150" t="s">
        <v>486</v>
      </c>
      <c r="D190" s="92">
        <v>145776.5</v>
      </c>
      <c r="E190" s="150" t="s">
        <v>11</v>
      </c>
    </row>
    <row r="191" spans="2:5" x14ac:dyDescent="0.25">
      <c r="B191" s="149">
        <v>46057</v>
      </c>
      <c r="C191" s="150" t="s">
        <v>486</v>
      </c>
      <c r="D191" s="92">
        <v>145776.5</v>
      </c>
      <c r="E191" s="150" t="s">
        <v>10</v>
      </c>
    </row>
    <row r="192" spans="2:5" x14ac:dyDescent="0.25">
      <c r="B192" s="149">
        <v>46057</v>
      </c>
      <c r="C192" s="150" t="s">
        <v>305</v>
      </c>
      <c r="D192" s="92">
        <v>427800</v>
      </c>
      <c r="E192" s="150" t="s">
        <v>11</v>
      </c>
    </row>
    <row r="193" spans="2:5" x14ac:dyDescent="0.25">
      <c r="B193" s="149">
        <v>46057</v>
      </c>
      <c r="C193" s="150" t="s">
        <v>485</v>
      </c>
      <c r="D193" s="92">
        <v>2377980</v>
      </c>
      <c r="E193" s="150" t="s">
        <v>10</v>
      </c>
    </row>
    <row r="194" spans="2:5" x14ac:dyDescent="0.25">
      <c r="B194" s="149">
        <v>46064</v>
      </c>
      <c r="C194" s="150" t="s">
        <v>486</v>
      </c>
      <c r="D194" s="92">
        <v>537560.34</v>
      </c>
      <c r="E194" s="150" t="s">
        <v>11</v>
      </c>
    </row>
    <row r="195" spans="2:5" x14ac:dyDescent="0.25">
      <c r="B195" s="149">
        <v>46064</v>
      </c>
      <c r="C195" s="150" t="s">
        <v>486</v>
      </c>
      <c r="D195" s="92">
        <v>537560.34</v>
      </c>
      <c r="E195" s="150" t="s">
        <v>10</v>
      </c>
    </row>
    <row r="196" spans="2:5" x14ac:dyDescent="0.25">
      <c r="B196" s="149">
        <v>46083</v>
      </c>
      <c r="C196" s="150" t="s">
        <v>305</v>
      </c>
      <c r="D196" s="92">
        <v>300000</v>
      </c>
      <c r="E196" s="150" t="s">
        <v>11</v>
      </c>
    </row>
    <row r="197" spans="2:5" x14ac:dyDescent="0.25">
      <c r="B197" s="149">
        <v>46091</v>
      </c>
      <c r="C197" s="150" t="s">
        <v>305</v>
      </c>
      <c r="D197" s="92">
        <v>341700</v>
      </c>
      <c r="E197" s="150" t="s">
        <v>11</v>
      </c>
    </row>
    <row r="198" spans="2:5" x14ac:dyDescent="0.25">
      <c r="B198" s="149">
        <v>46102</v>
      </c>
      <c r="C198" s="150" t="s">
        <v>486</v>
      </c>
      <c r="D198" s="92">
        <v>314452.15999999997</v>
      </c>
      <c r="E198" s="150" t="s">
        <v>11</v>
      </c>
    </row>
    <row r="199" spans="2:5" x14ac:dyDescent="0.25">
      <c r="B199" s="149">
        <v>46102</v>
      </c>
      <c r="C199" s="150" t="s">
        <v>486</v>
      </c>
      <c r="D199" s="92">
        <v>314452.15999999997</v>
      </c>
      <c r="E199" s="150" t="s">
        <v>10</v>
      </c>
    </row>
    <row r="200" spans="2:5" x14ac:dyDescent="0.25">
      <c r="B200" s="149">
        <v>46106</v>
      </c>
      <c r="C200" s="150" t="s">
        <v>444</v>
      </c>
      <c r="D200" s="92">
        <v>1326075</v>
      </c>
      <c r="E200" s="150" t="s">
        <v>11</v>
      </c>
    </row>
    <row r="201" spans="2:5" x14ac:dyDescent="0.25">
      <c r="B201" s="149">
        <v>46106</v>
      </c>
      <c r="C201" s="150" t="s">
        <v>444</v>
      </c>
      <c r="D201" s="92">
        <v>1326075</v>
      </c>
      <c r="E201" s="150" t="s">
        <v>10</v>
      </c>
    </row>
    <row r="202" spans="2:5" x14ac:dyDescent="0.25">
      <c r="B202" s="149">
        <v>46125</v>
      </c>
      <c r="C202" s="150" t="s">
        <v>305</v>
      </c>
      <c r="D202" s="92">
        <v>400000</v>
      </c>
      <c r="E202" s="150" t="s">
        <v>11</v>
      </c>
    </row>
    <row r="203" spans="2:5" x14ac:dyDescent="0.25">
      <c r="B203" s="149">
        <v>46143</v>
      </c>
      <c r="C203" s="150" t="s">
        <v>305</v>
      </c>
      <c r="D203" s="92">
        <v>200000</v>
      </c>
      <c r="E203" s="150" t="s">
        <v>11</v>
      </c>
    </row>
    <row r="204" spans="2:5" x14ac:dyDescent="0.25">
      <c r="B204" s="149">
        <v>46173</v>
      </c>
      <c r="C204" s="150" t="s">
        <v>305</v>
      </c>
      <c r="D204" s="92">
        <v>300000</v>
      </c>
      <c r="E204" s="150" t="s">
        <v>11</v>
      </c>
    </row>
    <row r="205" spans="2:5" x14ac:dyDescent="0.25">
      <c r="B205" s="149">
        <v>46175</v>
      </c>
      <c r="C205" s="150" t="s">
        <v>280</v>
      </c>
      <c r="D205" s="92">
        <v>300000</v>
      </c>
      <c r="E205" s="150" t="s">
        <v>11</v>
      </c>
    </row>
    <row r="206" spans="2:5" x14ac:dyDescent="0.25">
      <c r="B206" s="149">
        <v>46185</v>
      </c>
      <c r="C206" s="150" t="s">
        <v>503</v>
      </c>
      <c r="D206" s="92">
        <v>300000</v>
      </c>
      <c r="E206" s="150" t="s">
        <v>10</v>
      </c>
    </row>
    <row r="207" spans="2:5" x14ac:dyDescent="0.25">
      <c r="B207" s="149">
        <v>46186</v>
      </c>
      <c r="C207" s="150" t="s">
        <v>280</v>
      </c>
      <c r="D207" s="92">
        <v>600000</v>
      </c>
      <c r="E207" s="150" t="s">
        <v>11</v>
      </c>
    </row>
    <row r="208" spans="2:5" x14ac:dyDescent="0.25">
      <c r="B208" s="149">
        <v>46186</v>
      </c>
      <c r="C208" s="150" t="s">
        <v>305</v>
      </c>
      <c r="D208" s="92">
        <v>300000</v>
      </c>
      <c r="E208" s="150" t="s">
        <v>11</v>
      </c>
    </row>
    <row r="209" spans="2:5" x14ac:dyDescent="0.25">
      <c r="B209" s="149">
        <v>46195</v>
      </c>
      <c r="C209" s="150" t="s">
        <v>277</v>
      </c>
      <c r="D209" s="92">
        <v>162800</v>
      </c>
      <c r="E209" s="150" t="s">
        <v>10</v>
      </c>
    </row>
    <row r="210" spans="2:5" x14ac:dyDescent="0.25">
      <c r="B210" s="149">
        <v>46207</v>
      </c>
      <c r="C210" s="150" t="s">
        <v>465</v>
      </c>
      <c r="D210" s="92">
        <v>337591.8</v>
      </c>
      <c r="E210" s="150" t="s">
        <v>11</v>
      </c>
    </row>
    <row r="211" spans="2:5" x14ac:dyDescent="0.25">
      <c r="B211" s="149">
        <v>46207</v>
      </c>
      <c r="C211" s="150" t="s">
        <v>280</v>
      </c>
      <c r="D211" s="92">
        <v>105421.2</v>
      </c>
      <c r="E211" s="150" t="s">
        <v>11</v>
      </c>
    </row>
    <row r="212" spans="2:5" x14ac:dyDescent="0.25">
      <c r="B212" s="149">
        <v>46207</v>
      </c>
      <c r="C212" s="150" t="s">
        <v>305</v>
      </c>
      <c r="D212" s="92">
        <v>100800</v>
      </c>
      <c r="E212" s="150" t="s">
        <v>11</v>
      </c>
    </row>
    <row r="213" spans="2:5" x14ac:dyDescent="0.25">
      <c r="B213" s="149">
        <v>46208</v>
      </c>
      <c r="C213" s="150" t="s">
        <v>452</v>
      </c>
      <c r="D213" s="92">
        <v>962500</v>
      </c>
      <c r="E213" s="150" t="s">
        <v>11</v>
      </c>
    </row>
    <row r="214" spans="2:5" x14ac:dyDescent="0.25">
      <c r="B214" s="149"/>
      <c r="C214" s="150"/>
      <c r="D214" s="92"/>
      <c r="E214" s="150"/>
    </row>
    <row r="215" spans="2:5" x14ac:dyDescent="0.25">
      <c r="B215" s="149"/>
      <c r="C215" s="150"/>
      <c r="D215" s="92"/>
      <c r="E215" s="150"/>
    </row>
    <row r="216" spans="2:5" x14ac:dyDescent="0.25">
      <c r="B216" s="149"/>
      <c r="C216" s="150"/>
      <c r="D216" s="92"/>
      <c r="E216" s="150"/>
    </row>
    <row r="217" spans="2:5" x14ac:dyDescent="0.25">
      <c r="B217" s="149"/>
      <c r="C217" s="150"/>
      <c r="D217" s="92"/>
      <c r="E217" s="150"/>
    </row>
    <row r="218" spans="2:5" x14ac:dyDescent="0.25">
      <c r="B218" s="149"/>
      <c r="C218" s="150"/>
      <c r="D218" s="92"/>
      <c r="E218" s="150"/>
    </row>
    <row r="219" spans="2:5" x14ac:dyDescent="0.25">
      <c r="B219" s="149"/>
      <c r="C219" s="150"/>
      <c r="D219" s="151"/>
      <c r="E219" s="150"/>
    </row>
    <row r="220" spans="2:5" x14ac:dyDescent="0.25">
      <c r="B220" s="79"/>
      <c r="C220" s="70"/>
      <c r="D220" s="83"/>
      <c r="E220" s="70"/>
    </row>
    <row r="221" spans="2:5" x14ac:dyDescent="0.25">
      <c r="B221" s="81" t="s">
        <v>9</v>
      </c>
      <c r="C221" s="82" t="s">
        <v>4</v>
      </c>
      <c r="D221" s="101">
        <f>SUM(D7:D220)</f>
        <v>112619502.9209922</v>
      </c>
      <c r="E221" s="70" t="s">
        <v>4</v>
      </c>
    </row>
  </sheetData>
  <autoFilter ref="B6:S213" xr:uid="{00000000-0009-0000-0000-000003000000}"/>
  <mergeCells count="3">
    <mergeCell ref="H3:I3"/>
    <mergeCell ref="L3:M3"/>
    <mergeCell ref="P3:Q3"/>
  </mergeCells>
  <dataValidations count="1">
    <dataValidation type="list" allowBlank="1" showInputMessage="1" showErrorMessage="1" sqref="E7:E220" xr:uid="{00000000-0002-0000-0300-000000000000}">
      <formula1>"Tomas, Agustin, Paco"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B1:L141"/>
  <sheetViews>
    <sheetView showGridLines="0" zoomScaleNormal="100" workbookViewId="0">
      <selection activeCell="K9" sqref="K9"/>
    </sheetView>
  </sheetViews>
  <sheetFormatPr baseColWidth="10" defaultRowHeight="15" x14ac:dyDescent="0.25"/>
  <cols>
    <col min="1" max="1" width="7.140625" customWidth="1"/>
    <col min="3" max="3" width="30.5703125" bestFit="1" customWidth="1"/>
    <col min="4" max="5" width="16.28515625" bestFit="1" customWidth="1"/>
    <col min="6" max="6" width="16.7109375" bestFit="1" customWidth="1"/>
    <col min="7" max="7" width="14.7109375" customWidth="1"/>
    <col min="8" max="8" width="12.42578125" customWidth="1"/>
  </cols>
  <sheetData>
    <row r="1" spans="2:12" ht="5.25" customHeight="1" x14ac:dyDescent="0.25">
      <c r="B1" s="50"/>
      <c r="C1" s="50"/>
      <c r="D1" s="50"/>
      <c r="E1" s="50"/>
      <c r="F1" s="50"/>
      <c r="G1" s="50"/>
      <c r="H1" s="50"/>
      <c r="I1" s="50"/>
    </row>
    <row r="2" spans="2:12" ht="26.25" customHeight="1" x14ac:dyDescent="0.4">
      <c r="B2" s="35" t="s">
        <v>127</v>
      </c>
    </row>
    <row r="3" spans="2:12" ht="15" customHeight="1" x14ac:dyDescent="0.4">
      <c r="B3" s="35"/>
    </row>
    <row r="4" spans="2:12" x14ac:dyDescent="0.25">
      <c r="B4" s="72" t="s">
        <v>29</v>
      </c>
      <c r="C4" s="72" t="s">
        <v>6</v>
      </c>
      <c r="D4" s="72" t="s">
        <v>9</v>
      </c>
      <c r="E4" s="72" t="s">
        <v>129</v>
      </c>
      <c r="F4" s="72" t="s">
        <v>128</v>
      </c>
      <c r="G4" s="72" t="s">
        <v>217</v>
      </c>
      <c r="H4" s="72" t="s">
        <v>57</v>
      </c>
      <c r="I4" s="72" t="s">
        <v>129</v>
      </c>
      <c r="J4" t="s">
        <v>4</v>
      </c>
    </row>
    <row r="5" spans="2:12" hidden="1" x14ac:dyDescent="0.25">
      <c r="B5" s="139">
        <v>1</v>
      </c>
      <c r="C5" s="70" t="str">
        <f>IFERROR(VLOOKUP(B5,Referencias!$B$7:$C$154,2,FALSE),"")</f>
        <v>Daniel Lanz</v>
      </c>
      <c r="D5" s="83">
        <f>SUMIF(Trabajos!$E$5:$E$394,B5,Trabajos!$P$5:$P$394)+SUMIF('Trabajos 2'!$E$5:$E$156,B5,'Trabajos 2'!$P$5:$P$156)</f>
        <v>0</v>
      </c>
      <c r="E5" s="83">
        <f>SUMIF(Ingresos!$C$6:$C$115,B5,Ingresos!$E$6:$E$115)</f>
        <v>0</v>
      </c>
      <c r="F5" s="141">
        <f>E5-D5</f>
        <v>0</v>
      </c>
      <c r="G5" s="219"/>
      <c r="H5" s="70"/>
      <c r="I5" s="70"/>
    </row>
    <row r="6" spans="2:12" hidden="1" x14ac:dyDescent="0.25">
      <c r="B6" s="139">
        <v>2</v>
      </c>
      <c r="C6" s="70" t="str">
        <f>IFERROR(VLOOKUP(B6,Referencias!$B$7:$C$154,2,FALSE),"")</f>
        <v>Land Management</v>
      </c>
      <c r="D6" s="83">
        <f>SUMIF(Trabajos!$E$5:$E$394,B6,Trabajos!$P$5:$P$394)+SUMIF('Trabajos 2'!$E$5:$E$156,B6,'Trabajos 2'!$P$5:$P$156)</f>
        <v>0</v>
      </c>
      <c r="E6" s="83">
        <f>SUMIF(Ingresos!$C$6:$C$115,B6,Ingresos!$E$6:$E$115)</f>
        <v>0</v>
      </c>
      <c r="F6" s="141">
        <f t="shared" ref="F6:F69" si="0">E6-D6</f>
        <v>0</v>
      </c>
      <c r="G6" s="219"/>
      <c r="H6" s="70"/>
      <c r="I6" s="70"/>
    </row>
    <row r="7" spans="2:12" hidden="1" x14ac:dyDescent="0.25">
      <c r="B7" s="139">
        <v>3</v>
      </c>
      <c r="C7" s="70" t="str">
        <f>IFERROR(VLOOKUP(B7,Referencias!$B$7:$C$154,2,FALSE),"")</f>
        <v>Martin Santamaria</v>
      </c>
      <c r="D7" s="83">
        <f>SUMIF(Trabajos!$E$5:$E$394,B7,Trabajos!$P$5:$P$394)+SUMIF('Trabajos 2'!$E$5:$E$156,B7,'Trabajos 2'!$P$5:$P$156)</f>
        <v>0</v>
      </c>
      <c r="E7" s="83">
        <f>SUMIF(Ingresos!$C$6:$C$115,B7,Ingresos!$E$6:$E$115)</f>
        <v>0</v>
      </c>
      <c r="F7" s="141">
        <f t="shared" si="0"/>
        <v>0</v>
      </c>
      <c r="G7" s="219"/>
      <c r="H7" s="70"/>
      <c r="I7" s="70"/>
    </row>
    <row r="8" spans="2:12" x14ac:dyDescent="0.25">
      <c r="B8" s="139">
        <v>4</v>
      </c>
      <c r="C8" s="70" t="str">
        <f>IFERROR(VLOOKUP(B8,Referencias!$B$7:$C$154,2,FALSE),"")</f>
        <v>Purtierra</v>
      </c>
      <c r="D8" s="83">
        <f>SUMIF(Trabajos!$E$5:$E$394,B8,Trabajos!$P$5:$P$394)+SUMIF('Trabajos 2'!$E$5:$E$156,B8,'Trabajos 2'!$P$5:$P$156)</f>
        <v>3324804</v>
      </c>
      <c r="E8" s="83">
        <f>SUMIF(Ingresos!$C$6:$C$115,B8,Ingresos!$E$6:$E$115)</f>
        <v>3324804</v>
      </c>
      <c r="F8" s="141">
        <f t="shared" si="0"/>
        <v>0</v>
      </c>
      <c r="G8" s="237"/>
      <c r="H8" s="237"/>
      <c r="I8" s="150"/>
    </row>
    <row r="9" spans="2:12" x14ac:dyDescent="0.25">
      <c r="B9" s="139">
        <v>5</v>
      </c>
      <c r="C9" s="70" t="str">
        <f>IFERROR(VLOOKUP(B9,Referencias!$B$7:$C$154,2,FALSE),"")</f>
        <v>Cofina Agro</v>
      </c>
      <c r="D9" s="83">
        <f>SUMIF(Trabajos!$E$5:$E$394,B9,Trabajos!$P$5:$P$394)+SUMIF('Trabajos 2'!$E$5:$E$156,B9,'Trabajos 2'!$P$5:$P$156)</f>
        <v>1704025</v>
      </c>
      <c r="E9" s="83">
        <f>SUMIF(Ingresos!$C$6:$C$115,B9,Ingresos!$E$6:$E$115)</f>
        <v>1704024.9999999998</v>
      </c>
      <c r="F9" s="141">
        <f t="shared" si="0"/>
        <v>0</v>
      </c>
      <c r="G9" s="237"/>
      <c r="H9" s="237"/>
      <c r="I9" s="150"/>
    </row>
    <row r="10" spans="2:12" x14ac:dyDescent="0.25">
      <c r="B10" s="139">
        <v>6</v>
      </c>
      <c r="C10" s="70" t="str">
        <f>IFERROR(VLOOKUP(B10,Referencias!$B$7:$C$154,2,FALSE),"")</f>
        <v>La Nany S.A.</v>
      </c>
      <c r="D10" s="83">
        <f>SUMIF(Trabajos!$E$5:$E$394,B10,Trabajos!$P$5:$P$394)+SUMIF('Trabajos 2'!$E$5:$E$156,B10,'Trabajos 2'!$P$5:$P$156)</f>
        <v>6135499.75</v>
      </c>
      <c r="E10" s="83">
        <f>SUMIF(Ingresos!$C$6:$C$115,B10,Ingresos!$E$6:$E$115)</f>
        <v>6135499.75</v>
      </c>
      <c r="F10" s="141">
        <f t="shared" si="0"/>
        <v>0</v>
      </c>
      <c r="G10" s="237"/>
      <c r="H10" s="237"/>
      <c r="I10" s="150"/>
      <c r="J10" t="s">
        <v>4</v>
      </c>
      <c r="L10" t="s">
        <v>4</v>
      </c>
    </row>
    <row r="11" spans="2:12" hidden="1" x14ac:dyDescent="0.25">
      <c r="B11" s="139">
        <v>7</v>
      </c>
      <c r="C11" s="70" t="str">
        <f>IFERROR(VLOOKUP(B11,Referencias!$B$7:$C$154,2,FALSE),"")</f>
        <v>Agrar del Sur</v>
      </c>
      <c r="D11" s="83">
        <f>SUMIF(Trabajos!$E$5:$E$394,B11,Trabajos!$P$5:$P$394)+SUMIF('Trabajos 2'!$E$5:$E$156,B11,'Trabajos 2'!$P$5:$P$156)</f>
        <v>0</v>
      </c>
      <c r="E11" s="83">
        <f>SUMIF(Ingresos!$C$6:$C$115,B11,Ingresos!$E$6:$E$115)</f>
        <v>0</v>
      </c>
      <c r="F11" s="141">
        <f t="shared" si="0"/>
        <v>0</v>
      </c>
      <c r="G11" s="219"/>
      <c r="H11" s="219"/>
      <c r="I11" s="70"/>
    </row>
    <row r="12" spans="2:12" x14ac:dyDescent="0.25">
      <c r="B12" s="139">
        <v>8</v>
      </c>
      <c r="C12" s="70" t="str">
        <f>IFERROR(VLOOKUP(B12,Referencias!$B$7:$C$154,2,FALSE),"")</f>
        <v>Baltan Agropecuaria</v>
      </c>
      <c r="D12" s="83">
        <f>SUMIF(Trabajos!$E$5:$E$394,B12,Trabajos!$P$5:$P$394)+SUMIF('Trabajos 2'!$E$5:$E$156,B12,'Trabajos 2'!$P$5:$P$156)</f>
        <v>556973.25</v>
      </c>
      <c r="E12" s="83">
        <f>SUMIF(Ingresos!$C$6:$C$115,B12,Ingresos!$E$6:$E$115)</f>
        <v>556973.25</v>
      </c>
      <c r="F12" s="141">
        <f t="shared" si="0"/>
        <v>0</v>
      </c>
      <c r="G12" s="237"/>
      <c r="H12" s="237"/>
      <c r="I12" s="150"/>
      <c r="J12" t="s">
        <v>4</v>
      </c>
    </row>
    <row r="13" spans="2:12" hidden="1" x14ac:dyDescent="0.25">
      <c r="B13" s="139">
        <v>9</v>
      </c>
      <c r="C13" s="70" t="str">
        <f>IFERROR(VLOOKUP(B13,Referencias!$B$7:$C$154,2,FALSE),"")</f>
        <v>Alberto Oscar Moran</v>
      </c>
      <c r="D13" s="83">
        <f>SUMIF(Trabajos!$E$5:$E$394,B13,Trabajos!$P$5:$P$394)+SUMIF('Trabajos 2'!$E$5:$E$156,B13,'Trabajos 2'!$P$5:$P$156)</f>
        <v>0</v>
      </c>
      <c r="E13" s="83">
        <f>SUMIF(Ingresos!$C$6:$C$115,B13,Ingresos!$E$6:$E$115)</f>
        <v>0</v>
      </c>
      <c r="F13" s="141">
        <f t="shared" si="0"/>
        <v>0</v>
      </c>
      <c r="G13" s="219"/>
      <c r="H13" s="219"/>
      <c r="I13" s="70"/>
    </row>
    <row r="14" spans="2:12" hidden="1" x14ac:dyDescent="0.25">
      <c r="B14" s="139">
        <v>10</v>
      </c>
      <c r="C14" s="70" t="str">
        <f>IFERROR(VLOOKUP(B14,Referencias!$B$7:$C$154,2,FALSE),"")</f>
        <v>Tibus S.A.</v>
      </c>
      <c r="D14" s="83">
        <f>SUMIF(Trabajos!$E$5:$E$394,B14,Trabajos!$P$5:$P$394)+SUMIF('Trabajos 2'!$E$5:$E$156,B14,'Trabajos 2'!$P$5:$P$156)</f>
        <v>0</v>
      </c>
      <c r="E14" s="83">
        <f>SUMIF(Ingresos!$C$6:$C$115,B14,Ingresos!$E$6:$E$115)</f>
        <v>0</v>
      </c>
      <c r="F14" s="141">
        <f t="shared" si="0"/>
        <v>0</v>
      </c>
      <c r="G14" s="219"/>
      <c r="H14" s="219"/>
      <c r="I14" s="70"/>
    </row>
    <row r="15" spans="2:12" x14ac:dyDescent="0.25">
      <c r="B15" s="139">
        <v>11</v>
      </c>
      <c r="C15" s="70" t="str">
        <f>IFERROR(VLOOKUP(B15,Referencias!$B$7:$C$154,2,FALSE),"")</f>
        <v>Carlos Fernando Fuertes</v>
      </c>
      <c r="D15" s="83">
        <f>SUMIF(Trabajos!$E$5:$E$394,B15,Trabajos!$P$5:$P$394)+SUMIF('Trabajos 2'!$E$5:$E$156,B15,'Trabajos 2'!$P$5:$P$156)</f>
        <v>6095260</v>
      </c>
      <c r="E15" s="83">
        <f>SUMIF(Ingresos!$C$6:$C$115,B15,Ingresos!$E$6:$E$115)</f>
        <v>5033260.0199999996</v>
      </c>
      <c r="F15" s="141">
        <f t="shared" si="0"/>
        <v>-1061999.9800000004</v>
      </c>
      <c r="G15" s="237"/>
      <c r="H15" s="237"/>
      <c r="I15" s="237"/>
    </row>
    <row r="16" spans="2:12" hidden="1" x14ac:dyDescent="0.25">
      <c r="B16" s="139">
        <v>12</v>
      </c>
      <c r="C16" s="70" t="str">
        <f>IFERROR(VLOOKUP(B16,Referencias!$B$7:$C$154,2,FALSE),"")</f>
        <v>Miron y Alfonso/Iocco Palladino</v>
      </c>
      <c r="D16" s="83">
        <f>SUMIF(Trabajos!$E$5:$E$394,B16,Trabajos!$P$5:$P$394)+SUMIF('Trabajos 2'!$E$5:$E$156,B16,'Trabajos 2'!$P$5:$P$156)</f>
        <v>0</v>
      </c>
      <c r="E16" s="83">
        <f>SUMIF(Ingresos!$C$6:$C$115,B16,Ingresos!$E$6:$E$115)</f>
        <v>0</v>
      </c>
      <c r="F16" s="141">
        <f t="shared" si="0"/>
        <v>0</v>
      </c>
      <c r="G16" s="219"/>
      <c r="H16" s="219"/>
      <c r="I16" s="70"/>
    </row>
    <row r="17" spans="2:9" hidden="1" x14ac:dyDescent="0.25">
      <c r="B17" s="139">
        <v>13</v>
      </c>
      <c r="C17" s="70" t="str">
        <f>IFERROR(VLOOKUP(B17,Referencias!$B$7:$C$154,2,FALSE),"")</f>
        <v>Los Tuelches</v>
      </c>
      <c r="D17" s="83">
        <f>SUMIF(Trabajos!$E$5:$E$394,B17,Trabajos!$P$5:$P$394)+SUMIF('Trabajos 2'!$E$5:$E$156,B17,'Trabajos 2'!$P$5:$P$156)</f>
        <v>0</v>
      </c>
      <c r="E17" s="83">
        <f>SUMIF(Ingresos!$C$6:$C$115,B17,Ingresos!$E$6:$E$115)</f>
        <v>0</v>
      </c>
      <c r="F17" s="141">
        <f t="shared" si="0"/>
        <v>0</v>
      </c>
      <c r="G17" s="219"/>
      <c r="H17" s="219"/>
      <c r="I17" s="70"/>
    </row>
    <row r="18" spans="2:9" x14ac:dyDescent="0.25">
      <c r="B18" s="139">
        <v>14</v>
      </c>
      <c r="C18" s="70" t="str">
        <f>IFERROR(VLOOKUP(B18,Referencias!$B$7:$C$154,2,FALSE),"")</f>
        <v>Nueva Huella S.R.L.</v>
      </c>
      <c r="D18" s="83">
        <f>SUMIF(Trabajos!$E$5:$E$394,B18,Trabajos!$P$5:$P$394)+SUMIF('Trabajos 2'!$E$5:$E$156,B18,'Trabajos 2'!$P$5:$P$156)</f>
        <v>554497.5</v>
      </c>
      <c r="E18" s="83">
        <f>SUMIF(Ingresos!$C$6:$C$115,B18,Ingresos!$E$6:$E$115)</f>
        <v>554497.5</v>
      </c>
      <c r="F18" s="141">
        <f t="shared" si="0"/>
        <v>0</v>
      </c>
      <c r="G18" s="237"/>
      <c r="H18" s="237"/>
      <c r="I18" s="150"/>
    </row>
    <row r="19" spans="2:9" hidden="1" x14ac:dyDescent="0.25">
      <c r="B19" s="139">
        <v>15</v>
      </c>
      <c r="C19" s="70" t="str">
        <f>IFERROR(VLOOKUP(B19,Referencias!$B$7:$C$154,2,FALSE),"")</f>
        <v>Lucrecia Casa</v>
      </c>
      <c r="D19" s="83">
        <f>SUMIF(Trabajos!$E$5:$E$394,B19,Trabajos!$P$5:$P$394)+SUMIF('Trabajos 2'!$E$5:$E$156,B19,'Trabajos 2'!$P$5:$P$156)</f>
        <v>0</v>
      </c>
      <c r="E19" s="83">
        <f>SUMIF(Ingresos!$C$6:$C$115,B19,Ingresos!$E$6:$E$115)</f>
        <v>0</v>
      </c>
      <c r="F19" s="141">
        <f t="shared" si="0"/>
        <v>0</v>
      </c>
      <c r="G19" s="219"/>
      <c r="H19" s="219"/>
      <c r="I19" s="70"/>
    </row>
    <row r="20" spans="2:9" hidden="1" x14ac:dyDescent="0.25">
      <c r="B20" s="139">
        <v>16</v>
      </c>
      <c r="C20" s="70" t="str">
        <f>IFERROR(VLOOKUP(B20,Referencias!$B$7:$C$154,2,FALSE),"")</f>
        <v>Mariano Alfonso</v>
      </c>
      <c r="D20" s="83">
        <f>SUMIF(Trabajos!$E$5:$E$394,B20,Trabajos!$P$5:$P$394)+SUMIF('Trabajos 2'!$E$5:$E$156,B20,'Trabajos 2'!$P$5:$P$156)</f>
        <v>0</v>
      </c>
      <c r="E20" s="83">
        <f>SUMIF(Ingresos!$C$6:$C$115,B20,Ingresos!$E$6:$E$115)</f>
        <v>0</v>
      </c>
      <c r="F20" s="141">
        <f t="shared" si="0"/>
        <v>0</v>
      </c>
      <c r="G20" s="219"/>
      <c r="H20" s="219"/>
      <c r="I20" s="70"/>
    </row>
    <row r="21" spans="2:9" x14ac:dyDescent="0.25">
      <c r="B21" s="139">
        <v>17</v>
      </c>
      <c r="C21" s="70" t="str">
        <f>IFERROR(VLOOKUP(B21,Referencias!$B$7:$C$154,2,FALSE),"")</f>
        <v>Campo Maipu S.A.</v>
      </c>
      <c r="D21" s="83">
        <f>SUMIF(Trabajos!$E$5:$E$394,B21,Trabajos!$P$5:$P$394)+SUMIF('Trabajos 2'!$E$5:$E$156,B21,'Trabajos 2'!$P$5:$P$156)</f>
        <v>1428485</v>
      </c>
      <c r="E21" s="83">
        <f>SUMIF(Ingresos!$C$6:$C$115,B21,Ingresos!$E$6:$E$115)</f>
        <v>1428485</v>
      </c>
      <c r="F21" s="141">
        <f t="shared" si="0"/>
        <v>0</v>
      </c>
      <c r="G21" s="237"/>
      <c r="H21" s="237"/>
      <c r="I21" s="150"/>
    </row>
    <row r="22" spans="2:9" x14ac:dyDescent="0.25">
      <c r="B22" s="139">
        <v>18</v>
      </c>
      <c r="C22" s="70" t="str">
        <f>IFERROR(VLOOKUP(B22,Referencias!$B$7:$C$154,2,FALSE),"")</f>
        <v>Cosechas del Sur S.R.L.</v>
      </c>
      <c r="D22" s="83">
        <f>SUMIF(Trabajos!$E$5:$E$394,B22,Trabajos!$P$5:$P$394)+SUMIF('Trabajos 2'!$E$5:$E$156,B22,'Trabajos 2'!$P$5:$P$156)</f>
        <v>339000</v>
      </c>
      <c r="E22" s="83">
        <f>SUMIF(Ingresos!$C$6:$C$115,B22,Ingresos!$E$6:$E$115)</f>
        <v>339000</v>
      </c>
      <c r="F22" s="141">
        <f t="shared" si="0"/>
        <v>0</v>
      </c>
      <c r="G22" s="237"/>
      <c r="H22" s="237"/>
      <c r="I22" s="237"/>
    </row>
    <row r="23" spans="2:9" hidden="1" x14ac:dyDescent="0.25">
      <c r="B23" s="139">
        <v>19</v>
      </c>
      <c r="C23" s="70" t="str">
        <f>IFERROR(VLOOKUP(B23,Referencias!$B$7:$C$154,2,FALSE),"")</f>
        <v>Raul Maitia</v>
      </c>
      <c r="D23" s="83">
        <f>SUMIF(Trabajos!$E$5:$E$394,B23,Trabajos!$P$5:$P$394)+SUMIF('Trabajos 2'!$E$5:$E$156,B23,'Trabajos 2'!$P$5:$P$156)</f>
        <v>0</v>
      </c>
      <c r="E23" s="83">
        <f>SUMIF(Ingresos!$C$6:$C$115,B23,Ingresos!$E$6:$E$115)</f>
        <v>0</v>
      </c>
      <c r="F23" s="141">
        <f t="shared" si="0"/>
        <v>0</v>
      </c>
      <c r="G23" s="219"/>
      <c r="H23" s="219"/>
      <c r="I23" s="70"/>
    </row>
    <row r="24" spans="2:9" hidden="1" x14ac:dyDescent="0.25">
      <c r="B24" s="139">
        <v>20</v>
      </c>
      <c r="C24" s="70" t="str">
        <f>IFERROR(VLOOKUP(B24,Referencias!$B$7:$C$154,2,FALSE),"")</f>
        <v>Juan Carlos Rey</v>
      </c>
      <c r="D24" s="83">
        <f>SUMIF(Trabajos!$E$5:$E$394,B24,Trabajos!$P$5:$P$394)+SUMIF('Trabajos 2'!$E$5:$E$156,B24,'Trabajos 2'!$P$5:$P$156)</f>
        <v>0</v>
      </c>
      <c r="E24" s="83">
        <f>SUMIF(Ingresos!$C$6:$C$115,B24,Ingresos!$E$6:$E$115)</f>
        <v>0</v>
      </c>
      <c r="F24" s="141">
        <f t="shared" si="0"/>
        <v>0</v>
      </c>
      <c r="G24" s="219"/>
      <c r="H24" s="219"/>
      <c r="I24" s="70"/>
    </row>
    <row r="25" spans="2:9" x14ac:dyDescent="0.25">
      <c r="B25" s="139">
        <v>21</v>
      </c>
      <c r="C25" s="70" t="str">
        <f>IFERROR(VLOOKUP(B25,Referencias!$B$7:$C$154,2,FALSE),"")</f>
        <v>Piray Mini</v>
      </c>
      <c r="D25" s="83">
        <f>SUMIF(Trabajos!$E$5:$E$394,B25,Trabajos!$P$5:$P$394)+SUMIF('Trabajos 2'!$E$5:$E$156,B25,'Trabajos 2'!$P$5:$P$156)</f>
        <v>2458797.5</v>
      </c>
      <c r="E25" s="83">
        <f>SUMIF(Ingresos!$C$6:$C$115,B25,Ingresos!$E$6:$E$115)</f>
        <v>2458797.5</v>
      </c>
      <c r="F25" s="141">
        <f t="shared" si="0"/>
        <v>0</v>
      </c>
      <c r="G25" s="237"/>
      <c r="H25" s="237"/>
      <c r="I25" s="237"/>
    </row>
    <row r="26" spans="2:9" hidden="1" x14ac:dyDescent="0.25">
      <c r="B26" s="139">
        <v>22</v>
      </c>
      <c r="C26" s="70" t="str">
        <f>IFERROR(VLOOKUP(B26,Referencias!$B$7:$C$154,2,FALSE),"")</f>
        <v>Domingo Massigoge</v>
      </c>
      <c r="D26" s="83">
        <f>SUMIF(Trabajos!$E$5:$E$394,B26,Trabajos!$P$5:$P$394)+SUMIF('Trabajos 2'!$E$5:$E$156,B26,'Trabajos 2'!$P$5:$P$156)</f>
        <v>0</v>
      </c>
      <c r="E26" s="83">
        <f>SUMIF(Ingresos!$C$6:$C$115,B26,Ingresos!$E$6:$E$115)</f>
        <v>0</v>
      </c>
      <c r="F26" s="141">
        <f t="shared" si="0"/>
        <v>0</v>
      </c>
      <c r="G26" s="219"/>
      <c r="H26" s="219"/>
      <c r="I26" s="70"/>
    </row>
    <row r="27" spans="2:9" hidden="1" x14ac:dyDescent="0.25">
      <c r="B27" s="139">
        <v>23</v>
      </c>
      <c r="C27" s="70" t="str">
        <f>IFERROR(VLOOKUP(B27,Referencias!$B$7:$C$154,2,FALSE),"")</f>
        <v>Esteban Dominguez</v>
      </c>
      <c r="D27" s="83">
        <f>SUMIF(Trabajos!$E$5:$E$394,B27,Trabajos!$P$5:$P$394)+SUMIF('Trabajos 2'!$E$5:$E$156,B27,'Trabajos 2'!$P$5:$P$156)</f>
        <v>0</v>
      </c>
      <c r="E27" s="83">
        <f>SUMIF(Ingresos!$C$6:$C$115,B27,Ingresos!$E$6:$E$115)</f>
        <v>0</v>
      </c>
      <c r="F27" s="141">
        <f t="shared" si="0"/>
        <v>0</v>
      </c>
      <c r="G27" s="219"/>
      <c r="H27" s="219"/>
      <c r="I27" s="70"/>
    </row>
    <row r="28" spans="2:9" x14ac:dyDescent="0.25">
      <c r="B28" s="139">
        <v>24</v>
      </c>
      <c r="C28" s="70" t="str">
        <f>IFERROR(VLOOKUP(B28,Referencias!$B$7:$C$154,2,FALSE),"")</f>
        <v>Nugas S.A.</v>
      </c>
      <c r="D28" s="83">
        <f>SUMIF(Trabajos!$E$5:$E$394,B28,Trabajos!$P$5:$P$394)+SUMIF('Trabajos 2'!$E$5:$E$156,B28,'Trabajos 2'!$P$5:$P$156)</f>
        <v>9539896.25</v>
      </c>
      <c r="E28" s="83">
        <f>SUMIF(Ingresos!$C$6:$C$115,B28,Ingresos!$E$6:$E$115)</f>
        <v>8855343.25</v>
      </c>
      <c r="F28" s="194">
        <f t="shared" si="0"/>
        <v>-684553</v>
      </c>
      <c r="G28" s="224" t="s">
        <v>418</v>
      </c>
      <c r="H28" s="224" t="s">
        <v>418</v>
      </c>
      <c r="I28" s="150"/>
    </row>
    <row r="29" spans="2:9" hidden="1" x14ac:dyDescent="0.25">
      <c r="B29" s="139">
        <v>25</v>
      </c>
      <c r="C29" s="70" t="str">
        <f>IFERROR(VLOOKUP(B29,Referencias!$B$7:$C$154,2,FALSE),"")</f>
        <v>Hugo Pascual</v>
      </c>
      <c r="D29" s="83">
        <f>SUMIF(Trabajos!$E$5:$E$394,B29,Trabajos!$P$5:$P$394)+SUMIF('Trabajos 2'!$E$5:$E$156,B29,'Trabajos 2'!$P$5:$P$156)</f>
        <v>0</v>
      </c>
      <c r="E29" s="83">
        <f>SUMIF(Ingresos!$C$6:$C$115,B29,Ingresos!$E$6:$E$115)</f>
        <v>0</v>
      </c>
      <c r="F29" s="141">
        <f t="shared" si="0"/>
        <v>0</v>
      </c>
      <c r="G29" s="219"/>
      <c r="H29" s="219"/>
      <c r="I29" s="70"/>
    </row>
    <row r="30" spans="2:9" hidden="1" x14ac:dyDescent="0.25">
      <c r="B30" s="139">
        <v>26</v>
      </c>
      <c r="C30" s="70" t="str">
        <f>IFERROR(VLOOKUP(B30,Referencias!$B$7:$C$154,2,FALSE),"")</f>
        <v>Oxagro S.A.</v>
      </c>
      <c r="D30" s="83">
        <f>SUMIF(Trabajos!$E$5:$E$394,B30,Trabajos!$P$5:$P$394)+SUMIF('Trabajos 2'!$E$5:$E$156,B30,'Trabajos 2'!$P$5:$P$156)</f>
        <v>0</v>
      </c>
      <c r="E30" s="83">
        <f>SUMIF(Ingresos!$C$6:$C$115,B30,Ingresos!$E$6:$E$115)</f>
        <v>0</v>
      </c>
      <c r="F30" s="141">
        <f t="shared" si="0"/>
        <v>0</v>
      </c>
      <c r="G30" s="219"/>
      <c r="H30" s="219"/>
      <c r="I30" s="70"/>
    </row>
    <row r="31" spans="2:9" hidden="1" x14ac:dyDescent="0.25">
      <c r="B31" s="139">
        <v>27</v>
      </c>
      <c r="C31" s="70" t="str">
        <f>IFERROR(VLOOKUP(B31,Referencias!$B$7:$C$154,2,FALSE),"")</f>
        <v>Biocrop S.A.</v>
      </c>
      <c r="D31" s="83">
        <f>SUMIF(Trabajos!$E$5:$E$394,B31,Trabajos!$P$5:$P$394)+SUMIF('Trabajos 2'!$E$5:$E$156,B31,'Trabajos 2'!$P$5:$P$156)</f>
        <v>0</v>
      </c>
      <c r="E31" s="83">
        <f>SUMIF(Ingresos!$C$6:$C$115,B31,Ingresos!$E$6:$E$115)</f>
        <v>0</v>
      </c>
      <c r="F31" s="141">
        <f t="shared" si="0"/>
        <v>0</v>
      </c>
      <c r="G31" s="219"/>
      <c r="H31" s="219"/>
      <c r="I31" s="70"/>
    </row>
    <row r="32" spans="2:9" hidden="1" x14ac:dyDescent="0.25">
      <c r="B32" s="139">
        <v>28</v>
      </c>
      <c r="C32" s="70" t="str">
        <f>IFERROR(VLOOKUP(B32,Referencias!$B$7:$C$154,2,FALSE),"")</f>
        <v>Agroproductos</v>
      </c>
      <c r="D32" s="83">
        <f>SUMIF(Trabajos!$E$5:$E$394,B32,Trabajos!$P$5:$P$394)+SUMIF('Trabajos 2'!$E$5:$E$156,B32,'Trabajos 2'!$P$5:$P$156)</f>
        <v>0</v>
      </c>
      <c r="E32" s="83">
        <f>SUMIF(Ingresos!$C$6:$C$115,B32,Ingresos!$E$6:$E$115)</f>
        <v>0</v>
      </c>
      <c r="F32" s="141">
        <f t="shared" si="0"/>
        <v>0</v>
      </c>
      <c r="G32" s="219"/>
      <c r="H32" s="219"/>
      <c r="I32" s="70"/>
    </row>
    <row r="33" spans="2:9" hidden="1" x14ac:dyDescent="0.25">
      <c r="B33" s="139">
        <v>29</v>
      </c>
      <c r="C33" s="70" t="str">
        <f>IFERROR(VLOOKUP(B33,Referencias!$B$7:$C$154,2,FALSE),"")</f>
        <v>Parceiros Sul America S.A.</v>
      </c>
      <c r="D33" s="83">
        <f>SUMIF(Trabajos!$E$5:$E$394,B33,Trabajos!$P$5:$P$394)+SUMIF('Trabajos 2'!$E$5:$E$156,B33,'Trabajos 2'!$P$5:$P$156)</f>
        <v>0</v>
      </c>
      <c r="E33" s="83">
        <f>SUMIF(Ingresos!$C$6:$C$115,B33,Ingresos!$E$6:$E$115)</f>
        <v>0</v>
      </c>
      <c r="F33" s="141">
        <f t="shared" si="0"/>
        <v>0</v>
      </c>
      <c r="G33" s="219"/>
      <c r="H33" s="219"/>
      <c r="I33" s="70"/>
    </row>
    <row r="34" spans="2:9" hidden="1" x14ac:dyDescent="0.25">
      <c r="B34" s="139">
        <v>30</v>
      </c>
      <c r="C34" s="70" t="str">
        <f>IFERROR(VLOOKUP(B34,Referencias!$B$7:$C$154,2,FALSE),"")</f>
        <v>Estancia San Pedro S.A.</v>
      </c>
      <c r="D34" s="83">
        <f>SUMIF(Trabajos!$E$5:$E$394,B34,Trabajos!$P$5:$P$394)+SUMIF('Trabajos 2'!$E$5:$E$156,B34,'Trabajos 2'!$P$5:$P$156)</f>
        <v>0</v>
      </c>
      <c r="E34" s="83">
        <f>SUMIF(Ingresos!$C$6:$C$115,B34,Ingresos!$E$6:$E$115)</f>
        <v>0</v>
      </c>
      <c r="F34" s="141">
        <f t="shared" si="0"/>
        <v>0</v>
      </c>
      <c r="G34" s="219"/>
      <c r="H34" s="219"/>
      <c r="I34" s="70"/>
    </row>
    <row r="35" spans="2:9" x14ac:dyDescent="0.25">
      <c r="B35" s="139">
        <v>31</v>
      </c>
      <c r="C35" s="70" t="str">
        <f>IFERROR(VLOOKUP(B35,Referencias!$B$7:$C$154,2,FALSE),"")</f>
        <v>La Gloriosa S.A.</v>
      </c>
      <c r="D35" s="83">
        <f>SUMIF(Trabajos!$E$5:$E$394,B35,Trabajos!$P$5:$P$394)+SUMIF('Trabajos 2'!$E$5:$E$156,B35,'Trabajos 2'!$P$5:$P$156)</f>
        <v>4355350.3</v>
      </c>
      <c r="E35" s="83">
        <f>SUMIF(Ingresos!$C$6:$C$115,B35,Ingresos!$E$6:$E$115)</f>
        <v>3316863.9</v>
      </c>
      <c r="F35" s="141">
        <f t="shared" si="0"/>
        <v>-1038486.3999999999</v>
      </c>
      <c r="G35" s="224" t="s">
        <v>418</v>
      </c>
      <c r="H35" s="224" t="s">
        <v>418</v>
      </c>
      <c r="I35" s="237"/>
    </row>
    <row r="36" spans="2:9" hidden="1" x14ac:dyDescent="0.25">
      <c r="B36" s="139">
        <v>32</v>
      </c>
      <c r="C36" s="70" t="str">
        <f>IFERROR(VLOOKUP(B36,Referencias!$B$7:$C$154,2,FALSE),"")</f>
        <v>Sebastian Pascualini</v>
      </c>
      <c r="D36" s="83">
        <f>SUMIF(Trabajos!$E$5:$E$394,B36,Trabajos!$P$5:$P$394)+SUMIF('Trabajos 2'!$E$5:$E$156,B36,'Trabajos 2'!$P$5:$P$156)</f>
        <v>0</v>
      </c>
      <c r="E36" s="83">
        <f>SUMIF(Ingresos!$C$6:$C$115,B36,Ingresos!$E$6:$E$115)</f>
        <v>0</v>
      </c>
      <c r="F36" s="141">
        <f t="shared" si="0"/>
        <v>0</v>
      </c>
      <c r="G36" s="219"/>
      <c r="H36" s="219"/>
      <c r="I36" s="70"/>
    </row>
    <row r="37" spans="2:9" x14ac:dyDescent="0.25">
      <c r="B37" s="139">
        <v>33</v>
      </c>
      <c r="C37" s="70" t="str">
        <f>IFERROR(VLOOKUP(B37,Referencias!$B$7:$C$154,2,FALSE),"")</f>
        <v>Espartina S.A.</v>
      </c>
      <c r="D37" s="83">
        <f>SUMIF(Trabajos!$E$5:$E$394,B37,Trabajos!$P$5:$P$394)+SUMIF('Trabajos 2'!$E$5:$E$156,B37,'Trabajos 2'!$P$5:$P$156)</f>
        <v>147544755.97999954</v>
      </c>
      <c r="E37" s="83">
        <f>SUMIF(Ingresos!$C$6:$C$115,B37,Ingresos!$E$6:$E$115)</f>
        <v>147229407.97999999</v>
      </c>
      <c r="F37" s="141">
        <f t="shared" si="0"/>
        <v>-315347.99999955297</v>
      </c>
      <c r="G37" s="223" t="s">
        <v>522</v>
      </c>
      <c r="H37" s="223" t="s">
        <v>522</v>
      </c>
      <c r="I37" s="237"/>
    </row>
    <row r="38" spans="2:9" hidden="1" x14ac:dyDescent="0.25">
      <c r="B38" s="139">
        <v>34</v>
      </c>
      <c r="C38" s="70" t="str">
        <f>IFERROR(VLOOKUP(B38,Referencias!$B$7:$C$154,2,FALSE),"")</f>
        <v>Garfin Agro S.A.</v>
      </c>
      <c r="D38" s="83">
        <f>SUMIF(Trabajos!$E$5:$E$394,B38,Trabajos!$P$5:$P$394)+SUMIF('Trabajos 2'!$E$5:$E$156,B38,'Trabajos 2'!$P$5:$P$156)</f>
        <v>0</v>
      </c>
      <c r="E38" s="83">
        <f>SUMIF(Ingresos!$C$6:$C$115,B38,Ingresos!$E$6:$E$115)</f>
        <v>0</v>
      </c>
      <c r="F38" s="141">
        <f t="shared" si="0"/>
        <v>0</v>
      </c>
      <c r="G38" s="219"/>
      <c r="H38" s="219"/>
      <c r="I38" s="70"/>
    </row>
    <row r="39" spans="2:9" hidden="1" x14ac:dyDescent="0.25">
      <c r="B39" s="139">
        <v>35</v>
      </c>
      <c r="C39" s="70" t="str">
        <f>IFERROR(VLOOKUP(B39,Referencias!$B$7:$C$154,2,FALSE),"")</f>
        <v>Federico Sturla</v>
      </c>
      <c r="D39" s="83">
        <f>SUMIF(Trabajos!$E$5:$E$394,B39,Trabajos!$P$5:$P$394)+SUMIF('Trabajos 2'!$E$5:$E$156,B39,'Trabajos 2'!$P$5:$P$156)</f>
        <v>0</v>
      </c>
      <c r="E39" s="83">
        <f>SUMIF(Ingresos!$C$6:$C$115,B39,Ingresos!$E$6:$E$115)</f>
        <v>0</v>
      </c>
      <c r="F39" s="141">
        <f t="shared" si="0"/>
        <v>0</v>
      </c>
      <c r="G39" s="219"/>
      <c r="H39" s="219"/>
      <c r="I39" s="70"/>
    </row>
    <row r="40" spans="2:9" hidden="1" x14ac:dyDescent="0.25">
      <c r="B40" s="139">
        <v>36</v>
      </c>
      <c r="C40" s="70" t="str">
        <f>IFERROR(VLOOKUP(B40,Referencias!$B$7:$C$154,2,FALSE),"")</f>
        <v>Don Balbino</v>
      </c>
      <c r="D40" s="83">
        <f>SUMIF(Trabajos!$E$5:$E$394,B40,Trabajos!$P$5:$P$394)+SUMIF('Trabajos 2'!$E$5:$E$156,B40,'Trabajos 2'!$P$5:$P$156)</f>
        <v>0</v>
      </c>
      <c r="E40" s="83">
        <f>SUMIF(Ingresos!$C$6:$C$115,B40,Ingresos!$E$6:$E$115)</f>
        <v>0</v>
      </c>
      <c r="F40" s="141">
        <f t="shared" si="0"/>
        <v>0</v>
      </c>
      <c r="G40" s="219"/>
      <c r="H40" s="219"/>
      <c r="I40" s="70"/>
    </row>
    <row r="41" spans="2:9" x14ac:dyDescent="0.25">
      <c r="B41" s="139">
        <v>37</v>
      </c>
      <c r="C41" s="70" t="str">
        <f>IFERROR(VLOOKUP(B41,Referencias!$B$7:$C$154,2,FALSE),"")</f>
        <v>Sebastian Martos</v>
      </c>
      <c r="D41" s="83">
        <f>SUMIF(Trabajos!$E$5:$E$394,B41,Trabajos!$P$5:$P$394)+SUMIF('Trabajos 2'!$E$5:$E$156,B41,'Trabajos 2'!$P$5:$P$156)</f>
        <v>2136755</v>
      </c>
      <c r="E41" s="83">
        <f>SUMIF(Ingresos!$C$6:$C$115,B41,Ingresos!$E$6:$E$115)</f>
        <v>2136755</v>
      </c>
      <c r="F41" s="141">
        <f t="shared" si="0"/>
        <v>0</v>
      </c>
      <c r="G41" s="237"/>
      <c r="H41" s="237"/>
      <c r="I41" s="237"/>
    </row>
    <row r="42" spans="2:9" hidden="1" x14ac:dyDescent="0.25">
      <c r="B42" s="139">
        <v>38</v>
      </c>
      <c r="C42" s="70" t="str">
        <f>IFERROR(VLOOKUP(B42,Referencias!$B$7:$C$154,2,FALSE),"")</f>
        <v>Julio Bertoloto</v>
      </c>
      <c r="D42" s="83">
        <f>SUMIF(Trabajos!$E$5:$E$394,B42,Trabajos!$P$5:$P$394)+SUMIF('Trabajos 2'!$E$5:$E$156,B42,'Trabajos 2'!$P$5:$P$156)</f>
        <v>0</v>
      </c>
      <c r="E42" s="83">
        <f>SUMIF(Ingresos!$C$6:$C$115,B42,Ingresos!$E$6:$E$115)</f>
        <v>0</v>
      </c>
      <c r="F42" s="141">
        <f t="shared" si="0"/>
        <v>0</v>
      </c>
      <c r="G42" s="219"/>
      <c r="H42" s="219"/>
      <c r="I42" s="70"/>
    </row>
    <row r="43" spans="2:9" hidden="1" x14ac:dyDescent="0.25">
      <c r="B43" s="139">
        <v>39</v>
      </c>
      <c r="C43" s="70" t="str">
        <f>IFERROR(VLOOKUP(B43,Referencias!$B$7:$C$154,2,FALSE),"")</f>
        <v>Fabian Trama</v>
      </c>
      <c r="D43" s="83">
        <f>SUMIF(Trabajos!$E$5:$E$394,B43,Trabajos!$P$5:$P$394)+SUMIF('Trabajos 2'!$E$5:$E$156,B43,'Trabajos 2'!$P$5:$P$156)</f>
        <v>0</v>
      </c>
      <c r="E43" s="83">
        <f>SUMIF(Ingresos!$C$6:$C$115,B43,Ingresos!$E$6:$E$115)</f>
        <v>0</v>
      </c>
      <c r="F43" s="141">
        <f t="shared" si="0"/>
        <v>0</v>
      </c>
      <c r="G43" s="219"/>
      <c r="H43" s="219"/>
      <c r="I43" s="70"/>
    </row>
    <row r="44" spans="2:9" x14ac:dyDescent="0.25">
      <c r="B44" s="139">
        <v>40</v>
      </c>
      <c r="C44" s="70" t="str">
        <f>IFERROR(VLOOKUP(B44,Referencias!$B$7:$C$154,2,FALSE),"")</f>
        <v>Cía. de Tierras Sud Argentino S.A.</v>
      </c>
      <c r="D44" s="83">
        <f>SUMIF(Trabajos!$E$5:$E$394,B44,Trabajos!$P$5:$P$394)+SUMIF('Trabajos 2'!$E$5:$E$156,B44,'Trabajos 2'!$P$5:$P$156)</f>
        <v>17307388.75</v>
      </c>
      <c r="E44" s="83">
        <f>SUMIF(Ingresos!$C$6:$C$115,B44,Ingresos!$E$6:$E$115)</f>
        <v>17307388.75</v>
      </c>
      <c r="F44" s="141">
        <f t="shared" si="0"/>
        <v>0</v>
      </c>
      <c r="G44" s="237"/>
      <c r="H44" s="237"/>
      <c r="I44" s="237"/>
    </row>
    <row r="45" spans="2:9" hidden="1" x14ac:dyDescent="0.25">
      <c r="B45" s="139">
        <v>41</v>
      </c>
      <c r="C45" s="70" t="str">
        <f>IFERROR(VLOOKUP(B45,Referencias!$B$7:$C$154,2,FALSE),"")</f>
        <v>Cresud S.A.C.I.F y A</v>
      </c>
      <c r="D45" s="83">
        <f>SUMIF(Trabajos!$E$5:$E$394,B45,Trabajos!$P$5:$P$394)+SUMIF('Trabajos 2'!$E$5:$E$156,B45,'Trabajos 2'!$P$5:$P$156)</f>
        <v>0</v>
      </c>
      <c r="E45" s="83">
        <f>SUMIF(Ingresos!$C$6:$C$115,B45,Ingresos!$E$6:$E$115)</f>
        <v>0</v>
      </c>
      <c r="F45" s="141">
        <f t="shared" si="0"/>
        <v>0</v>
      </c>
      <c r="G45" s="219"/>
      <c r="H45" s="219"/>
      <c r="I45" s="70"/>
    </row>
    <row r="46" spans="2:9" hidden="1" x14ac:dyDescent="0.25">
      <c r="B46" s="139">
        <v>42</v>
      </c>
      <c r="C46" s="70" t="str">
        <f>IFERROR(VLOOKUP(B46,Referencias!$B$7:$C$154,2,FALSE),"")</f>
        <v>Juan Carlos Naveira</v>
      </c>
      <c r="D46" s="83">
        <f>SUMIF(Trabajos!$E$5:$E$394,B46,Trabajos!$P$5:$P$394)+SUMIF('Trabajos 2'!$E$5:$E$156,B46,'Trabajos 2'!$P$5:$P$156)</f>
        <v>0</v>
      </c>
      <c r="E46" s="83">
        <f>SUMIF(Ingresos!$C$6:$C$115,B46,Ingresos!$E$6:$E$115)</f>
        <v>0</v>
      </c>
      <c r="F46" s="141">
        <f t="shared" si="0"/>
        <v>0</v>
      </c>
      <c r="G46" s="219"/>
      <c r="H46" s="219"/>
      <c r="I46" s="70"/>
    </row>
    <row r="47" spans="2:9" hidden="1" x14ac:dyDescent="0.25">
      <c r="B47" s="139">
        <v>43</v>
      </c>
      <c r="C47" s="70" t="str">
        <f>IFERROR(VLOOKUP(B47,Referencias!$B$7:$C$154,2,FALSE),"")</f>
        <v>Anuitt S.R.L</v>
      </c>
      <c r="D47" s="83">
        <f>SUMIF(Trabajos!$E$5:$E$394,B47,Trabajos!$P$5:$P$394)+SUMIF('Trabajos 2'!$E$5:$E$156,B47,'Trabajos 2'!$P$5:$P$156)</f>
        <v>0</v>
      </c>
      <c r="E47" s="83">
        <f>SUMIF(Ingresos!$C$6:$C$115,B47,Ingresos!$E$6:$E$115)</f>
        <v>0</v>
      </c>
      <c r="F47" s="141">
        <f t="shared" si="0"/>
        <v>0</v>
      </c>
      <c r="G47" s="219"/>
      <c r="H47" s="219"/>
      <c r="I47" s="70"/>
    </row>
    <row r="48" spans="2:9" hidden="1" x14ac:dyDescent="0.25">
      <c r="B48" s="139">
        <v>44</v>
      </c>
      <c r="C48" s="70" t="str">
        <f>IFERROR(VLOOKUP(B48,Referencias!$B$7:$C$154,2,FALSE),"")</f>
        <v>Francisco Hernandez</v>
      </c>
      <c r="D48" s="83">
        <f>SUMIF(Trabajos!$E$5:$E$394,B48,Trabajos!$P$5:$P$394)+SUMIF('Trabajos 2'!$E$5:$E$156,B48,'Trabajos 2'!$P$5:$P$156)</f>
        <v>0</v>
      </c>
      <c r="E48" s="83">
        <f>SUMIF(Ingresos!$C$6:$C$115,B48,Ingresos!$E$6:$E$115)</f>
        <v>0</v>
      </c>
      <c r="F48" s="141">
        <f t="shared" si="0"/>
        <v>0</v>
      </c>
      <c r="G48" s="219"/>
      <c r="H48" s="219"/>
      <c r="I48" s="70"/>
    </row>
    <row r="49" spans="2:9" x14ac:dyDescent="0.25">
      <c r="B49" s="139">
        <v>45</v>
      </c>
      <c r="C49" s="70" t="str">
        <f>IFERROR(VLOOKUP(B49,Referencias!$B$7:$C$154,2,FALSE),"")</f>
        <v>Guillermo Pugliese</v>
      </c>
      <c r="D49" s="83">
        <f>SUMIF(Trabajos!$E$5:$E$394,B49,Trabajos!$P$5:$P$394)+SUMIF('Trabajos 2'!$E$5:$E$156,B49,'Trabajos 2'!$P$5:$P$156)</f>
        <v>4286937.5999999996</v>
      </c>
      <c r="E49" s="83">
        <f>SUMIF(Ingresos!$C$6:$C$115,B49,Ingresos!$E$6:$E$115)</f>
        <v>4286937.5999999996</v>
      </c>
      <c r="F49" s="141">
        <f t="shared" si="0"/>
        <v>0</v>
      </c>
      <c r="G49" s="237"/>
      <c r="H49" s="237"/>
      <c r="I49" s="150"/>
    </row>
    <row r="50" spans="2:9" hidden="1" x14ac:dyDescent="0.25">
      <c r="B50" s="139">
        <v>46</v>
      </c>
      <c r="C50" s="70" t="str">
        <f>IFERROR(VLOOKUP(B50,Referencias!$B$7:$C$154,2,FALSE),"")</f>
        <v>Diesil S.A.</v>
      </c>
      <c r="D50" s="83">
        <f>SUMIF(Trabajos!$E$5:$E$394,B50,Trabajos!$P$5:$P$394)+SUMIF('Trabajos 2'!$E$5:$E$156,B50,'Trabajos 2'!$P$5:$P$156)</f>
        <v>0</v>
      </c>
      <c r="E50" s="83">
        <f>SUMIF(Ingresos!$C$6:$C$115,B50,Ingresos!$E$6:$E$115)</f>
        <v>0</v>
      </c>
      <c r="F50" s="141">
        <f t="shared" si="0"/>
        <v>0</v>
      </c>
      <c r="G50" s="219"/>
      <c r="H50" s="219"/>
      <c r="I50" s="70"/>
    </row>
    <row r="51" spans="2:9" hidden="1" x14ac:dyDescent="0.25">
      <c r="B51" s="139">
        <v>47</v>
      </c>
      <c r="C51" s="70" t="str">
        <f>IFERROR(VLOOKUP(B51,Referencias!$B$7:$C$154,2,FALSE),"")</f>
        <v>Agrogenerales S.A.</v>
      </c>
      <c r="D51" s="83">
        <f>SUMIF(Trabajos!$E$5:$E$394,B51,Trabajos!$P$5:$P$394)+SUMIF('Trabajos 2'!$E$5:$E$156,B51,'Trabajos 2'!$P$5:$P$156)</f>
        <v>0</v>
      </c>
      <c r="E51" s="83">
        <f>SUMIF(Ingresos!$C$6:$C$115,B51,Ingresos!$E$6:$E$115)</f>
        <v>0</v>
      </c>
      <c r="F51" s="141">
        <f t="shared" si="0"/>
        <v>0</v>
      </c>
      <c r="G51" s="219"/>
      <c r="H51" s="219"/>
      <c r="I51" s="70"/>
    </row>
    <row r="52" spans="2:9" hidden="1" x14ac:dyDescent="0.25">
      <c r="B52" s="139">
        <v>48</v>
      </c>
      <c r="C52" s="70" t="str">
        <f>IFERROR(VLOOKUP(B52,Referencias!$B$7:$C$154,2,FALSE),"")</f>
        <v>Enrique Dieguez</v>
      </c>
      <c r="D52" s="83">
        <f>SUMIF(Trabajos!$E$5:$E$394,B52,Trabajos!$P$5:$P$394)+SUMIF('Trabajos 2'!$E$5:$E$156,B52,'Trabajos 2'!$P$5:$P$156)</f>
        <v>0</v>
      </c>
      <c r="E52" s="83">
        <f>SUMIF(Ingresos!$C$6:$C$115,B52,Ingresos!$E$6:$E$115)</f>
        <v>0</v>
      </c>
      <c r="F52" s="141">
        <f t="shared" si="0"/>
        <v>0</v>
      </c>
      <c r="G52" s="219"/>
      <c r="H52" s="219"/>
      <c r="I52" s="70"/>
    </row>
    <row r="53" spans="2:9" hidden="1" x14ac:dyDescent="0.25">
      <c r="B53" s="139">
        <v>49</v>
      </c>
      <c r="C53" s="70" t="str">
        <f>IFERROR(VLOOKUP(B53,Referencias!$B$7:$C$154,2,FALSE),"")</f>
        <v>Leonardo Torres</v>
      </c>
      <c r="D53" s="83">
        <f>SUMIF(Trabajos!$E$5:$E$394,B53,Trabajos!$P$5:$P$394)+SUMIF('Trabajos 2'!$E$5:$E$156,B53,'Trabajos 2'!$P$5:$P$156)</f>
        <v>0</v>
      </c>
      <c r="E53" s="83">
        <f>SUMIF(Ingresos!$C$6:$C$115,B53,Ingresos!$E$6:$E$115)</f>
        <v>0</v>
      </c>
      <c r="F53" s="141">
        <f t="shared" si="0"/>
        <v>0</v>
      </c>
      <c r="G53" s="219"/>
      <c r="H53" s="219"/>
      <c r="I53" s="70"/>
    </row>
    <row r="54" spans="2:9" x14ac:dyDescent="0.25">
      <c r="B54" s="139">
        <v>50</v>
      </c>
      <c r="C54" s="70" t="str">
        <f>IFERROR(VLOOKUP(B54,Referencias!$B$7:$C$154,2,FALSE),"")</f>
        <v>Mackrey Agropecuaria</v>
      </c>
      <c r="D54" s="83">
        <f>SUMIF(Trabajos!$E$5:$E$394,B54,Trabajos!$P$5:$P$394)+SUMIF('Trabajos 2'!$E$5:$E$156,B54,'Trabajos 2'!$P$5:$P$156)</f>
        <v>325056</v>
      </c>
      <c r="E54" s="83">
        <f>SUMIF(Ingresos!$C$6:$C$115,B54,Ingresos!$E$6:$E$115)</f>
        <v>325056</v>
      </c>
      <c r="F54" s="141">
        <f t="shared" si="0"/>
        <v>0</v>
      </c>
      <c r="G54" s="237"/>
      <c r="H54" s="237"/>
      <c r="I54" s="237"/>
    </row>
    <row r="55" spans="2:9" hidden="1" x14ac:dyDescent="0.25">
      <c r="B55" s="139">
        <v>51</v>
      </c>
      <c r="C55" s="70" t="str">
        <f>IFERROR(VLOOKUP(B55,Referencias!$B$7:$C$154,2,FALSE),"")</f>
        <v>Eduardo Diaz</v>
      </c>
      <c r="D55" s="83">
        <f>SUMIF(Trabajos!$E$5:$E$394,B55,Trabajos!$P$5:$P$394)+SUMIF('Trabajos 2'!$E$5:$E$156,B55,'Trabajos 2'!$P$5:$P$156)</f>
        <v>0</v>
      </c>
      <c r="E55" s="83">
        <f>SUMIF(Ingresos!$C$6:$C$115,B55,Ingresos!$E$6:$E$115)</f>
        <v>0</v>
      </c>
      <c r="F55" s="141">
        <f t="shared" si="0"/>
        <v>0</v>
      </c>
      <c r="G55" s="219"/>
      <c r="H55" s="219"/>
      <c r="I55" s="70"/>
    </row>
    <row r="56" spans="2:9" hidden="1" x14ac:dyDescent="0.25">
      <c r="B56" s="139">
        <v>52</v>
      </c>
      <c r="C56" s="70" t="str">
        <f>IFERROR(VLOOKUP(B56,Referencias!$B$7:$C$154,2,FALSE),"")</f>
        <v>Federico Montes</v>
      </c>
      <c r="D56" s="83">
        <f>SUMIF(Trabajos!$E$5:$E$394,B56,Trabajos!$P$5:$P$394)+SUMIF('Trabajos 2'!$E$5:$E$156,B56,'Trabajos 2'!$P$5:$P$156)</f>
        <v>0</v>
      </c>
      <c r="E56" s="83">
        <f>SUMIF(Ingresos!$C$6:$C$115,B56,Ingresos!$E$6:$E$115)</f>
        <v>0</v>
      </c>
      <c r="F56" s="141">
        <f t="shared" si="0"/>
        <v>0</v>
      </c>
      <c r="G56" s="219"/>
      <c r="H56" s="219"/>
      <c r="I56" s="70"/>
    </row>
    <row r="57" spans="2:9" hidden="1" x14ac:dyDescent="0.25">
      <c r="B57" s="139">
        <v>53</v>
      </c>
      <c r="C57" s="70" t="str">
        <f>IFERROR(VLOOKUP(B57,Referencias!$B$7:$C$154,2,FALSE),"")</f>
        <v>Francisco Lopez e Ignacio Riccillo</v>
      </c>
      <c r="D57" s="83">
        <f>SUMIF(Trabajos!$E$5:$E$394,B57,Trabajos!$P$5:$P$394)+SUMIF('Trabajos 2'!$E$5:$E$156,B57,'Trabajos 2'!$P$5:$P$156)</f>
        <v>0</v>
      </c>
      <c r="E57" s="83">
        <f>SUMIF(Ingresos!$C$6:$C$115,B57,Ingresos!$E$6:$E$115)</f>
        <v>0</v>
      </c>
      <c r="F57" s="141">
        <f t="shared" si="0"/>
        <v>0</v>
      </c>
      <c r="G57" s="219"/>
      <c r="H57" s="219"/>
      <c r="I57" s="70"/>
    </row>
    <row r="58" spans="2:9" hidden="1" x14ac:dyDescent="0.25">
      <c r="B58" s="139">
        <v>54</v>
      </c>
      <c r="C58" s="70" t="str">
        <f>IFERROR(VLOOKUP(B58,Referencias!$B$7:$C$154,2,FALSE),"")</f>
        <v>Advanta</v>
      </c>
      <c r="D58" s="83">
        <f>SUMIF(Trabajos!$E$5:$E$394,B58,Trabajos!$P$5:$P$394)+SUMIF('Trabajos 2'!$E$5:$E$156,B58,'Trabajos 2'!$P$5:$P$156)</f>
        <v>0</v>
      </c>
      <c r="E58" s="83">
        <f>SUMIF(Ingresos!$C$6:$C$115,B58,Ingresos!$E$6:$E$115)</f>
        <v>0</v>
      </c>
      <c r="F58" s="141">
        <f t="shared" si="0"/>
        <v>0</v>
      </c>
      <c r="G58" s="219"/>
      <c r="H58" s="219"/>
      <c r="I58" s="70"/>
    </row>
    <row r="59" spans="2:9" hidden="1" x14ac:dyDescent="0.25">
      <c r="B59" s="139">
        <v>55</v>
      </c>
      <c r="C59" s="70" t="str">
        <f>IFERROR(VLOOKUP(B59,Referencias!$B$7:$C$154,2,FALSE),"")</f>
        <v>Moro Hue S.A.</v>
      </c>
      <c r="D59" s="83">
        <f>SUMIF(Trabajos!$E$5:$E$394,B59,Trabajos!$P$5:$P$394)+SUMIF('Trabajos 2'!$E$5:$E$156,B59,'Trabajos 2'!$P$5:$P$156)</f>
        <v>0</v>
      </c>
      <c r="E59" s="83">
        <f>SUMIF(Ingresos!$C$6:$C$115,B59,Ingresos!$E$6:$E$115)</f>
        <v>0</v>
      </c>
      <c r="F59" s="141">
        <f t="shared" si="0"/>
        <v>0</v>
      </c>
      <c r="G59" s="219"/>
      <c r="H59" s="219"/>
      <c r="I59" s="70"/>
    </row>
    <row r="60" spans="2:9" hidden="1" x14ac:dyDescent="0.25">
      <c r="B60" s="139">
        <v>56</v>
      </c>
      <c r="C60" s="70" t="str">
        <f>IFERROR(VLOOKUP(B60,Referencias!$B$7:$C$154,2,FALSE),"")</f>
        <v>Guillermo Pailhe</v>
      </c>
      <c r="D60" s="83">
        <f>SUMIF(Trabajos!$E$5:$E$394,B60,Trabajos!$P$5:$P$394)+SUMIF('Trabajos 2'!$E$5:$E$156,B60,'Trabajos 2'!$P$5:$P$156)</f>
        <v>0</v>
      </c>
      <c r="E60" s="83">
        <f>SUMIF(Ingresos!$C$6:$C$115,B60,Ingresos!$E$6:$E$115)</f>
        <v>0</v>
      </c>
      <c r="F60" s="141">
        <f t="shared" si="0"/>
        <v>0</v>
      </c>
      <c r="G60" s="219"/>
      <c r="H60" s="219"/>
      <c r="I60" s="70"/>
    </row>
    <row r="61" spans="2:9" hidden="1" x14ac:dyDescent="0.25">
      <c r="B61" s="139">
        <v>57</v>
      </c>
      <c r="C61" s="70" t="str">
        <f>IFERROR(VLOOKUP(B61,Referencias!$B$7:$C$154,2,FALSE),"")</f>
        <v>Eduardo Fernandino</v>
      </c>
      <c r="D61" s="83">
        <f>SUMIF(Trabajos!$E$5:$E$394,B61,Trabajos!$P$5:$P$394)+SUMIF('Trabajos 2'!$E$5:$E$156,B61,'Trabajos 2'!$P$5:$P$156)</f>
        <v>0</v>
      </c>
      <c r="E61" s="83">
        <f>SUMIF(Ingresos!$C$6:$C$115,B61,Ingresos!$E$6:$E$115)</f>
        <v>0</v>
      </c>
      <c r="F61" s="141">
        <f t="shared" si="0"/>
        <v>0</v>
      </c>
      <c r="G61" s="219"/>
      <c r="H61" s="219"/>
      <c r="I61" s="70"/>
    </row>
    <row r="62" spans="2:9" hidden="1" x14ac:dyDescent="0.25">
      <c r="B62" s="139">
        <v>58</v>
      </c>
      <c r="C62" s="70" t="str">
        <f>IFERROR(VLOOKUP(B62,Referencias!$B$7:$C$154,2,FALSE),"")</f>
        <v>Integral Saneamiento S.R.L.</v>
      </c>
      <c r="D62" s="83">
        <f>SUMIF(Trabajos!$E$5:$E$394,B62,Trabajos!$P$5:$P$394)+SUMIF('Trabajos 2'!$E$5:$E$156,B62,'Trabajos 2'!$P$5:$P$156)</f>
        <v>0</v>
      </c>
      <c r="E62" s="83">
        <f>SUMIF(Ingresos!$C$6:$C$115,B62,Ingresos!$E$6:$E$115)</f>
        <v>0</v>
      </c>
      <c r="F62" s="141">
        <f t="shared" si="0"/>
        <v>0</v>
      </c>
      <c r="G62" s="219"/>
      <c r="H62" s="219"/>
      <c r="I62" s="70"/>
    </row>
    <row r="63" spans="2:9" hidden="1" x14ac:dyDescent="0.25">
      <c r="B63" s="139">
        <v>59</v>
      </c>
      <c r="C63" s="70" t="str">
        <f>IFERROR(VLOOKUP(B63,Referencias!$B$7:$C$154,2,FALSE),"")</f>
        <v>Genova Maire S.A.</v>
      </c>
      <c r="D63" s="83">
        <f>SUMIF(Trabajos!$E$5:$E$394,B63,Trabajos!$P$5:$P$394)+SUMIF('Trabajos 2'!$E$5:$E$156,B63,'Trabajos 2'!$P$5:$P$156)</f>
        <v>0</v>
      </c>
      <c r="E63" s="83">
        <f>SUMIF(Ingresos!$C$6:$C$115,B63,Ingresos!$E$6:$E$115)</f>
        <v>0</v>
      </c>
      <c r="F63" s="141">
        <f t="shared" si="0"/>
        <v>0</v>
      </c>
      <c r="G63" s="219"/>
      <c r="H63" s="219"/>
      <c r="I63" s="70"/>
    </row>
    <row r="64" spans="2:9" hidden="1" x14ac:dyDescent="0.25">
      <c r="B64" s="139">
        <v>60</v>
      </c>
      <c r="C64" s="70" t="str">
        <f>IFERROR(VLOOKUP(B64,Referencias!$B$7:$C$154,2,FALSE),"")</f>
        <v>Forner Hnos y Cia S.A.</v>
      </c>
      <c r="D64" s="83">
        <f>SUMIF(Trabajos!$E$5:$E$394,B64,Trabajos!$P$5:$P$394)+SUMIF('Trabajos 2'!$E$5:$E$156,B64,'Trabajos 2'!$P$5:$P$156)</f>
        <v>0</v>
      </c>
      <c r="E64" s="83">
        <f>SUMIF(Ingresos!$C$6:$C$115,B64,Ingresos!$E$6:$E$115)</f>
        <v>0</v>
      </c>
      <c r="F64" s="141">
        <f t="shared" si="0"/>
        <v>0</v>
      </c>
      <c r="G64" s="219"/>
      <c r="H64" s="219"/>
      <c r="I64" s="70"/>
    </row>
    <row r="65" spans="2:9" hidden="1" x14ac:dyDescent="0.25">
      <c r="B65" s="139">
        <v>61</v>
      </c>
      <c r="C65" s="70" t="str">
        <f>IFERROR(VLOOKUP(B65,Referencias!$B$7:$C$154,2,FALSE),"")</f>
        <v>Cuatro Lagunas S.A.</v>
      </c>
      <c r="D65" s="83">
        <f>SUMIF(Trabajos!$E$5:$E$394,B65,Trabajos!$P$5:$P$394)+SUMIF('Trabajos 2'!$E$5:$E$156,B65,'Trabajos 2'!$P$5:$P$156)</f>
        <v>0</v>
      </c>
      <c r="E65" s="83">
        <f>SUMIF(Ingresos!$C$6:$C$115,B65,Ingresos!$E$6:$E$115)</f>
        <v>0</v>
      </c>
      <c r="F65" s="141">
        <f t="shared" si="0"/>
        <v>0</v>
      </c>
      <c r="G65" s="219"/>
      <c r="H65" s="219"/>
      <c r="I65" s="70"/>
    </row>
    <row r="66" spans="2:9" hidden="1" x14ac:dyDescent="0.25">
      <c r="B66" s="139">
        <v>62</v>
      </c>
      <c r="C66" s="70" t="str">
        <f>IFERROR(VLOOKUP(B66,Referencias!$B$7:$C$154,2,FALSE),"")</f>
        <v>Luis Maria Urabayen</v>
      </c>
      <c r="D66" s="83">
        <f>SUMIF(Trabajos!$E$5:$E$394,B66,Trabajos!$P$5:$P$394)+SUMIF('Trabajos 2'!$E$5:$E$156,B66,'Trabajos 2'!$P$5:$P$156)</f>
        <v>0</v>
      </c>
      <c r="E66" s="83">
        <f>SUMIF(Ingresos!$C$6:$C$115,B66,Ingresos!$E$6:$E$115)</f>
        <v>0</v>
      </c>
      <c r="F66" s="141">
        <f t="shared" si="0"/>
        <v>0</v>
      </c>
      <c r="G66" s="219"/>
      <c r="H66" s="219"/>
      <c r="I66" s="70"/>
    </row>
    <row r="67" spans="2:9" hidden="1" x14ac:dyDescent="0.25">
      <c r="B67" s="139">
        <v>63</v>
      </c>
      <c r="C67" s="70" t="str">
        <f>IFERROR(VLOOKUP(B67,Referencias!$B$7:$C$154,2,FALSE),"")</f>
        <v>Leonardo Diaz</v>
      </c>
      <c r="D67" s="83">
        <f>SUMIF(Trabajos!$E$5:$E$394,B67,Trabajos!$P$5:$P$394)+SUMIF('Trabajos 2'!$E$5:$E$156,B67,'Trabajos 2'!$P$5:$P$156)</f>
        <v>0</v>
      </c>
      <c r="E67" s="83">
        <f>SUMIF(Ingresos!$C$6:$C$115,B67,Ingresos!$E$6:$E$115)</f>
        <v>0</v>
      </c>
      <c r="F67" s="141">
        <f t="shared" si="0"/>
        <v>0</v>
      </c>
      <c r="G67" s="219"/>
      <c r="H67" s="219"/>
      <c r="I67" s="70"/>
    </row>
    <row r="68" spans="2:9" hidden="1" x14ac:dyDescent="0.25">
      <c r="B68" s="139">
        <v>64</v>
      </c>
      <c r="C68" s="70" t="str">
        <f>IFERROR(VLOOKUP(B68,Referencias!$B$7:$C$154,2,FALSE),"")</f>
        <v>Isaura S.A.</v>
      </c>
      <c r="D68" s="83">
        <f>SUMIF(Trabajos!$E$5:$E$394,B68,Trabajos!$P$5:$P$394)+SUMIF('Trabajos 2'!$E$5:$E$156,B68,'Trabajos 2'!$P$5:$P$156)</f>
        <v>0</v>
      </c>
      <c r="E68" s="83">
        <f>SUMIF(Ingresos!$C$6:$C$115,B68,Ingresos!$E$6:$E$115)</f>
        <v>0</v>
      </c>
      <c r="F68" s="141">
        <f t="shared" si="0"/>
        <v>0</v>
      </c>
      <c r="G68" s="219"/>
      <c r="H68" s="219"/>
      <c r="I68" s="70"/>
    </row>
    <row r="69" spans="2:9" hidden="1" x14ac:dyDescent="0.25">
      <c r="B69" s="139">
        <v>65</v>
      </c>
      <c r="C69" s="70" t="str">
        <f>IFERROR(VLOOKUP(B69,Referencias!$B$7:$C$154,2,FALSE),"")</f>
        <v>Juan Echevarria</v>
      </c>
      <c r="D69" s="83">
        <f>SUMIF(Trabajos!$E$5:$E$394,B69,Trabajos!$P$5:$P$394)+SUMIF('Trabajos 2'!$E$5:$E$156,B69,'Trabajos 2'!$P$5:$P$156)</f>
        <v>0</v>
      </c>
      <c r="E69" s="83">
        <f>SUMIF(Ingresos!$C$6:$C$115,B69,Ingresos!$E$6:$E$115)</f>
        <v>0</v>
      </c>
      <c r="F69" s="141">
        <f t="shared" si="0"/>
        <v>0</v>
      </c>
      <c r="G69" s="219"/>
      <c r="H69" s="219"/>
      <c r="I69" s="70"/>
    </row>
    <row r="70" spans="2:9" hidden="1" x14ac:dyDescent="0.25">
      <c r="B70" s="139">
        <v>66</v>
      </c>
      <c r="C70" s="70" t="str">
        <f>IFERROR(VLOOKUP(B70,Referencias!$B$7:$C$154,2,FALSE),"")</f>
        <v>Campazu</v>
      </c>
      <c r="D70" s="83">
        <f>SUMIF(Trabajos!$E$5:$E$394,B70,Trabajos!$P$5:$P$394)+SUMIF('Trabajos 2'!$E$5:$E$156,B70,'Trabajos 2'!$P$5:$P$156)</f>
        <v>0</v>
      </c>
      <c r="E70" s="83">
        <f>SUMIF(Ingresos!$C$6:$C$115,B70,Ingresos!$E$6:$E$115)</f>
        <v>0</v>
      </c>
      <c r="F70" s="141">
        <f t="shared" ref="F70:F133" si="1">E70-D70</f>
        <v>0</v>
      </c>
      <c r="G70" s="219"/>
      <c r="H70" s="219"/>
      <c r="I70" s="70"/>
    </row>
    <row r="71" spans="2:9" hidden="1" x14ac:dyDescent="0.25">
      <c r="B71" s="139">
        <v>67</v>
      </c>
      <c r="C71" s="70" t="str">
        <f>IFERROR(VLOOKUP(B71,Referencias!$B$7:$C$154,2,FALSE),"")</f>
        <v>La Angelita S.A.</v>
      </c>
      <c r="D71" s="83">
        <f>SUMIF(Trabajos!$E$5:$E$394,B71,Trabajos!$P$5:$P$394)+SUMIF('Trabajos 2'!$E$5:$E$156,B71,'Trabajos 2'!$P$5:$P$156)</f>
        <v>0</v>
      </c>
      <c r="E71" s="83">
        <f>SUMIF(Ingresos!$C$6:$C$115,B71,Ingresos!$E$6:$E$115)</f>
        <v>0</v>
      </c>
      <c r="F71" s="141">
        <f t="shared" si="1"/>
        <v>0</v>
      </c>
      <c r="G71" s="219"/>
      <c r="H71" s="219"/>
      <c r="I71" s="70"/>
    </row>
    <row r="72" spans="2:9" hidden="1" x14ac:dyDescent="0.25">
      <c r="B72" s="139">
        <v>68</v>
      </c>
      <c r="C72" s="70" t="str">
        <f>IFERROR(VLOOKUP(B72,Referencias!$B$7:$C$154,2,FALSE),"")</f>
        <v>Facundo Rojo</v>
      </c>
      <c r="D72" s="83">
        <f>SUMIF(Trabajos!$E$5:$E$394,B72,Trabajos!$P$5:$P$394)+SUMIF('Trabajos 2'!$E$5:$E$156,B72,'Trabajos 2'!$P$5:$P$156)</f>
        <v>0</v>
      </c>
      <c r="E72" s="83">
        <f>SUMIF(Ingresos!$C$6:$C$115,B72,Ingresos!$E$6:$E$115)</f>
        <v>0</v>
      </c>
      <c r="F72" s="141">
        <f t="shared" si="1"/>
        <v>0</v>
      </c>
      <c r="G72" s="219"/>
      <c r="H72" s="219"/>
      <c r="I72" s="70"/>
    </row>
    <row r="73" spans="2:9" x14ac:dyDescent="0.25">
      <c r="B73" s="139">
        <v>69</v>
      </c>
      <c r="C73" s="70" t="str">
        <f>IFERROR(VLOOKUP(B73,Referencias!$B$7:$C$154,2,FALSE),"")</f>
        <v>Alejandro Massigoge</v>
      </c>
      <c r="D73" s="83">
        <f>SUMIF(Trabajos!$E$5:$E$394,B73,Trabajos!$P$5:$P$394)+SUMIF('Trabajos 2'!$E$5:$E$156,B73,'Trabajos 2'!$P$5:$P$156)</f>
        <v>309551</v>
      </c>
      <c r="E73" s="83">
        <f>SUMIF(Ingresos!$C$6:$C$115,B73,Ingresos!$E$6:$E$115)</f>
        <v>309551</v>
      </c>
      <c r="F73" s="141">
        <f t="shared" si="1"/>
        <v>0</v>
      </c>
      <c r="G73" s="237"/>
      <c r="H73" s="237"/>
      <c r="I73" s="150"/>
    </row>
    <row r="74" spans="2:9" hidden="1" x14ac:dyDescent="0.25">
      <c r="B74" s="139">
        <v>70</v>
      </c>
      <c r="C74" s="70" t="str">
        <f>IFERROR(VLOOKUP(B74,Referencias!$B$7:$C$154,2,FALSE),"")</f>
        <v>Nestor Agüero</v>
      </c>
      <c r="D74" s="83">
        <f>SUMIF(Trabajos!$E$5:$E$394,B74,Trabajos!$P$5:$P$394)+SUMIF('Trabajos 2'!$E$5:$E$156,B74,'Trabajos 2'!$P$5:$P$156)</f>
        <v>0</v>
      </c>
      <c r="E74" s="83">
        <f>SUMIF(Ingresos!$C$6:$C$115,B74,Ingresos!$E$6:$E$115)</f>
        <v>0</v>
      </c>
      <c r="F74" s="141">
        <f t="shared" si="1"/>
        <v>0</v>
      </c>
      <c r="G74" s="219"/>
      <c r="H74" s="219"/>
      <c r="I74" s="70"/>
    </row>
    <row r="75" spans="2:9" hidden="1" x14ac:dyDescent="0.25">
      <c r="B75" s="139">
        <v>71</v>
      </c>
      <c r="C75" s="70" t="str">
        <f>IFERROR(VLOOKUP(B75,Referencias!$B$7:$C$154,2,FALSE),"")</f>
        <v>El Regalo</v>
      </c>
      <c r="D75" s="83">
        <f>SUMIF(Trabajos!$E$5:$E$394,B75,Trabajos!$P$5:$P$394)+SUMIF('Trabajos 2'!$E$5:$E$156,B75,'Trabajos 2'!$P$5:$P$156)</f>
        <v>0</v>
      </c>
      <c r="E75" s="83">
        <f>SUMIF(Ingresos!$C$6:$C$115,B75,Ingresos!$E$6:$E$115)</f>
        <v>0</v>
      </c>
      <c r="F75" s="141">
        <f t="shared" si="1"/>
        <v>0</v>
      </c>
      <c r="G75" s="219"/>
      <c r="H75" s="219"/>
      <c r="I75" s="70"/>
    </row>
    <row r="76" spans="2:9" x14ac:dyDescent="0.25">
      <c r="B76" s="139">
        <v>72</v>
      </c>
      <c r="C76" s="70" t="str">
        <f>IFERROR(VLOOKUP(B76,Referencias!$B$7:$C$154,2,FALSE),"")</f>
        <v>La Mylucha</v>
      </c>
      <c r="D76" s="83">
        <f>SUMIF(Trabajos!$E$5:$E$394,B76,Trabajos!$P$5:$P$394)+SUMIF('Trabajos 2'!$E$5:$E$156,B76,'Trabajos 2'!$P$5:$P$156)</f>
        <v>1297858.75</v>
      </c>
      <c r="E76" s="83">
        <f>SUMIF(Ingresos!$C$6:$C$115,B76,Ingresos!$E$6:$E$115)</f>
        <v>1297858.75</v>
      </c>
      <c r="F76" s="141">
        <f t="shared" si="1"/>
        <v>0</v>
      </c>
      <c r="G76" s="237"/>
      <c r="H76" s="237"/>
      <c r="I76" s="237"/>
    </row>
    <row r="77" spans="2:9" hidden="1" x14ac:dyDescent="0.25">
      <c r="B77" s="139">
        <v>73</v>
      </c>
      <c r="C77" s="70" t="str">
        <f>IFERROR(VLOOKUP(B77,Referencias!$B$7:$C$154,2,FALSE),"")</f>
        <v>Alejandro Petrantonio</v>
      </c>
      <c r="D77" s="83">
        <f>SUMIF(Trabajos!$E$5:$E$394,B77,Trabajos!$P$5:$P$394)+SUMIF('Trabajos 2'!$E$5:$E$156,B77,'Trabajos 2'!$P$5:$P$156)</f>
        <v>0</v>
      </c>
      <c r="E77" s="83">
        <f>SUMIF(Ingresos!$C$6:$C$115,B77,Ingresos!$E$6:$E$115)</f>
        <v>0</v>
      </c>
      <c r="F77" s="141">
        <f t="shared" si="1"/>
        <v>0</v>
      </c>
      <c r="G77" s="219"/>
      <c r="H77" s="219"/>
      <c r="I77" s="70"/>
    </row>
    <row r="78" spans="2:9" hidden="1" x14ac:dyDescent="0.25">
      <c r="B78" s="139">
        <v>74</v>
      </c>
      <c r="C78" s="70" t="str">
        <f>IFERROR(VLOOKUP(B78,Referencias!$B$7:$C$154,2,FALSE),"")</f>
        <v>Jose Massigoge</v>
      </c>
      <c r="D78" s="83">
        <f>SUMIF(Trabajos!$E$5:$E$394,B78,Trabajos!$P$5:$P$394)+SUMIF('Trabajos 2'!$E$5:$E$156,B78,'Trabajos 2'!$P$5:$P$156)</f>
        <v>0</v>
      </c>
      <c r="E78" s="83">
        <f>SUMIF(Ingresos!$C$6:$C$115,B78,Ingresos!$E$6:$E$115)</f>
        <v>0</v>
      </c>
      <c r="F78" s="141">
        <f t="shared" si="1"/>
        <v>0</v>
      </c>
      <c r="G78" s="219"/>
      <c r="H78" s="219"/>
      <c r="I78" s="70"/>
    </row>
    <row r="79" spans="2:9" hidden="1" x14ac:dyDescent="0.25">
      <c r="B79" s="139">
        <v>75</v>
      </c>
      <c r="C79" s="70" t="str">
        <f>IFERROR(VLOOKUP(B79,Referencias!$B$7:$C$154,2,FALSE),"")</f>
        <v>Federico Bilbao</v>
      </c>
      <c r="D79" s="83">
        <f>SUMIF(Trabajos!$E$5:$E$394,B79,Trabajos!$P$5:$P$394)+SUMIF('Trabajos 2'!$E$5:$E$156,B79,'Trabajos 2'!$P$5:$P$156)</f>
        <v>0</v>
      </c>
      <c r="E79" s="83">
        <f>SUMIF(Ingresos!$C$6:$C$115,B79,Ingresos!$E$6:$E$115)</f>
        <v>0</v>
      </c>
      <c r="F79" s="141">
        <f t="shared" si="1"/>
        <v>0</v>
      </c>
      <c r="G79" s="219"/>
      <c r="H79" s="219"/>
      <c r="I79" s="70"/>
    </row>
    <row r="80" spans="2:9" x14ac:dyDescent="0.25">
      <c r="B80" s="139">
        <v>76</v>
      </c>
      <c r="C80" s="70" t="str">
        <f>IFERROR(VLOOKUP(B80,Referencias!$B$7:$C$154,2,FALSE),"")</f>
        <v>Bruno Fioriti</v>
      </c>
      <c r="D80" s="83">
        <f>SUMIF(Trabajos!$E$5:$E$394,B80,Trabajos!$P$5:$P$394)+SUMIF('Trabajos 2'!$E$5:$E$156,B80,'Trabajos 2'!$P$5:$P$156)</f>
        <v>734290</v>
      </c>
      <c r="E80" s="83">
        <f>SUMIF(Ingresos!$C$6:$C$115,B80,Ingresos!$E$6:$E$115)</f>
        <v>734290</v>
      </c>
      <c r="F80" s="194">
        <f t="shared" si="1"/>
        <v>0</v>
      </c>
      <c r="G80" s="237"/>
      <c r="H80" s="237"/>
      <c r="I80" s="237"/>
    </row>
    <row r="81" spans="2:10" hidden="1" x14ac:dyDescent="0.25">
      <c r="B81" s="139">
        <v>77</v>
      </c>
      <c r="C81" s="70" t="str">
        <f>IFERROR(VLOOKUP(B81,Referencias!$B$7:$C$154,2,FALSE),"")</f>
        <v xml:space="preserve">Nestor Scheggia </v>
      </c>
      <c r="D81" s="83">
        <f>SUMIF(Trabajos!$E$5:$E$394,B81,Trabajos!$P$5:$P$394)+SUMIF('Trabajos 2'!$E$5:$E$156,B81,'Trabajos 2'!$P$5:$P$156)</f>
        <v>0</v>
      </c>
      <c r="E81" s="83">
        <f>SUMIF(Ingresos!$C$6:$C$115,B81,Ingresos!$E$6:$E$115)</f>
        <v>0</v>
      </c>
      <c r="F81" s="141">
        <f t="shared" si="1"/>
        <v>0</v>
      </c>
      <c r="G81" s="219"/>
      <c r="H81" s="219"/>
      <c r="I81" s="70"/>
    </row>
    <row r="82" spans="2:10" hidden="1" x14ac:dyDescent="0.25">
      <c r="B82" s="139">
        <v>78</v>
      </c>
      <c r="C82" s="70" t="str">
        <f>IFERROR(VLOOKUP(B82,Referencias!$B$7:$C$154,2,FALSE),"")</f>
        <v>Economart SRL</v>
      </c>
      <c r="D82" s="83">
        <f>SUMIF(Trabajos!$E$5:$E$394,B82,Trabajos!$P$5:$P$394)+SUMIF('Trabajos 2'!$E$5:$E$156,B82,'Trabajos 2'!$P$5:$P$156)</f>
        <v>0</v>
      </c>
      <c r="E82" s="83">
        <f>SUMIF(Ingresos!$C$6:$C$115,B82,Ingresos!$E$6:$E$115)</f>
        <v>0</v>
      </c>
      <c r="F82" s="194">
        <f t="shared" si="1"/>
        <v>0</v>
      </c>
      <c r="G82" s="219"/>
      <c r="H82" s="219"/>
      <c r="I82" s="70"/>
    </row>
    <row r="83" spans="2:10" hidden="1" x14ac:dyDescent="0.25">
      <c r="B83" s="139">
        <v>79</v>
      </c>
      <c r="C83" s="70" t="str">
        <f>IFERROR(VLOOKUP(B83,Referencias!$B$7:$C$154,2,FALSE),"")</f>
        <v>Yui S.A.</v>
      </c>
      <c r="D83" s="83">
        <f>SUMIF(Trabajos!$E$5:$E$394,B83,Trabajos!$P$5:$P$394)+SUMIF('Trabajos 2'!$E$5:$E$156,B83,'Trabajos 2'!$P$5:$P$156)</f>
        <v>0</v>
      </c>
      <c r="E83" s="83">
        <f>SUMIF(Ingresos!$C$6:$C$115,B83,Ingresos!$E$6:$E$115)</f>
        <v>0</v>
      </c>
      <c r="F83" s="141">
        <f t="shared" si="1"/>
        <v>0</v>
      </c>
      <c r="G83" s="219"/>
      <c r="H83" s="219"/>
      <c r="I83" s="70"/>
    </row>
    <row r="84" spans="2:10" hidden="1" x14ac:dyDescent="0.25">
      <c r="B84" s="139">
        <v>80</v>
      </c>
      <c r="C84" s="70" t="str">
        <f>IFERROR(VLOOKUP(B84,Referencias!$B$7:$C$154,2,FALSE),"")</f>
        <v>Wendelin S.A.</v>
      </c>
      <c r="D84" s="83">
        <f>SUMIF(Trabajos!$E$5:$E$394,B84,Trabajos!$P$5:$P$394)+SUMIF('Trabajos 2'!$E$5:$E$156,B84,'Trabajos 2'!$P$5:$P$156)</f>
        <v>0</v>
      </c>
      <c r="E84" s="83">
        <f>SUMIF(Ingresos!$C$6:$C$115,B84,Ingresos!$E$6:$E$115)</f>
        <v>0</v>
      </c>
      <c r="F84" s="141">
        <f t="shared" si="1"/>
        <v>0</v>
      </c>
      <c r="G84" s="219"/>
      <c r="H84" s="219"/>
      <c r="I84" s="70"/>
    </row>
    <row r="85" spans="2:10" hidden="1" x14ac:dyDescent="0.25">
      <c r="B85" s="139">
        <v>81</v>
      </c>
      <c r="C85" s="70" t="str">
        <f>IFERROR(VLOOKUP(B85,Referencias!$B$7:$C$154,2,FALSE),"")</f>
        <v>Santiago Chevalier</v>
      </c>
      <c r="D85" s="83">
        <f>SUMIF(Trabajos!$E$5:$E$394,B85,Trabajos!$P$5:$P$394)+SUMIF('Trabajos 2'!$E$5:$E$156,B85,'Trabajos 2'!$P$5:$P$156)</f>
        <v>0</v>
      </c>
      <c r="E85" s="83">
        <f>SUMIF(Ingresos!$C$6:$C$115,B85,Ingresos!$E$6:$E$115)</f>
        <v>0</v>
      </c>
      <c r="F85" s="141">
        <f>E85-D85</f>
        <v>0</v>
      </c>
      <c r="G85" s="219"/>
      <c r="H85" s="219"/>
      <c r="I85" s="70"/>
    </row>
    <row r="86" spans="2:10" x14ac:dyDescent="0.25">
      <c r="B86" s="139">
        <v>82</v>
      </c>
      <c r="C86" s="70" t="str">
        <f>IFERROR(VLOOKUP(B86,Referencias!$B$7:$C$154,2,FALSE),"")</f>
        <v>Cristian Rybner</v>
      </c>
      <c r="D86" s="83">
        <f>SUMIF(Trabajos!$E$5:$E$394,B86,Trabajos!$P$5:$P$394)+SUMIF('Trabajos 2'!$E$5:$E$156,B86,'Trabajos 2'!$P$5:$P$156)</f>
        <v>473973.50000000006</v>
      </c>
      <c r="E86" s="83">
        <f>SUMIF(Ingresos!$C$6:$C$115,B86,Ingresos!$E$6:$E$115)</f>
        <v>0</v>
      </c>
      <c r="F86" s="141">
        <f t="shared" si="1"/>
        <v>-473973.50000000006</v>
      </c>
      <c r="G86" s="224" t="s">
        <v>418</v>
      </c>
      <c r="H86" s="224" t="s">
        <v>418</v>
      </c>
      <c r="I86" s="150"/>
    </row>
    <row r="87" spans="2:10" hidden="1" x14ac:dyDescent="0.25">
      <c r="B87" s="139">
        <v>83</v>
      </c>
      <c r="C87" s="70" t="str">
        <f>IFERROR(VLOOKUP(B87,Referencias!$B$7:$C$154,2,FALSE),"")</f>
        <v>Eduardo Nasurdi</v>
      </c>
      <c r="D87" s="83">
        <f>SUMIF(Trabajos!$E$5:$E$394,B87,Trabajos!$P$5:$P$394)+SUMIF('Trabajos 2'!$E$5:$E$156,B87,'Trabajos 2'!$P$5:$P$156)</f>
        <v>0</v>
      </c>
      <c r="E87" s="83">
        <f>SUMIF(Ingresos!$C$6:$C$115,B87,Ingresos!$E$6:$E$115)</f>
        <v>0</v>
      </c>
      <c r="F87" s="141">
        <f t="shared" si="1"/>
        <v>0</v>
      </c>
      <c r="G87" s="219"/>
      <c r="H87" s="219"/>
      <c r="I87" s="70"/>
    </row>
    <row r="88" spans="2:10" x14ac:dyDescent="0.25">
      <c r="B88" s="139">
        <v>84</v>
      </c>
      <c r="C88" s="70" t="str">
        <f>IFERROR(VLOOKUP(B88,Referencias!$B$7:$C$154,2,FALSE),"")</f>
        <v>Domingo y Nestor Scioli</v>
      </c>
      <c r="D88" s="83">
        <f>SUMIF(Trabajos!$E$5:$E$394,B88,Trabajos!$P$5:$P$394)+SUMIF('Trabajos 2'!$E$5:$E$156,B88,'Trabajos 2'!$P$5:$P$156)</f>
        <v>4033019.75</v>
      </c>
      <c r="E88" s="83">
        <f>SUMIF(Ingresos!$C$6:$C$115,B88,Ingresos!$E$6:$E$115)</f>
        <v>4033019.75</v>
      </c>
      <c r="F88" s="141">
        <f t="shared" si="1"/>
        <v>0</v>
      </c>
      <c r="G88" s="237"/>
      <c r="H88" s="237"/>
      <c r="I88" s="237"/>
    </row>
    <row r="89" spans="2:10" hidden="1" x14ac:dyDescent="0.25">
      <c r="B89" s="139">
        <v>85</v>
      </c>
      <c r="C89" s="70" t="str">
        <f>IFERROR(VLOOKUP(B89,Referencias!$B$7:$C$154,2,FALSE),"")</f>
        <v>Austral Store</v>
      </c>
      <c r="D89" s="83">
        <f>SUMIF(Trabajos!$E$5:$E$394,B89,Trabajos!$P$5:$P$394)+SUMIF('Trabajos 2'!$E$5:$E$156,B89,'Trabajos 2'!$P$5:$P$156)</f>
        <v>0</v>
      </c>
      <c r="E89" s="83">
        <f>SUMIF(Ingresos!$C$6:$C$115,B89,Ingresos!$E$6:$E$115)</f>
        <v>0</v>
      </c>
      <c r="F89" s="141">
        <f t="shared" si="1"/>
        <v>0</v>
      </c>
      <c r="G89" s="219"/>
      <c r="H89" s="219"/>
      <c r="I89" s="70"/>
    </row>
    <row r="90" spans="2:10" hidden="1" x14ac:dyDescent="0.25">
      <c r="B90" s="139">
        <v>86</v>
      </c>
      <c r="C90" s="70" t="str">
        <f>IFERROR(VLOOKUP(B90,Referencias!$B$7:$C$154,2,FALSE),"")</f>
        <v>Horacio Farengo</v>
      </c>
      <c r="D90" s="83">
        <f>SUMIF(Trabajos!$E$5:$E$394,B90,Trabajos!$P$5:$P$394)+SUMIF('Trabajos 2'!$E$5:$E$156,B90,'Trabajos 2'!$P$5:$P$156)</f>
        <v>0</v>
      </c>
      <c r="E90" s="83">
        <f>SUMIF(Ingresos!$C$6:$C$115,B90,Ingresos!$E$6:$E$115)</f>
        <v>0</v>
      </c>
      <c r="F90" s="141">
        <f t="shared" si="1"/>
        <v>0</v>
      </c>
      <c r="G90" s="219"/>
      <c r="H90" s="219"/>
      <c r="I90" s="70"/>
    </row>
    <row r="91" spans="2:10" x14ac:dyDescent="0.25">
      <c r="B91" s="139">
        <v>87</v>
      </c>
      <c r="C91" s="70" t="str">
        <f>IFERROR(VLOOKUP(B91,Referencias!$B$7:$C$154,2,FALSE),"")</f>
        <v>La Mezquita-La Mostaza</v>
      </c>
      <c r="D91" s="83">
        <f>SUMIF(Trabajos!$E$5:$E$394,B91,Trabajos!$P$5:$P$394)+SUMIF('Trabajos 2'!$E$5:$E$156,B91,'Trabajos 2'!$P$5:$P$156)</f>
        <v>706531.25</v>
      </c>
      <c r="E91" s="83">
        <f>SUMIF(Ingresos!$C$6:$C$115,B91,Ingresos!$E$6:$E$115)</f>
        <v>706531.25</v>
      </c>
      <c r="F91" s="141">
        <f t="shared" si="1"/>
        <v>0</v>
      </c>
      <c r="G91" s="237"/>
      <c r="H91" s="237"/>
      <c r="I91" s="237"/>
    </row>
    <row r="92" spans="2:10" x14ac:dyDescent="0.25">
      <c r="B92" s="139">
        <v>88</v>
      </c>
      <c r="C92" s="70" t="str">
        <f>IFERROR(VLOOKUP(B92,Referencias!$B$7:$C$154,2,FALSE),"")</f>
        <v>Ignacio Ridao</v>
      </c>
      <c r="D92" s="83">
        <f>SUMIF(Trabajos!$E$5:$E$394,B92,Trabajos!$P$5:$P$394)+SUMIF('Trabajos 2'!$E$5:$E$156,B92,'Trabajos 2'!$P$5:$P$156)</f>
        <v>328271.25</v>
      </c>
      <c r="E92" s="83">
        <f>SUMIF(Ingresos!$C$6:$C$115,B92,Ingresos!$E$6:$E$115)</f>
        <v>328271.25</v>
      </c>
      <c r="F92" s="141">
        <f t="shared" si="1"/>
        <v>0</v>
      </c>
      <c r="G92" s="237"/>
      <c r="H92" s="237"/>
      <c r="I92" s="237"/>
    </row>
    <row r="93" spans="2:10" x14ac:dyDescent="0.25">
      <c r="B93" s="139">
        <v>89</v>
      </c>
      <c r="C93" s="70" t="str">
        <f>IFERROR(VLOOKUP(B93,Referencias!$B$7:$C$154,2,FALSE),"")</f>
        <v>Jose Echeverria e Hijos</v>
      </c>
      <c r="D93" s="83">
        <f>SUMIF(Trabajos!$E$5:$E$394,B93,Trabajos!$P$5:$P$394)+SUMIF('Trabajos 2'!$E$5:$E$156,B93,'Trabajos 2'!$P$5:$P$156)</f>
        <v>42600</v>
      </c>
      <c r="E93" s="83">
        <f>SUMIF(Ingresos!$C$6:$C$115,B93,Ingresos!$E$6:$E$115)</f>
        <v>42600</v>
      </c>
      <c r="F93" s="141">
        <f t="shared" si="1"/>
        <v>0</v>
      </c>
      <c r="G93" s="237"/>
      <c r="H93" s="237"/>
      <c r="I93" s="150"/>
      <c r="J93" t="s">
        <v>4</v>
      </c>
    </row>
    <row r="94" spans="2:10" x14ac:dyDescent="0.25">
      <c r="B94" s="139">
        <v>90</v>
      </c>
      <c r="C94" s="70" t="str">
        <f>IFERROR(VLOOKUP(B94,Referencias!$B$7:$C$154,2,FALSE),"")</f>
        <v>Walter Ingenieri</v>
      </c>
      <c r="D94" s="83">
        <f>SUMIF(Trabajos!$E$5:$E$394,B94,Trabajos!$P$5:$P$394)+SUMIF('Trabajos 2'!$E$5:$E$156,B94,'Trabajos 2'!$P$5:$P$156)</f>
        <v>295600</v>
      </c>
      <c r="E94" s="83">
        <f>SUMIF(Ingresos!$C$6:$C$115,B94,Ingresos!$E$6:$E$115)</f>
        <v>295600</v>
      </c>
      <c r="F94" s="141">
        <f t="shared" si="1"/>
        <v>0</v>
      </c>
      <c r="G94" s="237"/>
      <c r="H94" s="237"/>
      <c r="I94" s="237"/>
    </row>
    <row r="95" spans="2:10" x14ac:dyDescent="0.25">
      <c r="B95" s="139">
        <v>91</v>
      </c>
      <c r="C95" s="70" t="str">
        <f>IFERROR(VLOOKUP(B95,Referencias!$B$7:$C$154,2,FALSE),"")</f>
        <v>Alfredo Hitce</v>
      </c>
      <c r="D95" s="83">
        <f>SUMIF(Trabajos!$E$5:$E$394,B95,Trabajos!$P$5:$P$394)+SUMIF('Trabajos 2'!$E$5:$E$156,B95,'Trabajos 2'!$P$5:$P$156)</f>
        <v>427204</v>
      </c>
      <c r="E95" s="83">
        <f>SUMIF(Ingresos!$C$6:$C$115,B95,Ingresos!$E$6:$E$115)</f>
        <v>0</v>
      </c>
      <c r="F95" s="141">
        <f t="shared" si="1"/>
        <v>-427204</v>
      </c>
      <c r="G95" s="224" t="s">
        <v>418</v>
      </c>
      <c r="H95" s="224" t="s">
        <v>418</v>
      </c>
      <c r="I95" s="150"/>
    </row>
    <row r="96" spans="2:10" hidden="1" x14ac:dyDescent="0.25">
      <c r="B96" s="139">
        <v>92</v>
      </c>
      <c r="C96" s="70" t="str">
        <f>IFERROR(VLOOKUP(B96,Referencias!$B$7:$C$154,2,FALSE),"")</f>
        <v>Carlos Riccillo</v>
      </c>
      <c r="D96" s="83">
        <f>SUMIF(Trabajos!$E$5:$E$394,B96,Trabajos!$P$5:$P$394)+SUMIF('Trabajos 2'!$E$5:$E$156,B96,'Trabajos 2'!$P$5:$P$156)</f>
        <v>0</v>
      </c>
      <c r="E96" s="83">
        <f>SUMIF(Ingresos!$C$6:$C$115,B96,Ingresos!$E$6:$E$115)</f>
        <v>0</v>
      </c>
      <c r="F96" s="141">
        <f t="shared" si="1"/>
        <v>0</v>
      </c>
      <c r="G96" s="219"/>
      <c r="H96" s="219"/>
      <c r="I96" s="70"/>
    </row>
    <row r="97" spans="2:9" hidden="1" x14ac:dyDescent="0.25">
      <c r="B97" s="139">
        <v>93</v>
      </c>
      <c r="C97" s="70" t="str">
        <f>IFERROR(VLOOKUP(B97,Referencias!$B$7:$C$154,2,FALSE),"")</f>
        <v>Javier Vidaguren</v>
      </c>
      <c r="D97" s="83">
        <f>SUMIF(Trabajos!$E$5:$E$394,B97,Trabajos!$P$5:$P$394)+SUMIF('Trabajos 2'!$E$5:$E$156,B97,'Trabajos 2'!$P$5:$P$156)</f>
        <v>0</v>
      </c>
      <c r="E97" s="83">
        <f>SUMIF(Ingresos!$C$6:$C$115,B97,Ingresos!$E$6:$E$115)</f>
        <v>0</v>
      </c>
      <c r="F97" s="141">
        <f t="shared" si="1"/>
        <v>0</v>
      </c>
      <c r="G97" s="219"/>
      <c r="H97" s="219"/>
      <c r="I97" s="70"/>
    </row>
    <row r="98" spans="2:9" hidden="1" x14ac:dyDescent="0.25">
      <c r="B98" s="139">
        <v>94</v>
      </c>
      <c r="C98" s="70" t="str">
        <f>IFERROR(VLOOKUP(B98,Referencias!$B$7:$C$154,2,FALSE),"")</f>
        <v>Pomme de Terre SRL</v>
      </c>
      <c r="D98" s="205">
        <f>SUMIF(Trabajos!$E$5:$E$394,B98,Trabajos!$P$5:$P$394)+SUMIF('Trabajos 2'!$E$5:$E$156,B98,'Trabajos 2'!$P$5:$P$156)</f>
        <v>0</v>
      </c>
      <c r="E98" s="83">
        <f>SUMIF(Ingresos!$C$6:$C$115,B98,Ingresos!$E$6:$E$115)</f>
        <v>0</v>
      </c>
      <c r="F98" s="141">
        <f t="shared" si="1"/>
        <v>0</v>
      </c>
      <c r="G98" s="219"/>
      <c r="H98" s="219"/>
      <c r="I98" s="70"/>
    </row>
    <row r="99" spans="2:9" x14ac:dyDescent="0.25">
      <c r="B99" s="139">
        <v>95</v>
      </c>
      <c r="C99" s="70" t="str">
        <f>IFERROR(VLOOKUP(B99,Referencias!$B$7:$C$154,2,FALSE),"")</f>
        <v>Florimond Desprez</v>
      </c>
      <c r="D99" s="83">
        <f>SUMIF(Trabajos!$E$5:$E$394,B99,Trabajos!$P$5:$P$394)+SUMIF('Trabajos 2'!$E$5:$E$156,B99,'Trabajos 2'!$P$5:$P$156)</f>
        <v>183750</v>
      </c>
      <c r="E99" s="83">
        <f>SUMIF(Ingresos!$C$6:$C$115,B99,Ingresos!$E$6:$E$115)</f>
        <v>183750</v>
      </c>
      <c r="F99" s="141">
        <f t="shared" si="1"/>
        <v>0</v>
      </c>
      <c r="G99" s="237"/>
      <c r="H99" s="237"/>
      <c r="I99" s="237"/>
    </row>
    <row r="100" spans="2:9" hidden="1" x14ac:dyDescent="0.25">
      <c r="B100" s="139">
        <v>96</v>
      </c>
      <c r="C100" s="70" t="str">
        <f>IFERROR(VLOOKUP(B100,Referencias!$B$7:$C$154,2,FALSE),"")</f>
        <v>Daniel Arriegue</v>
      </c>
      <c r="D100" s="83">
        <f>SUMIF(Trabajos!$E$5:$E$394,B100,Trabajos!$P$5:$P$394)+SUMIF('Trabajos 2'!$E$5:$E$156,B100,'Trabajos 2'!$P$5:$P$156)</f>
        <v>0</v>
      </c>
      <c r="E100" s="83">
        <f>SUMIF(Ingresos!$C$6:$C$115,B100,Ingresos!$E$6:$E$115)</f>
        <v>0</v>
      </c>
      <c r="F100" s="141">
        <f t="shared" si="1"/>
        <v>0</v>
      </c>
      <c r="G100" s="219"/>
      <c r="H100" s="219"/>
      <c r="I100" s="70"/>
    </row>
    <row r="101" spans="2:9" hidden="1" x14ac:dyDescent="0.25">
      <c r="B101" s="139">
        <v>97</v>
      </c>
      <c r="C101" s="70" t="str">
        <f>IFERROR(VLOOKUP(B101,Referencias!$B$7:$C$154,2,FALSE),"")</f>
        <v>Vistaguay</v>
      </c>
      <c r="D101" s="83">
        <f>SUMIF(Trabajos!$E$5:$E$394,B101,Trabajos!$P$5:$P$394)+SUMIF('Trabajos 2'!$E$5:$E$156,B101,'Trabajos 2'!$P$5:$P$156)</f>
        <v>0</v>
      </c>
      <c r="E101" s="83">
        <f>SUMIF(Ingresos!$C$6:$C$115,B101,Ingresos!$E$6:$E$115)</f>
        <v>0</v>
      </c>
      <c r="F101" s="141">
        <f t="shared" si="1"/>
        <v>0</v>
      </c>
      <c r="G101" s="219"/>
      <c r="H101" s="219"/>
      <c r="I101" s="70"/>
    </row>
    <row r="102" spans="2:9" x14ac:dyDescent="0.25">
      <c r="B102" s="139">
        <v>98</v>
      </c>
      <c r="C102" s="70" t="str">
        <f>IFERROR(VLOOKUP(B102,Referencias!$B$7:$C$154,2,FALSE),"")</f>
        <v>Inalco</v>
      </c>
      <c r="D102" s="83">
        <f>SUMIF(Trabajos!$E$5:$E$394,B102,Trabajos!$P$5:$P$394)+SUMIF('Trabajos 2'!$E$5:$E$156,B102,'Trabajos 2'!$P$5:$P$156)</f>
        <v>2739165</v>
      </c>
      <c r="E102" s="83">
        <f>SUMIF(Ingresos!$C$6:$C$115,B102,Ingresos!$E$6:$E$115)</f>
        <v>2739165</v>
      </c>
      <c r="F102" s="141">
        <f t="shared" si="1"/>
        <v>0</v>
      </c>
      <c r="G102" s="237"/>
      <c r="H102" s="237"/>
      <c r="I102" s="237"/>
    </row>
    <row r="103" spans="2:9" x14ac:dyDescent="0.25">
      <c r="B103" s="139">
        <v>99</v>
      </c>
      <c r="C103" s="70" t="str">
        <f>IFERROR(VLOOKUP(B103,Referencias!$B$7:$C$154,2,FALSE),"")</f>
        <v>San Vicente</v>
      </c>
      <c r="D103" s="83">
        <f>SUMIF(Trabajos!$E$5:$E$394,B103,Trabajos!$P$5:$P$394)+SUMIF('Trabajos 2'!$E$5:$E$156,B103,'Trabajos 2'!$P$5:$P$156)</f>
        <v>1426157.5</v>
      </c>
      <c r="E103" s="83">
        <f>SUMIF(Ingresos!$C$6:$C$115,B103,Ingresos!$E$6:$E$115)</f>
        <v>1426157.5</v>
      </c>
      <c r="F103" s="141">
        <f t="shared" si="1"/>
        <v>0</v>
      </c>
      <c r="G103" s="237"/>
      <c r="H103" s="237"/>
      <c r="I103" s="237"/>
    </row>
    <row r="104" spans="2:9" hidden="1" x14ac:dyDescent="0.25">
      <c r="B104" s="139">
        <v>100</v>
      </c>
      <c r="C104" s="70" t="str">
        <f>IFERROR(VLOOKUP(B104,Referencias!$B$7:$C$154,2,FALSE),"")</f>
        <v>Roza Hnos</v>
      </c>
      <c r="D104" s="83">
        <f>SUMIF(Trabajos!$E$5:$E$394,B104,Trabajos!$P$5:$P$394)+SUMIF('Trabajos 2'!$E$5:$E$156,B104,'Trabajos 2'!$P$5:$P$156)</f>
        <v>0</v>
      </c>
      <c r="E104" s="83">
        <f>SUMIF(Ingresos!$C$6:$C$115,B104,Ingresos!$E$6:$E$115)</f>
        <v>0</v>
      </c>
      <c r="F104" s="141">
        <f t="shared" si="1"/>
        <v>0</v>
      </c>
      <c r="G104" s="219"/>
      <c r="H104" s="219"/>
      <c r="I104" s="70"/>
    </row>
    <row r="105" spans="2:9" x14ac:dyDescent="0.25">
      <c r="B105" s="139">
        <v>101</v>
      </c>
      <c r="C105" s="70" t="str">
        <f>IFERROR(VLOOKUP(B105,Referencias!$B$7:$C$154,2,FALSE),"")</f>
        <v>Agustin Galeano</v>
      </c>
      <c r="D105" s="83">
        <f>SUMIF(Trabajos!$E$5:$E$394,B105,Trabajos!$P$5:$P$394)+SUMIF('Trabajos 2'!$E$5:$E$156,B105,'Trabajos 2'!$P$5:$P$156)</f>
        <v>493880</v>
      </c>
      <c r="E105" s="83">
        <f>SUMIF(Ingresos!$C$6:$C$115,B105,Ingresos!$E$6:$E$115)</f>
        <v>493880</v>
      </c>
      <c r="F105" s="141">
        <f t="shared" si="1"/>
        <v>0</v>
      </c>
      <c r="G105" s="237"/>
      <c r="H105" s="237"/>
      <c r="I105" s="237"/>
    </row>
    <row r="106" spans="2:9" hidden="1" x14ac:dyDescent="0.25">
      <c r="B106" s="139">
        <v>102</v>
      </c>
      <c r="C106" s="70" t="str">
        <f>IFERROR(VLOOKUP(B106,Referencias!$B$7:$C$154,2,FALSE),"")</f>
        <v>Eduardo Dam Sonderup</v>
      </c>
      <c r="D106" s="83">
        <f>SUMIF(Trabajos!$E$5:$E$394,B106,Trabajos!$P$5:$P$394)+SUMIF('Trabajos 2'!$E$5:$E$156,B106,'Trabajos 2'!$P$5:$P$156)</f>
        <v>0</v>
      </c>
      <c r="E106" s="83">
        <f>SUMIF(Ingresos!$C$6:$C$115,B106,Ingresos!$E$6:$E$115)</f>
        <v>0</v>
      </c>
      <c r="F106" s="141">
        <f t="shared" si="1"/>
        <v>0</v>
      </c>
      <c r="G106" s="219"/>
      <c r="H106" s="219"/>
      <c r="I106" s="70"/>
    </row>
    <row r="107" spans="2:9" x14ac:dyDescent="0.25">
      <c r="B107" s="139">
        <v>103</v>
      </c>
      <c r="C107" s="70" t="str">
        <f>IFERROR(VLOOKUP(B107,Referencias!$B$7:$C$154,2,FALSE),"")</f>
        <v>AgroFranVis SRL</v>
      </c>
      <c r="D107" s="83">
        <f>SUMIF(Trabajos!$E$5:$E$394,B107,Trabajos!$P$5:$P$394)+SUMIF('Trabajos 2'!$E$5:$E$156,B107,'Trabajos 2'!$P$5:$P$156)</f>
        <v>1213680</v>
      </c>
      <c r="E107" s="83">
        <f>SUMIF(Ingresos!$C$6:$C$115,B107,Ingresos!$E$6:$E$115)</f>
        <v>1213680</v>
      </c>
      <c r="F107" s="141">
        <f t="shared" si="1"/>
        <v>0</v>
      </c>
      <c r="G107" s="237"/>
      <c r="H107" s="237"/>
      <c r="I107" s="150"/>
    </row>
    <row r="108" spans="2:9" hidden="1" x14ac:dyDescent="0.25">
      <c r="B108" s="139">
        <v>104</v>
      </c>
      <c r="C108" s="70" t="str">
        <f>IFERROR(VLOOKUP(B108,Referencias!$B$7:$C$154,2,FALSE),"")</f>
        <v>Cinalli</v>
      </c>
      <c r="D108" s="83">
        <f>SUMIF(Trabajos!$E$5:$E$394,B108,Trabajos!$P$5:$P$394)+SUMIF('Trabajos 2'!$E$5:$E$156,B108,'Trabajos 2'!$P$5:$P$156)</f>
        <v>0</v>
      </c>
      <c r="E108" s="83">
        <f>SUMIF(Ingresos!$C$6:$C$115,B108,Ingresos!$E$6:$E$115)</f>
        <v>0</v>
      </c>
      <c r="F108" s="141">
        <f t="shared" si="1"/>
        <v>0</v>
      </c>
      <c r="G108" s="219"/>
      <c r="H108" s="219"/>
      <c r="I108" s="70"/>
    </row>
    <row r="109" spans="2:9" hidden="1" x14ac:dyDescent="0.25">
      <c r="B109" s="139">
        <v>105</v>
      </c>
      <c r="C109" s="70" t="str">
        <f>IFERROR(VLOOKUP(B109,Referencias!$B$7:$C$154,2,FALSE),"")</f>
        <v>Esteban Moser</v>
      </c>
      <c r="D109" s="83">
        <f>SUMIF(Trabajos!$E$5:$E$394,B109,Trabajos!$P$5:$P$394)+SUMIF('Trabajos 2'!$E$5:$E$156,B109,'Trabajos 2'!$P$5:$P$156)</f>
        <v>0</v>
      </c>
      <c r="E109" s="83">
        <f>SUMIF(Ingresos!$C$6:$C$115,B109,Ingresos!$E$6:$E$115)</f>
        <v>0</v>
      </c>
      <c r="F109" s="141">
        <f t="shared" si="1"/>
        <v>0</v>
      </c>
      <c r="G109" s="219"/>
      <c r="H109" s="219"/>
      <c r="I109" s="70"/>
    </row>
    <row r="110" spans="2:9" hidden="1" x14ac:dyDescent="0.25">
      <c r="B110" s="139">
        <v>106</v>
      </c>
      <c r="C110" s="70" t="str">
        <f>IFERROR(VLOOKUP(B110,Referencias!$B$7:$C$154,2,FALSE),"")</f>
        <v>Soproga S.A.</v>
      </c>
      <c r="D110" s="83">
        <f>SUMIF(Trabajos!$E$5:$E$394,B110,Trabajos!$P$5:$P$394)+SUMIF('Trabajos 2'!$E$5:$E$156,B110,'Trabajos 2'!$P$5:$P$156)</f>
        <v>0</v>
      </c>
      <c r="E110" s="83">
        <f>SUMIF(Ingresos!$C$6:$C$115,B110,Ingresos!$E$6:$E$115)</f>
        <v>0</v>
      </c>
      <c r="F110" s="141">
        <f t="shared" si="1"/>
        <v>0</v>
      </c>
      <c r="G110" s="219"/>
      <c r="H110" s="219"/>
      <c r="I110" s="70"/>
    </row>
    <row r="111" spans="2:9" x14ac:dyDescent="0.25">
      <c r="B111" s="139">
        <v>107</v>
      </c>
      <c r="C111" s="70" t="str">
        <f>IFERROR(VLOOKUP(B111,Referencias!$B$7:$C$154,2,FALSE),"")</f>
        <v>Omar Piaggio</v>
      </c>
      <c r="D111" s="83">
        <f>SUMIF(Trabajos!$E$5:$E$394,B111,Trabajos!$P$5:$P$394)+SUMIF('Trabajos 2'!$E$5:$E$156,B111,'Trabajos 2'!$P$5:$P$156)</f>
        <v>11230500</v>
      </c>
      <c r="E111" s="83">
        <f>SUMIF(Ingresos!$C$6:$C$115,B111,Ingresos!$E$6:$E$115)</f>
        <v>12299500</v>
      </c>
      <c r="F111" s="141">
        <f t="shared" si="1"/>
        <v>1069000</v>
      </c>
      <c r="G111" s="237"/>
      <c r="H111" s="237"/>
      <c r="I111" s="237"/>
    </row>
    <row r="112" spans="2:9" hidden="1" x14ac:dyDescent="0.25">
      <c r="B112" s="139">
        <v>108</v>
      </c>
      <c r="C112" s="70" t="str">
        <f>IFERROR(VLOOKUP(B112,Referencias!$B$7:$C$154,2,FALSE),"")</f>
        <v>Julio Cordoba</v>
      </c>
      <c r="D112" s="83">
        <f>SUMIF(Trabajos!$E$5:$E$394,B112,Trabajos!$P$5:$P$394)+SUMIF('Trabajos 2'!$E$5:$E$156,B112,'Trabajos 2'!$P$5:$P$156)</f>
        <v>0</v>
      </c>
      <c r="E112" s="83">
        <f>SUMIF(Ingresos!$C$6:$C$115,B112,Ingresos!$E$6:$E$115)</f>
        <v>0</v>
      </c>
      <c r="F112" s="141">
        <f t="shared" si="1"/>
        <v>0</v>
      </c>
      <c r="G112" s="219"/>
      <c r="H112" s="70"/>
      <c r="I112" s="70"/>
    </row>
    <row r="113" spans="2:9" hidden="1" x14ac:dyDescent="0.25">
      <c r="B113" s="139">
        <v>109</v>
      </c>
      <c r="C113" s="70" t="str">
        <f>IFERROR(VLOOKUP(B113,Referencias!$B$7:$C$154,2,FALSE),"")</f>
        <v>Lemble</v>
      </c>
      <c r="D113" s="83">
        <f>SUMIF(Trabajos!$E$5:$E$394,B113,Trabajos!$P$5:$P$394)+SUMIF('Trabajos 2'!$E$5:$E$156,B113,'Trabajos 2'!$P$5:$P$156)</f>
        <v>0</v>
      </c>
      <c r="E113" s="83">
        <f>SUMIF(Ingresos!$C$6:$C$115,B113,Ingresos!$E$6:$E$115)</f>
        <v>0</v>
      </c>
      <c r="F113" s="141">
        <f t="shared" si="1"/>
        <v>0</v>
      </c>
      <c r="G113" s="219"/>
      <c r="H113" s="70"/>
      <c r="I113" s="70"/>
    </row>
    <row r="114" spans="2:9" hidden="1" x14ac:dyDescent="0.25">
      <c r="B114" s="139">
        <v>110</v>
      </c>
      <c r="C114" s="70" t="str">
        <f>IFERROR(VLOOKUP(B114,Referencias!$B$7:$C$154,2,FALSE),"")</f>
        <v>Kevin Etcheto</v>
      </c>
      <c r="D114" s="83">
        <f>SUMIF(Trabajos!$E$5:$E$394,B114,Trabajos!$P$5:$P$394)+SUMIF('Trabajos 2'!$E$5:$E$156,B114,'Trabajos 2'!$P$5:$P$156)</f>
        <v>0</v>
      </c>
      <c r="E114" s="83">
        <f>SUMIF(Ingresos!$C$6:$C$115,B114,Ingresos!$E$6:$E$115)</f>
        <v>0</v>
      </c>
      <c r="F114" s="141">
        <f t="shared" si="1"/>
        <v>0</v>
      </c>
      <c r="G114" s="219"/>
      <c r="H114" s="70"/>
      <c r="I114" s="70"/>
    </row>
    <row r="115" spans="2:9" hidden="1" x14ac:dyDescent="0.25">
      <c r="B115" s="139">
        <v>111</v>
      </c>
      <c r="C115" s="70" t="str">
        <f>IFERROR(VLOOKUP(B115,Referencias!$B$7:$C$154,2,FALSE),"")</f>
        <v>Martin Hollender</v>
      </c>
      <c r="D115" s="83">
        <f>SUMIF(Trabajos!$E$5:$E$394,B115,Trabajos!$P$5:$P$394)+SUMIF('Trabajos 2'!$E$5:$E$156,B115,'Trabajos 2'!$P$5:$P$156)</f>
        <v>0</v>
      </c>
      <c r="E115" s="83">
        <f>SUMIF(Ingresos!$C$6:$C$115,B115,Ingresos!$E$6:$E$115)</f>
        <v>0</v>
      </c>
      <c r="F115" s="141">
        <f t="shared" si="1"/>
        <v>0</v>
      </c>
      <c r="G115" s="219"/>
      <c r="H115" s="70"/>
      <c r="I115" s="70"/>
    </row>
    <row r="116" spans="2:9" hidden="1" x14ac:dyDescent="0.25">
      <c r="B116" s="139">
        <v>112</v>
      </c>
      <c r="C116" s="70" t="str">
        <f>IFERROR(VLOOKUP(B116,Referencias!$B$7:$C$154,2,FALSE),"")</f>
        <v>Diego Gelos</v>
      </c>
      <c r="D116" s="83">
        <f>SUMIF(Trabajos!$E$5:$E$394,B116,Trabajos!$P$5:$P$394)+SUMIF('Trabajos 2'!$E$5:$E$156,B116,'Trabajos 2'!$P$5:$P$156)</f>
        <v>0</v>
      </c>
      <c r="E116" s="83">
        <f>SUMIF(Ingresos!$C$6:$C$115,B116,Ingresos!$E$6:$E$115)</f>
        <v>0</v>
      </c>
      <c r="F116" s="141">
        <f t="shared" si="1"/>
        <v>0</v>
      </c>
      <c r="G116" s="219"/>
      <c r="H116" s="70"/>
      <c r="I116" s="70"/>
    </row>
    <row r="117" spans="2:9" x14ac:dyDescent="0.25">
      <c r="B117" s="139">
        <v>113</v>
      </c>
      <c r="C117" s="70" t="str">
        <f>IFERROR(VLOOKUP(B117,Referencias!$B$7:$C$154,2,FALSE),"")</f>
        <v>Juan Paulo Graf</v>
      </c>
      <c r="D117" s="83">
        <f>SUMIF(Trabajos!$E$5:$E$394,B117,Trabajos!$P$5:$P$394)+SUMIF('Trabajos 2'!$E$5:$E$156,B117,'Trabajos 2'!$P$5:$P$156)</f>
        <v>2377980</v>
      </c>
      <c r="E117" s="83">
        <f>SUMIF(Ingresos!$C$6:$C$115,B117,Ingresos!$E$6:$E$115)</f>
        <v>2377980</v>
      </c>
      <c r="F117" s="141">
        <f t="shared" si="1"/>
        <v>0</v>
      </c>
      <c r="G117" s="237"/>
      <c r="H117" s="237"/>
      <c r="I117" s="237"/>
    </row>
    <row r="118" spans="2:9" hidden="1" x14ac:dyDescent="0.25">
      <c r="B118" s="139">
        <v>114</v>
      </c>
      <c r="C118" s="70" t="str">
        <f>IFERROR(VLOOKUP(B118,Referencias!$B$7:$C$154,2,FALSE),"")</f>
        <v>CIAP</v>
      </c>
      <c r="D118" s="83">
        <f>SUMIF(Trabajos!$E$5:$E$394,B118,Trabajos!$P$5:$P$394)+SUMIF('Trabajos 2'!$E$5:$E$156,B118,'Trabajos 2'!$P$5:$P$156)</f>
        <v>0</v>
      </c>
      <c r="E118" s="83">
        <f>SUMIF(Ingresos!$C$6:$C$115,B118,Ingresos!$E$6:$E$115)</f>
        <v>0</v>
      </c>
      <c r="F118" s="141">
        <f t="shared" si="1"/>
        <v>0</v>
      </c>
      <c r="G118" s="219"/>
      <c r="H118" s="70"/>
      <c r="I118" s="70"/>
    </row>
    <row r="119" spans="2:9" hidden="1" x14ac:dyDescent="0.25">
      <c r="B119" s="139">
        <v>115</v>
      </c>
      <c r="C119" s="70" t="str">
        <f>IFERROR(VLOOKUP(B119,Referencias!$B$7:$C$154,2,FALSE),"")</f>
        <v>Salentein</v>
      </c>
      <c r="D119" s="83">
        <f>SUMIF(Trabajos!$E$5:$E$394,B119,Trabajos!$P$5:$P$394)+SUMIF('Trabajos 2'!$E$5:$E$156,B119,'Trabajos 2'!$P$5:$P$156)</f>
        <v>0</v>
      </c>
      <c r="E119" s="83">
        <f>SUMIF(Ingresos!$C$6:$C$115,B119,Ingresos!$E$6:$E$115)</f>
        <v>0</v>
      </c>
      <c r="F119" s="141">
        <f t="shared" si="1"/>
        <v>0</v>
      </c>
      <c r="G119" s="219"/>
      <c r="H119" s="70"/>
      <c r="I119" s="70"/>
    </row>
    <row r="120" spans="2:9" hidden="1" x14ac:dyDescent="0.25">
      <c r="B120" s="139">
        <v>116</v>
      </c>
      <c r="C120" s="70" t="str">
        <f>IFERROR(VLOOKUP(B120,Referencias!$B$7:$C$154,2,FALSE),"")</f>
        <v>Nicolas Escuri</v>
      </c>
      <c r="D120" s="83">
        <f>SUMIF(Trabajos!$E$5:$E$394,B120,Trabajos!$P$5:$P$394)+SUMIF('Trabajos 2'!$E$5:$E$156,B120,'Trabajos 2'!$P$5:$P$156)</f>
        <v>0</v>
      </c>
      <c r="E120" s="83">
        <f>SUMIF(Ingresos!$C$6:$C$115,B120,Ingresos!$E$6:$E$115)</f>
        <v>0</v>
      </c>
      <c r="F120" s="141">
        <f t="shared" si="1"/>
        <v>0</v>
      </c>
      <c r="G120" s="219"/>
      <c r="H120" s="70"/>
      <c r="I120" s="70"/>
    </row>
    <row r="121" spans="2:9" hidden="1" x14ac:dyDescent="0.25">
      <c r="B121" s="139">
        <v>117</v>
      </c>
      <c r="C121" s="70" t="str">
        <f>IFERROR(VLOOKUP(B121,Referencias!$B$7:$C$154,2,FALSE),"")</f>
        <v>Panama</v>
      </c>
      <c r="D121" s="83">
        <f>SUMIF(Trabajos!$E$5:$E$394,B121,Trabajos!$P$5:$P$394)+SUMIF('Trabajos 2'!$E$5:$E$156,B121,'Trabajos 2'!$P$5:$P$156)</f>
        <v>0</v>
      </c>
      <c r="E121" s="83">
        <f>SUMIF(Ingresos!$C$6:$C$115,B121,Ingresos!$E$6:$E$115)</f>
        <v>0</v>
      </c>
      <c r="F121" s="141">
        <f t="shared" si="1"/>
        <v>0</v>
      </c>
      <c r="G121" s="219"/>
      <c r="H121" s="70"/>
      <c r="I121" s="70"/>
    </row>
    <row r="122" spans="2:9" x14ac:dyDescent="0.25">
      <c r="B122" s="139">
        <v>118</v>
      </c>
      <c r="C122" s="70" t="str">
        <f>IFERROR(VLOOKUP(B122,Referencias!$B$7:$C$154,2,FALSE),"")</f>
        <v>Juan Ignacio Franco</v>
      </c>
      <c r="D122" s="83">
        <f>SUMIF(Trabajos!$E$5:$E$394,B122,Trabajos!$P$5:$P$394)+SUMIF('Trabajos 2'!$E$5:$E$156,B122,'Trabajos 2'!$P$5:$P$156)</f>
        <v>668347.5</v>
      </c>
      <c r="E122" s="83">
        <f>SUMIF(Ingresos!$C$6:$C$115,B122,Ingresos!$E$6:$E$115)</f>
        <v>668347.5</v>
      </c>
      <c r="F122" s="141">
        <f t="shared" si="1"/>
        <v>0</v>
      </c>
      <c r="G122" s="237"/>
      <c r="H122" s="150"/>
      <c r="I122" s="150"/>
    </row>
    <row r="123" spans="2:9" x14ac:dyDescent="0.25">
      <c r="B123" s="139">
        <v>119</v>
      </c>
      <c r="C123" s="70" t="str">
        <f>IFERROR(VLOOKUP(B123,Referencias!$B$7:$C$154,2,FALSE),"")</f>
        <v>Juan Rodriguez Rivas</v>
      </c>
      <c r="D123" s="83">
        <f>SUMIF(Trabajos!$E$5:$E$394,B123,Trabajos!$P$5:$P$394)+SUMIF('Trabajos 2'!$E$5:$E$156,B123,'Trabajos 2'!$P$5:$P$156)</f>
        <v>6426722.5</v>
      </c>
      <c r="E123" s="83">
        <f>SUMIF(Ingresos!$C$6:$C$115,B123,Ingresos!$E$6:$E$115)</f>
        <v>6426722.5</v>
      </c>
      <c r="F123" s="141">
        <f t="shared" si="1"/>
        <v>0</v>
      </c>
      <c r="G123" s="237"/>
      <c r="H123" s="150"/>
      <c r="I123" s="150"/>
    </row>
    <row r="124" spans="2:9" x14ac:dyDescent="0.25">
      <c r="B124" s="139">
        <v>120</v>
      </c>
      <c r="C124" s="70" t="str">
        <f>IFERROR(VLOOKUP(B124,Referencias!$B$7:$C$154,2,FALSE),"")</f>
        <v xml:space="preserve">EDM </v>
      </c>
      <c r="D124" s="83">
        <f>SUMIF(Trabajos!$E$5:$E$394,B124,Trabajos!$P$5:$P$394)+SUMIF('Trabajos 2'!$E$5:$E$156,B124,'Trabajos 2'!$P$5:$P$156)</f>
        <v>524175</v>
      </c>
      <c r="E124" s="83">
        <f>SUMIF(Ingresos!$C$6:$C$115,B124,Ingresos!$E$6:$E$115)</f>
        <v>524175</v>
      </c>
      <c r="F124" s="141">
        <f t="shared" si="1"/>
        <v>0</v>
      </c>
      <c r="G124" s="237"/>
      <c r="H124" s="150"/>
      <c r="I124" s="150"/>
    </row>
    <row r="125" spans="2:9" x14ac:dyDescent="0.25">
      <c r="B125" s="139">
        <v>121</v>
      </c>
      <c r="C125" s="70" t="str">
        <f>IFERROR(VLOOKUP(B125,Referencias!$B$7:$C$154,2,FALSE),"")</f>
        <v>Ignacio Loscalzo</v>
      </c>
      <c r="D125" s="83">
        <f>SUMIF(Trabajos!$E$5:$E$394,B125,Trabajos!$P$5:$P$394)+SUMIF('Trabajos 2'!$E$5:$E$156,B125,'Trabajos 2'!$P$5:$P$156)</f>
        <v>752010</v>
      </c>
      <c r="E125" s="83">
        <f>SUMIF(Ingresos!$C$6:$C$115,B125,Ingresos!$E$6:$E$115)</f>
        <v>752010</v>
      </c>
      <c r="F125" s="141">
        <f t="shared" si="1"/>
        <v>0</v>
      </c>
      <c r="G125" s="237"/>
      <c r="H125" s="150"/>
      <c r="I125" s="150"/>
    </row>
    <row r="126" spans="2:9" x14ac:dyDescent="0.25">
      <c r="B126" s="139">
        <v>122</v>
      </c>
      <c r="C126" s="70" t="str">
        <f>IFERROR(VLOOKUP(B126,Referencias!$B$7:$C$154,2,FALSE),"")</f>
        <v>Martin Juarez</v>
      </c>
      <c r="D126" s="83">
        <f>SUMIF(Trabajos!$E$5:$E$394,B126,Trabajos!$P$5:$P$394)+SUMIF('Trabajos 2'!$E$5:$E$156,B126,'Trabajos 2'!$P$5:$P$156)</f>
        <v>971116.25</v>
      </c>
      <c r="E126" s="83">
        <f>SUMIF(Ingresos!$C$6:$C$115,B126,Ingresos!$E$6:$E$115)</f>
        <v>971116.25</v>
      </c>
      <c r="F126" s="141">
        <f t="shared" si="1"/>
        <v>0</v>
      </c>
      <c r="G126" s="237"/>
      <c r="H126" s="150"/>
      <c r="I126" s="150"/>
    </row>
    <row r="127" spans="2:9" x14ac:dyDescent="0.25">
      <c r="B127" s="139">
        <v>123</v>
      </c>
      <c r="C127" s="70" t="str">
        <f>IFERROR(VLOOKUP(B127,Referencias!$B$7:$C$154,2,FALSE),"")</f>
        <v>Agustin Odriozola</v>
      </c>
      <c r="D127" s="83">
        <f>SUMIF(Trabajos!$E$5:$E$394,B127,Trabajos!$P$5:$P$394)+SUMIF('Trabajos 2'!$E$5:$E$156,B127,'Trabajos 2'!$P$5:$P$156)</f>
        <v>513190</v>
      </c>
      <c r="E127" s="83">
        <f>SUMIF(Ingresos!$C$6:$C$115,B127,Ingresos!$E$6:$E$115)</f>
        <v>513190</v>
      </c>
      <c r="F127" s="141">
        <f t="shared" si="1"/>
        <v>0</v>
      </c>
      <c r="G127" s="237"/>
      <c r="H127" s="150"/>
      <c r="I127" s="150"/>
    </row>
    <row r="128" spans="2:9" x14ac:dyDescent="0.25">
      <c r="B128" s="139">
        <v>124</v>
      </c>
      <c r="C128" s="70" t="str">
        <f>IFERROR(VLOOKUP(B128,Referencias!$B$7:$C$154,2,FALSE),"")</f>
        <v>Cristian Perez Maraviglia</v>
      </c>
      <c r="D128" s="83">
        <f>SUMIF(Trabajos!$E$5:$E$394,B128,Trabajos!$P$5:$P$394)+SUMIF('Trabajos 2'!$E$5:$E$156,B128,'Trabajos 2'!$P$5:$P$156)</f>
        <v>263082.5</v>
      </c>
      <c r="E128" s="83">
        <f>SUMIF(Ingresos!$C$6:$C$115,B128,Ingresos!$E$6:$E$115)</f>
        <v>263082.5</v>
      </c>
      <c r="F128" s="141">
        <f t="shared" si="1"/>
        <v>0</v>
      </c>
      <c r="G128" s="237"/>
      <c r="H128" s="150"/>
      <c r="I128" s="150"/>
    </row>
    <row r="129" spans="2:9" x14ac:dyDescent="0.25">
      <c r="B129" s="139">
        <v>125</v>
      </c>
      <c r="C129" s="70" t="str">
        <f>IFERROR(VLOOKUP(B129,Referencias!$B$7:$C$154,2,FALSE),"")</f>
        <v>Soledad Gutierrez</v>
      </c>
      <c r="D129" s="83">
        <f>SUMIF(Trabajos!$E$5:$E$394,B129,Trabajos!$P$5:$P$394)+SUMIF('Trabajos 2'!$E$5:$E$156,B129,'Trabajos 2'!$P$5:$P$156)</f>
        <v>585600</v>
      </c>
      <c r="E129" s="83">
        <f>SUMIF(Ingresos!$C$6:$C$115,B129,Ingresos!$E$6:$E$115)</f>
        <v>585600</v>
      </c>
      <c r="F129" s="141">
        <f t="shared" si="1"/>
        <v>0</v>
      </c>
      <c r="G129" s="237"/>
      <c r="H129" s="150"/>
      <c r="I129" s="150"/>
    </row>
    <row r="130" spans="2:9" x14ac:dyDescent="0.25">
      <c r="B130" s="139">
        <v>126</v>
      </c>
      <c r="C130" s="70" t="str">
        <f>IFERROR(VLOOKUP(B130,Referencias!$B$7:$C$154,2,FALSE),"")</f>
        <v>Patricia Ricci</v>
      </c>
      <c r="D130" s="83">
        <f>SUMIF(Trabajos!$E$5:$E$394,B130,Trabajos!$P$5:$P$394)+SUMIF('Trabajos 2'!$E$5:$E$156,B130,'Trabajos 2'!$P$5:$P$156)</f>
        <v>509662.5</v>
      </c>
      <c r="E130" s="83">
        <f>SUMIF(Ingresos!$C$6:$C$115,B130,Ingresos!$E$6:$E$115)</f>
        <v>509662.5</v>
      </c>
      <c r="F130" s="141">
        <f t="shared" si="1"/>
        <v>0</v>
      </c>
      <c r="G130" s="237"/>
      <c r="H130" s="150"/>
      <c r="I130" s="150"/>
    </row>
    <row r="131" spans="2:9" x14ac:dyDescent="0.25">
      <c r="B131" s="139">
        <v>127</v>
      </c>
      <c r="C131" s="70" t="str">
        <f>IFERROR(VLOOKUP(B131,Referencias!$B$7:$C$154,2,FALSE),"")</f>
        <v>Vitalpor S.A.</v>
      </c>
      <c r="D131" s="83">
        <f>SUMIF(Trabajos!$E$5:$E$394,B131,Trabajos!$P$5:$P$394)+SUMIF('Trabajos 2'!$E$5:$E$156,B131,'Trabajos 2'!$P$5:$P$156)</f>
        <v>173375</v>
      </c>
      <c r="E131" s="83">
        <f>SUMIF(Ingresos!$C$6:$C$115,B131,Ingresos!$E$6:$E$115)</f>
        <v>173375</v>
      </c>
      <c r="F131" s="141">
        <f t="shared" si="1"/>
        <v>0</v>
      </c>
      <c r="G131" s="237"/>
      <c r="H131" s="150"/>
      <c r="I131" s="150"/>
    </row>
    <row r="132" spans="2:9" x14ac:dyDescent="0.25">
      <c r="B132" s="139">
        <v>128</v>
      </c>
      <c r="C132" s="70" t="str">
        <f>IFERROR(VLOOKUP(B132,Referencias!$B$7:$C$154,2,FALSE),"")</f>
        <v>Gustavo Erice</v>
      </c>
      <c r="D132" s="83">
        <f>SUMIF(Trabajos!$E$5:$E$394,B132,Trabajos!$P$5:$P$394)+SUMIF('Trabajos 2'!$E$5:$E$156,B132,'Trabajos 2'!$P$5:$P$156)</f>
        <v>961502.5</v>
      </c>
      <c r="E132" s="83">
        <f>SUMIF(Ingresos!$C$6:$C$115,B132,Ingresos!$E$6:$E$115)</f>
        <v>961502.5</v>
      </c>
      <c r="F132" s="141">
        <f t="shared" si="1"/>
        <v>0</v>
      </c>
      <c r="G132" s="237"/>
      <c r="H132" s="150"/>
      <c r="I132" s="150"/>
    </row>
    <row r="133" spans="2:9" x14ac:dyDescent="0.25">
      <c r="B133" s="139">
        <v>129</v>
      </c>
      <c r="C133" s="70" t="str">
        <f>IFERROR(VLOOKUP(B133,Referencias!$B$7:$C$154,2,FALSE),"")</f>
        <v>Polixen S.A.</v>
      </c>
      <c r="D133" s="83">
        <f>SUMIF(Trabajos!$E$5:$E$394,B133,Trabajos!$P$5:$P$394)+SUMIF('Trabajos 2'!$E$5:$E$156,B133,'Trabajos 2'!$P$5:$P$156)</f>
        <v>350750</v>
      </c>
      <c r="E133" s="83">
        <f>SUMIF(Ingresos!$C$6:$C$115,B133,Ingresos!$E$6:$E$115)</f>
        <v>350750</v>
      </c>
      <c r="F133" s="141">
        <f t="shared" si="1"/>
        <v>0</v>
      </c>
      <c r="G133" s="237"/>
      <c r="H133" s="150"/>
      <c r="I133" s="150"/>
    </row>
    <row r="134" spans="2:9" x14ac:dyDescent="0.25">
      <c r="B134" s="139">
        <v>130</v>
      </c>
      <c r="C134" s="70" t="str">
        <f>IFERROR(VLOOKUP(B134,Referencias!$B$7:$C$154,2,FALSE),"")</f>
        <v>Jose Velazco</v>
      </c>
      <c r="D134" s="83">
        <f>SUMIF(Trabajos!$E$5:$E$394,B134,Trabajos!$P$5:$P$394)+SUMIF('Trabajos 2'!$E$5:$E$156,B134,'Trabajos 2'!$P$5:$P$156)</f>
        <v>186669</v>
      </c>
      <c r="E134" s="83">
        <f>SUMIF(Ingresos!$C$6:$C$115,B134,Ingresos!$E$6:$E$115)</f>
        <v>186669</v>
      </c>
      <c r="F134" s="141">
        <f t="shared" ref="F134:F140" si="2">E134-D134</f>
        <v>0</v>
      </c>
      <c r="G134" s="237"/>
      <c r="H134" s="150"/>
      <c r="I134" s="150"/>
    </row>
    <row r="135" spans="2:9" x14ac:dyDescent="0.25">
      <c r="B135" s="139">
        <v>131</v>
      </c>
      <c r="C135" s="70" t="str">
        <f>IFERROR(VLOOKUP(B135,Referencias!$B$7:$C$154,2,FALSE),"")</f>
        <v>Fernando Pili</v>
      </c>
      <c r="D135" s="83">
        <f>SUMIF(Trabajos!$E$5:$E$394,B135,Trabajos!$P$5:$P$394)+SUMIF('Trabajos 2'!$E$5:$E$156,B135,'Trabajos 2'!$P$5:$P$156)</f>
        <v>1056090.75</v>
      </c>
      <c r="E135" s="83">
        <f>SUMIF(Ingresos!$C$6:$C$115,B135,Ingresos!$E$6:$E$115)</f>
        <v>1056090.75</v>
      </c>
      <c r="F135" s="141">
        <f t="shared" si="2"/>
        <v>0</v>
      </c>
      <c r="G135" s="237"/>
      <c r="H135" s="150"/>
      <c r="I135" s="150"/>
    </row>
    <row r="136" spans="2:9" x14ac:dyDescent="0.25">
      <c r="B136" s="139">
        <v>132</v>
      </c>
      <c r="C136" s="70" t="str">
        <f>IFERROR(VLOOKUP(B136,Referencias!$B$7:$C$154,2,FALSE),"")</f>
        <v>Tres Mil Tres S.A.</v>
      </c>
      <c r="D136" s="83">
        <f>SUMIF(Trabajos!$E$5:$E$394,B136,Trabajos!$P$5:$P$394)+SUMIF('Trabajos 2'!$E$5:$E$156,B136,'Trabajos 2'!$P$5:$P$156)</f>
        <v>359800</v>
      </c>
      <c r="E136" s="83">
        <f>SUMIF(Ingresos!$C$6:$C$115,B136,Ingresos!$E$6:$E$115)</f>
        <v>0</v>
      </c>
      <c r="F136" s="141">
        <f t="shared" si="2"/>
        <v>-359800</v>
      </c>
      <c r="G136" s="224" t="s">
        <v>418</v>
      </c>
      <c r="H136" s="224" t="s">
        <v>418</v>
      </c>
      <c r="I136" s="150"/>
    </row>
    <row r="137" spans="2:9" hidden="1" x14ac:dyDescent="0.25">
      <c r="B137" s="139"/>
      <c r="C137" s="70" t="str">
        <f>IFERROR(VLOOKUP(B137,Referencias!$B$7:$C$154,2,FALSE),"")</f>
        <v/>
      </c>
      <c r="D137" s="83">
        <f>SUMIF(Trabajos!$E$5:$E$394,B137,Trabajos!$P$5:$P$394)+SUMIF('Trabajos 2'!$E$5:$E$156,B137,'Trabajos 2'!$P$5:$P$156)</f>
        <v>0</v>
      </c>
      <c r="E137" s="83">
        <f>SUMIF(Ingresos!$C$6:$C$115,B137,Ingresos!$E$6:$E$115)</f>
        <v>0</v>
      </c>
      <c r="F137" s="141">
        <f t="shared" si="2"/>
        <v>0</v>
      </c>
      <c r="G137" s="219"/>
      <c r="H137" s="70"/>
      <c r="I137" s="70"/>
    </row>
    <row r="138" spans="2:9" hidden="1" x14ac:dyDescent="0.25">
      <c r="B138" s="139"/>
      <c r="C138" s="70" t="str">
        <f>IFERROR(VLOOKUP(B138,Referencias!$B$7:$C$154,2,FALSE),"")</f>
        <v/>
      </c>
      <c r="D138" s="83">
        <f>SUMIF(Trabajos!$E$5:$E$394,B138,Trabajos!$P$5:$P$394)+SUMIF('Trabajos 2'!$E$5:$E$156,B138,'Trabajos 2'!$P$5:$P$156)</f>
        <v>0</v>
      </c>
      <c r="E138" s="83">
        <f>SUMIF(Ingresos!$C$6:$C$115,B138,Ingresos!$E$6:$E$115)</f>
        <v>0</v>
      </c>
      <c r="F138" s="141">
        <f t="shared" si="2"/>
        <v>0</v>
      </c>
      <c r="G138" s="219"/>
      <c r="H138" s="70"/>
      <c r="I138" s="70"/>
    </row>
    <row r="139" spans="2:9" hidden="1" x14ac:dyDescent="0.25">
      <c r="B139" s="139"/>
      <c r="C139" s="70" t="str">
        <f>IFERROR(VLOOKUP(B139,Referencias!$B$7:$C$154,2,FALSE),"")</f>
        <v/>
      </c>
      <c r="D139" s="83">
        <f>SUMIF(Trabajos!$E$5:$E$394,B139,Trabajos!$P$5:$P$394)+SUMIF('Trabajos 2'!$E$5:$E$156,B139,'Trabajos 2'!$P$5:$P$156)</f>
        <v>0</v>
      </c>
      <c r="E139" s="83">
        <f>SUMIF(Ingresos!$C$6:$C$115,B139,Ingresos!$E$6:$E$115)</f>
        <v>0</v>
      </c>
      <c r="F139" s="141">
        <f t="shared" si="2"/>
        <v>0</v>
      </c>
      <c r="G139" s="219"/>
      <c r="H139" s="70"/>
      <c r="I139" s="70"/>
    </row>
    <row r="140" spans="2:9" hidden="1" x14ac:dyDescent="0.25">
      <c r="B140" s="139"/>
      <c r="C140" s="70" t="str">
        <f>IFERROR(VLOOKUP(B140,Referencias!$B$7:$C$154,2,FALSE),"")</f>
        <v/>
      </c>
      <c r="D140" s="83">
        <f>SUMIF(Trabajos!$E$5:$E$394,B140,Trabajos!$P$5:$P$394)+SUMIF('Trabajos 2'!$E$5:$E$156,B140,'Trabajos 2'!$P$5:$P$156)</f>
        <v>0</v>
      </c>
      <c r="E140" s="83">
        <f>SUMIF(Ingresos!$C$6:$C$115,B140,Ingresos!$E$6:$E$115)</f>
        <v>0</v>
      </c>
      <c r="F140" s="141">
        <f t="shared" si="2"/>
        <v>0</v>
      </c>
      <c r="G140" s="219"/>
      <c r="H140" s="70"/>
      <c r="I140" s="70"/>
    </row>
    <row r="141" spans="2:9" x14ac:dyDescent="0.25">
      <c r="B141" s="70" t="s">
        <v>9</v>
      </c>
      <c r="C141" s="1"/>
      <c r="D141" s="140">
        <f>SUM(D5:D130)</f>
        <v>247621400.12999955</v>
      </c>
      <c r="E141" s="140">
        <f>SUM(E5:E130)</f>
        <v>244688835.24999997</v>
      </c>
      <c r="F141" s="141">
        <f>SUM(F5:F130)</f>
        <v>-2932564.8799995533</v>
      </c>
      <c r="G141" s="166"/>
    </row>
  </sheetData>
  <autoFilter ref="B4:H141" xr:uid="{00000000-0009-0000-0000-000004000000}">
    <filterColumn colId="2">
      <filters>
        <filter val="#¡VALOR!"/>
        <filter val="$1.056.090,75"/>
        <filter val="$1.213.680,00"/>
        <filter val="$1.297.858,75"/>
        <filter val="$1.426.157,50"/>
        <filter val="$1.428.485,00"/>
        <filter val="$1.704.025,00"/>
        <filter val="$11.230.500,00"/>
        <filter val="$17.307.388,75"/>
        <filter val="$173.375,00"/>
        <filter val="$183.750,00"/>
        <filter val="$186.669,00"/>
        <filter val="$2.136.755,00"/>
        <filter val="$2.377.980,00"/>
        <filter val="$2.458.797,50"/>
        <filter val="$2.739.165,00"/>
        <filter val="$263.082,50"/>
        <filter val="$295.600,00"/>
        <filter val="$3.324.804,00"/>
        <filter val="$309.551,00"/>
        <filter val="$325.056,00"/>
        <filter val="$328.271,25"/>
        <filter val="$339.000,00"/>
        <filter val="$350.750,00"/>
        <filter val="$359.800,00"/>
        <filter val="$4.033.019,75"/>
        <filter val="$4.286.937,60"/>
        <filter val="$4.355.350,30"/>
        <filter val="$42.600,00"/>
        <filter val="$427.204,00"/>
        <filter val="$473.973,50"/>
        <filter val="$493.880,00"/>
        <filter val="$509.662,50"/>
        <filter val="$513.190,00"/>
        <filter val="$524.175,00"/>
        <filter val="$554.497,50"/>
        <filter val="$556.973,25"/>
        <filter val="$585.600,00"/>
        <filter val="$6.095.260,00"/>
        <filter val="$6.135.499,75"/>
        <filter val="$6.426.722,50"/>
        <filter val="$668.347,50"/>
        <filter val="$706.531,25"/>
        <filter val="$734.290,00"/>
        <filter val="$752.010,00"/>
        <filter val="$9.539.896,25"/>
        <filter val="$961.502,50"/>
        <filter val="$971.116,25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1"/>
  <sheetViews>
    <sheetView showGridLines="0" zoomScaleNormal="100" workbookViewId="0">
      <pane ySplit="5" topLeftCell="A6" activePane="bottomLeft" state="frozen"/>
      <selection pane="bottomLeft" activeCell="O15" sqref="O15"/>
    </sheetView>
  </sheetViews>
  <sheetFormatPr baseColWidth="10" defaultRowHeight="15" x14ac:dyDescent="0.25"/>
  <cols>
    <col min="1" max="1" width="7.140625" style="88" customWidth="1"/>
    <col min="2" max="3" width="11.42578125" style="88"/>
    <col min="4" max="4" width="30.5703125" style="88" bestFit="1" customWidth="1"/>
    <col min="5" max="5" width="16.28515625" style="88" bestFit="1" customWidth="1"/>
    <col min="6" max="6" width="12.28515625" style="88" customWidth="1"/>
    <col min="7" max="7" width="13.140625" style="88" customWidth="1"/>
    <col min="8" max="8" width="16.28515625" style="88" bestFit="1" customWidth="1"/>
    <col min="9" max="9" width="13.85546875" style="88" customWidth="1"/>
    <col min="10" max="10" width="7.140625" style="88" customWidth="1"/>
    <col min="11" max="13" width="11.42578125" style="88"/>
    <col min="14" max="14" width="15.140625" style="88" bestFit="1" customWidth="1"/>
    <col min="15" max="15" width="7.140625" style="88" customWidth="1"/>
    <col min="16" max="16" width="17.42578125" style="88" bestFit="1" customWidth="1"/>
    <col min="17" max="17" width="16.28515625" style="88" bestFit="1" customWidth="1"/>
    <col min="18" max="18" width="5" style="88" customWidth="1"/>
    <col min="19" max="19" width="16.42578125" style="88" bestFit="1" customWidth="1"/>
    <col min="20" max="20" width="17.140625" style="88" bestFit="1" customWidth="1"/>
    <col min="21" max="21" width="5" style="88" customWidth="1"/>
    <col min="22" max="22" width="16.28515625" style="88" bestFit="1" customWidth="1"/>
    <col min="23" max="23" width="17.42578125" style="88" bestFit="1" customWidth="1"/>
    <col min="24" max="24" width="5" style="88" customWidth="1"/>
    <col min="25" max="26" width="16.28515625" style="88" bestFit="1" customWidth="1"/>
    <col min="27" max="27" width="5" style="88" customWidth="1"/>
    <col min="28" max="28" width="15.85546875" style="88" bestFit="1" customWidth="1"/>
    <col min="29" max="29" width="14.85546875" style="88" bestFit="1" customWidth="1"/>
    <col min="30" max="30" width="5" style="88" customWidth="1"/>
    <col min="31" max="31" width="15" style="88" customWidth="1"/>
    <col min="32" max="32" width="16.42578125" style="88" bestFit="1" customWidth="1"/>
    <col min="33" max="16384" width="11.42578125" style="88"/>
  </cols>
  <sheetData>
    <row r="1" spans="2:32" ht="5.2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</row>
    <row r="2" spans="2:32" ht="15" customHeight="1" x14ac:dyDescent="0.25">
      <c r="B2" s="240" t="s">
        <v>58</v>
      </c>
      <c r="C2" s="240"/>
      <c r="D2"/>
      <c r="E2"/>
      <c r="F2"/>
      <c r="G2"/>
      <c r="H2"/>
      <c r="I2"/>
      <c r="J2"/>
      <c r="K2" s="241" t="s">
        <v>59</v>
      </c>
      <c r="L2" s="241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ht="15" customHeight="1" x14ac:dyDescent="0.25">
      <c r="B3" s="240"/>
      <c r="C3" s="240"/>
      <c r="K3" s="241"/>
      <c r="L3" s="241"/>
      <c r="P3" s="242" t="s">
        <v>60</v>
      </c>
      <c r="Q3" s="242"/>
      <c r="S3" s="242" t="s">
        <v>61</v>
      </c>
      <c r="T3" s="242"/>
      <c r="V3" s="242" t="s">
        <v>147</v>
      </c>
      <c r="W3" s="242"/>
      <c r="Y3" s="242" t="s">
        <v>149</v>
      </c>
      <c r="Z3" s="242"/>
      <c r="AB3" s="242" t="s">
        <v>54</v>
      </c>
      <c r="AC3" s="242"/>
      <c r="AE3" s="242" t="s">
        <v>110</v>
      </c>
      <c r="AF3" s="242"/>
    </row>
    <row r="4" spans="2:32" x14ac:dyDescent="0.25">
      <c r="H4" s="128"/>
      <c r="P4" s="89" t="s">
        <v>10</v>
      </c>
      <c r="Q4" s="89" t="s">
        <v>11</v>
      </c>
      <c r="S4" s="89" t="s">
        <v>10</v>
      </c>
      <c r="T4" s="89" t="s">
        <v>11</v>
      </c>
      <c r="V4" s="89" t="s">
        <v>10</v>
      </c>
      <c r="W4" s="89" t="s">
        <v>11</v>
      </c>
      <c r="Y4" s="89" t="s">
        <v>10</v>
      </c>
      <c r="Z4" s="89" t="s">
        <v>11</v>
      </c>
      <c r="AB4" s="89" t="s">
        <v>10</v>
      </c>
      <c r="AC4" s="89" t="s">
        <v>11</v>
      </c>
      <c r="AE4" s="89" t="s">
        <v>10</v>
      </c>
      <c r="AF4" s="89" t="s">
        <v>11</v>
      </c>
    </row>
    <row r="5" spans="2:32" x14ac:dyDescent="0.25">
      <c r="B5" s="89" t="s">
        <v>0</v>
      </c>
      <c r="C5" s="89" t="s">
        <v>29</v>
      </c>
      <c r="D5" s="89" t="s">
        <v>6</v>
      </c>
      <c r="E5" s="89" t="s">
        <v>3</v>
      </c>
      <c r="F5" s="89" t="s">
        <v>160</v>
      </c>
      <c r="G5" s="89" t="s">
        <v>192</v>
      </c>
      <c r="H5" s="89" t="s">
        <v>9</v>
      </c>
      <c r="I5" s="89" t="s">
        <v>129</v>
      </c>
      <c r="K5" s="89" t="s">
        <v>0</v>
      </c>
      <c r="L5" s="89" t="s">
        <v>56</v>
      </c>
      <c r="M5" s="89" t="s">
        <v>55</v>
      </c>
      <c r="N5" s="89" t="s">
        <v>3</v>
      </c>
      <c r="P5" s="102">
        <f>SUMIF(I6:I115,P4,H6:H115)</f>
        <v>79185150.13499999</v>
      </c>
      <c r="Q5" s="102">
        <f>SUMIF(I6:I115,Q4,H6:H115)</f>
        <v>168232072.36500001</v>
      </c>
      <c r="S5" s="102">
        <f>(SUMIF(M6:M116,S4,N6:N116)-SUMIF(L6:L116,S4,N6:N116))</f>
        <v>25300000</v>
      </c>
      <c r="T5" s="102">
        <f>(SUMIF(M6:M116,T4,N6:N116)-SUMIF(L6:L116,T4,N6:N116))</f>
        <v>-25300000</v>
      </c>
      <c r="V5" s="103">
        <f>P5+S5</f>
        <v>104485150.13499999</v>
      </c>
      <c r="W5" s="103">
        <f>Q5+T5</f>
        <v>142932072.36500001</v>
      </c>
      <c r="Y5" s="103">
        <f>IFERROR(Asignación!O8+'Asignación 2'!O8,"")</f>
        <v>110649922.53334564</v>
      </c>
      <c r="Z5" s="103">
        <f>IFERROR(Asignación!P8+'Asignación 2'!P8,"")</f>
        <v>125532737.46889393</v>
      </c>
      <c r="AB5" s="193">
        <f>Gastos!Q5</f>
        <v>-10544165.752181113</v>
      </c>
      <c r="AC5" s="193">
        <f>Gastos!P5</f>
        <v>10544165.752180912</v>
      </c>
      <c r="AE5" s="103">
        <f>Y5-V5+AB5</f>
        <v>-4379393.3538354635</v>
      </c>
      <c r="AF5" s="103">
        <f>Z5-W5+AC5</f>
        <v>-6855169.1439251676</v>
      </c>
    </row>
    <row r="6" spans="2:32" x14ac:dyDescent="0.25">
      <c r="B6" s="90">
        <v>45947</v>
      </c>
      <c r="C6" s="91">
        <v>76</v>
      </c>
      <c r="D6" s="97" t="str">
        <f>IFERROR(VLOOKUP(C6,Referencias!$B$7:$C$154,2,FALSE),"")</f>
        <v>Bruno Fioriti</v>
      </c>
      <c r="E6" s="92">
        <v>734290</v>
      </c>
      <c r="F6" s="92"/>
      <c r="G6" s="122"/>
      <c r="H6" s="99">
        <f>IF(E6&lt;&gt;"",E6-E6*G6,"")</f>
        <v>734290</v>
      </c>
      <c r="I6" s="91" t="s">
        <v>11</v>
      </c>
      <c r="K6" s="90">
        <v>45946</v>
      </c>
      <c r="L6" s="91" t="s">
        <v>10</v>
      </c>
      <c r="M6" s="91" t="s">
        <v>11</v>
      </c>
      <c r="N6" s="92">
        <v>200000</v>
      </c>
    </row>
    <row r="7" spans="2:32" x14ac:dyDescent="0.25">
      <c r="B7" s="90">
        <v>45954</v>
      </c>
      <c r="C7" s="91">
        <v>50</v>
      </c>
      <c r="D7" s="97" t="str">
        <f>IFERROR(VLOOKUP(C7,Referencias!$B$7:$C$154,2,FALSE),"")</f>
        <v>Mackrey Agropecuaria</v>
      </c>
      <c r="E7" s="92">
        <v>153100</v>
      </c>
      <c r="F7" s="92"/>
      <c r="G7" s="200"/>
      <c r="H7" s="99">
        <f t="shared" ref="H7:H115" si="0">IF(E7&lt;&gt;"",E7-E7*G7,"")</f>
        <v>153100</v>
      </c>
      <c r="I7" s="91" t="s">
        <v>11</v>
      </c>
      <c r="K7" s="90">
        <v>46016</v>
      </c>
      <c r="L7" s="91" t="s">
        <v>11</v>
      </c>
      <c r="M7" s="91" t="s">
        <v>10</v>
      </c>
      <c r="N7" s="92">
        <v>700000</v>
      </c>
      <c r="AE7" s="234">
        <f>1-(AE5/Y5)</f>
        <v>1.0395788198813758</v>
      </c>
      <c r="AF7" s="234">
        <f>1-(AF5/Z5)</f>
        <v>1.0546086167014705</v>
      </c>
    </row>
    <row r="8" spans="2:32" x14ac:dyDescent="0.25">
      <c r="B8" s="90">
        <v>45954</v>
      </c>
      <c r="C8" s="91">
        <v>33</v>
      </c>
      <c r="D8" s="97" t="str">
        <f>IFERROR(VLOOKUP(C8,Referencias!$B$7:$C$154,2,FALSE),"")</f>
        <v>Espartina S.A.</v>
      </c>
      <c r="E8" s="92">
        <v>4313044.72</v>
      </c>
      <c r="F8" s="92"/>
      <c r="G8" s="153"/>
      <c r="H8" s="99">
        <f t="shared" si="0"/>
        <v>4313044.72</v>
      </c>
      <c r="I8" s="91" t="s">
        <v>11</v>
      </c>
      <c r="J8" s="88" t="s">
        <v>4</v>
      </c>
      <c r="K8" s="172">
        <v>46383</v>
      </c>
      <c r="L8" s="157" t="s">
        <v>11</v>
      </c>
      <c r="M8" s="157" t="s">
        <v>10</v>
      </c>
      <c r="N8" s="173">
        <v>800000</v>
      </c>
      <c r="AE8" s="88" t="s">
        <v>4</v>
      </c>
    </row>
    <row r="9" spans="2:32" ht="15" customHeight="1" x14ac:dyDescent="0.25">
      <c r="B9" s="90">
        <v>45961</v>
      </c>
      <c r="C9" s="91">
        <v>17</v>
      </c>
      <c r="D9" s="97" t="str">
        <f>IFERROR(VLOOKUP(C9,Referencias!$B$7:$C$154,2,FALSE),"")</f>
        <v>Campo Maipu S.A.</v>
      </c>
      <c r="E9" s="92">
        <v>1428485</v>
      </c>
      <c r="F9" s="92"/>
      <c r="G9" s="153"/>
      <c r="H9" s="99">
        <f t="shared" si="0"/>
        <v>1428485</v>
      </c>
      <c r="I9" s="91" t="s">
        <v>11</v>
      </c>
      <c r="K9" s="172">
        <v>46024</v>
      </c>
      <c r="L9" s="157" t="s">
        <v>11</v>
      </c>
      <c r="M9" s="157" t="s">
        <v>10</v>
      </c>
      <c r="N9" s="173">
        <v>1500000</v>
      </c>
      <c r="Y9" s="186"/>
      <c r="Z9" s="186"/>
      <c r="AA9" s="186"/>
      <c r="AB9" s="186"/>
      <c r="AC9" s="186"/>
    </row>
    <row r="10" spans="2:32" x14ac:dyDescent="0.25">
      <c r="B10" s="90">
        <v>45979</v>
      </c>
      <c r="C10" s="91">
        <v>98</v>
      </c>
      <c r="D10" s="97" t="str">
        <f>IFERROR(VLOOKUP(C10,Referencias!$B$7:$C$154,2,FALSE),"")</f>
        <v>Inalco</v>
      </c>
      <c r="E10" s="92">
        <v>1118625</v>
      </c>
      <c r="F10" s="92"/>
      <c r="G10" s="153"/>
      <c r="H10" s="99">
        <f t="shared" si="0"/>
        <v>1118625</v>
      </c>
      <c r="I10" s="91" t="s">
        <v>10</v>
      </c>
      <c r="K10" s="90">
        <v>46024</v>
      </c>
      <c r="L10" s="91" t="s">
        <v>11</v>
      </c>
      <c r="M10" s="91" t="s">
        <v>10</v>
      </c>
      <c r="N10" s="92">
        <v>1500000</v>
      </c>
      <c r="Y10" s="154"/>
      <c r="Z10" s="154"/>
      <c r="AA10" s="154"/>
      <c r="AB10" s="154"/>
      <c r="AC10" s="154"/>
    </row>
    <row r="11" spans="2:32" x14ac:dyDescent="0.25">
      <c r="B11" s="90">
        <v>45952</v>
      </c>
      <c r="C11" s="91">
        <v>33</v>
      </c>
      <c r="D11" s="97" t="str">
        <f>IFERROR(VLOOKUP(C11,Referencias!$B$7:$C$154,2,FALSE),"")</f>
        <v>Espartina S.A.</v>
      </c>
      <c r="E11" s="92">
        <v>2488971.7000000002</v>
      </c>
      <c r="F11" s="92"/>
      <c r="G11" s="153"/>
      <c r="H11" s="99">
        <f t="shared" si="0"/>
        <v>2488971.7000000002</v>
      </c>
      <c r="I11" s="91" t="s">
        <v>10</v>
      </c>
      <c r="K11" s="90">
        <v>46027</v>
      </c>
      <c r="L11" s="91" t="s">
        <v>11</v>
      </c>
      <c r="M11" s="91" t="s">
        <v>10</v>
      </c>
      <c r="N11" s="185">
        <v>2000000</v>
      </c>
      <c r="Y11" s="154"/>
      <c r="Z11" s="154"/>
      <c r="AA11" s="154"/>
      <c r="AB11" s="154"/>
      <c r="AC11" s="154"/>
    </row>
    <row r="12" spans="2:32" x14ac:dyDescent="0.25">
      <c r="B12" s="90">
        <v>45967</v>
      </c>
      <c r="C12" s="91">
        <v>33</v>
      </c>
      <c r="D12" s="97" t="str">
        <f>IFERROR(VLOOKUP(C12,Referencias!$B$7:$C$154,2,FALSE),"")</f>
        <v>Espartina S.A.</v>
      </c>
      <c r="E12" s="92">
        <v>4687421.8</v>
      </c>
      <c r="F12" s="92"/>
      <c r="G12" s="153"/>
      <c r="H12" s="99">
        <f t="shared" si="0"/>
        <v>4687421.8</v>
      </c>
      <c r="I12" s="91" t="s">
        <v>10</v>
      </c>
      <c r="K12" s="90">
        <v>46027</v>
      </c>
      <c r="L12" s="157" t="s">
        <v>11</v>
      </c>
      <c r="M12" s="157" t="s">
        <v>10</v>
      </c>
      <c r="N12" s="180">
        <v>2000000</v>
      </c>
      <c r="Y12" s="154"/>
      <c r="Z12" s="154"/>
      <c r="AA12" s="154"/>
      <c r="AB12" s="154"/>
      <c r="AC12" s="154"/>
    </row>
    <row r="13" spans="2:32" x14ac:dyDescent="0.25">
      <c r="B13" s="90">
        <v>45983</v>
      </c>
      <c r="C13" s="91">
        <v>33</v>
      </c>
      <c r="D13" s="97" t="str">
        <f>IFERROR(VLOOKUP(C13,Referencias!$B$7:$C$154,2,FALSE),"")</f>
        <v>Espartina S.A.</v>
      </c>
      <c r="E13" s="173">
        <v>6095843.25</v>
      </c>
      <c r="F13" s="92"/>
      <c r="G13" s="153"/>
      <c r="H13" s="99">
        <f t="shared" si="0"/>
        <v>6095843.25</v>
      </c>
      <c r="I13" s="91" t="s">
        <v>10</v>
      </c>
      <c r="K13" s="172">
        <v>46043</v>
      </c>
      <c r="L13" s="157" t="s">
        <v>11</v>
      </c>
      <c r="M13" s="157" t="s">
        <v>10</v>
      </c>
      <c r="N13" s="173">
        <v>15500000</v>
      </c>
      <c r="Y13" s="154"/>
      <c r="Z13" s="154"/>
      <c r="AA13" s="154"/>
      <c r="AB13" s="154"/>
      <c r="AC13" s="154"/>
    </row>
    <row r="14" spans="2:32" x14ac:dyDescent="0.25">
      <c r="B14" s="90">
        <v>45952</v>
      </c>
      <c r="C14" s="91">
        <v>33</v>
      </c>
      <c r="D14" s="97" t="str">
        <f>IFERROR(VLOOKUP(C14,Referencias!$B$7:$C$154,2,FALSE),"")</f>
        <v>Espartina S.A.</v>
      </c>
      <c r="E14" s="92">
        <v>6284493.5</v>
      </c>
      <c r="F14" s="92"/>
      <c r="G14" s="153"/>
      <c r="H14" s="99">
        <f t="shared" si="0"/>
        <v>6284493.5</v>
      </c>
      <c r="I14" s="91" t="s">
        <v>11</v>
      </c>
      <c r="K14" s="90">
        <v>46225</v>
      </c>
      <c r="L14" s="157" t="s">
        <v>11</v>
      </c>
      <c r="M14" s="157" t="s">
        <v>10</v>
      </c>
      <c r="N14" s="173">
        <v>1500000</v>
      </c>
    </row>
    <row r="15" spans="2:32" x14ac:dyDescent="0.25">
      <c r="B15" s="90">
        <v>45962</v>
      </c>
      <c r="C15" s="91">
        <v>40</v>
      </c>
      <c r="D15" s="97" t="str">
        <f>IFERROR(VLOOKUP(C15,Referencias!$B$7:$C$154,2,FALSE),"")</f>
        <v>Cía. de Tierras Sud Argentino S.A.</v>
      </c>
      <c r="E15" s="92">
        <v>4628250</v>
      </c>
      <c r="F15" s="92"/>
      <c r="G15" s="153"/>
      <c r="H15" s="99">
        <f>IF(E15&lt;&gt;"",E15-E15*G15,"")</f>
        <v>4628250</v>
      </c>
      <c r="I15" s="91" t="s">
        <v>11</v>
      </c>
      <c r="K15" s="90"/>
      <c r="L15" s="91"/>
      <c r="M15" s="91"/>
      <c r="N15" s="92"/>
    </row>
    <row r="16" spans="2:32" x14ac:dyDescent="0.25">
      <c r="B16" s="90">
        <v>45980</v>
      </c>
      <c r="C16" s="91">
        <v>118</v>
      </c>
      <c r="D16" s="97" t="str">
        <f>IFERROR(VLOOKUP(C16,Referencias!$B$7:$C$154,2,FALSE),"")</f>
        <v>Juan Ignacio Franco</v>
      </c>
      <c r="E16" s="92">
        <v>668347.5</v>
      </c>
      <c r="F16" s="92"/>
      <c r="G16" s="153"/>
      <c r="H16" s="99">
        <f t="shared" si="0"/>
        <v>668347.5</v>
      </c>
      <c r="I16" s="91" t="s">
        <v>11</v>
      </c>
      <c r="K16" s="172"/>
      <c r="L16" s="157"/>
      <c r="M16" s="157"/>
      <c r="N16" s="173"/>
    </row>
    <row r="17" spans="2:17" x14ac:dyDescent="0.25">
      <c r="B17" s="90">
        <v>45989</v>
      </c>
      <c r="C17" s="91">
        <v>4</v>
      </c>
      <c r="D17" s="97" t="str">
        <f>IFERROR(VLOOKUP(C17,Referencias!$B$7:$C$154,2,FALSE),"")</f>
        <v>Purtierra</v>
      </c>
      <c r="E17" s="173">
        <v>955000</v>
      </c>
      <c r="F17" s="92"/>
      <c r="G17" s="153"/>
      <c r="H17" s="99">
        <f t="shared" si="0"/>
        <v>955000</v>
      </c>
      <c r="I17" s="91" t="s">
        <v>11</v>
      </c>
      <c r="K17" s="90"/>
      <c r="L17" s="91"/>
      <c r="M17" s="91"/>
      <c r="N17" s="92"/>
    </row>
    <row r="18" spans="2:17" x14ac:dyDescent="0.25">
      <c r="B18" s="90">
        <v>45989</v>
      </c>
      <c r="C18" s="91">
        <v>4</v>
      </c>
      <c r="D18" s="97" t="str">
        <f>IFERROR(VLOOKUP(C18,Referencias!$B$7:$C$154,2,FALSE),"")</f>
        <v>Purtierra</v>
      </c>
      <c r="E18" s="92">
        <v>955000</v>
      </c>
      <c r="F18" s="92"/>
      <c r="G18" s="153"/>
      <c r="H18" s="99">
        <f t="shared" si="0"/>
        <v>955000</v>
      </c>
      <c r="I18" s="91" t="s">
        <v>10</v>
      </c>
      <c r="K18" s="90"/>
      <c r="L18" s="91"/>
      <c r="M18" s="91"/>
      <c r="N18" s="92"/>
      <c r="P18" s="127"/>
    </row>
    <row r="19" spans="2:17" x14ac:dyDescent="0.25">
      <c r="B19" s="90">
        <v>45989</v>
      </c>
      <c r="C19" s="91">
        <v>124</v>
      </c>
      <c r="D19" s="97" t="str">
        <f>IFERROR(VLOOKUP(C19,Referencias!$B$7:$C$154,2,FALSE),"")</f>
        <v>Cristian Perez Maraviglia</v>
      </c>
      <c r="E19" s="92">
        <v>131541.25</v>
      </c>
      <c r="F19" s="92"/>
      <c r="G19" s="153"/>
      <c r="H19" s="99">
        <f t="shared" si="0"/>
        <v>131541.25</v>
      </c>
      <c r="I19" s="91" t="s">
        <v>11</v>
      </c>
      <c r="K19" s="90"/>
      <c r="L19" s="91"/>
      <c r="M19" s="91"/>
      <c r="N19" s="92"/>
    </row>
    <row r="20" spans="2:17" x14ac:dyDescent="0.25">
      <c r="B20" s="90">
        <v>45989</v>
      </c>
      <c r="C20" s="91">
        <v>124</v>
      </c>
      <c r="D20" s="97" t="str">
        <f>IFERROR(VLOOKUP(C20,Referencias!$B$7:$C$154,2,FALSE),"")</f>
        <v>Cristian Perez Maraviglia</v>
      </c>
      <c r="E20" s="92">
        <v>131541.25</v>
      </c>
      <c r="F20" s="92"/>
      <c r="G20" s="153"/>
      <c r="H20" s="99">
        <f t="shared" si="0"/>
        <v>131541.25</v>
      </c>
      <c r="I20" s="91" t="s">
        <v>10</v>
      </c>
      <c r="K20" s="90"/>
      <c r="L20" s="91"/>
      <c r="M20" s="91"/>
      <c r="N20" s="92"/>
    </row>
    <row r="21" spans="2:17" x14ac:dyDescent="0.25">
      <c r="B21" s="90">
        <v>45989</v>
      </c>
      <c r="C21" s="91">
        <v>6</v>
      </c>
      <c r="D21" s="97" t="str">
        <f>IFERROR(VLOOKUP(C21,Referencias!$B$7:$C$154,2,FALSE),"")</f>
        <v>La Nany S.A.</v>
      </c>
      <c r="E21" s="92">
        <v>2000000</v>
      </c>
      <c r="F21" s="92"/>
      <c r="G21" s="153"/>
      <c r="H21" s="99">
        <f t="shared" si="0"/>
        <v>2000000</v>
      </c>
      <c r="I21" s="91" t="s">
        <v>11</v>
      </c>
      <c r="K21" s="90"/>
      <c r="L21" s="91"/>
      <c r="M21" s="91"/>
      <c r="N21" s="92"/>
    </row>
    <row r="22" spans="2:17" x14ac:dyDescent="0.25">
      <c r="B22" s="90">
        <v>45992</v>
      </c>
      <c r="C22" s="91">
        <v>122</v>
      </c>
      <c r="D22" s="97" t="str">
        <f>IFERROR(VLOOKUP(C22,Referencias!$B$7:$C$154,2,FALSE),"")</f>
        <v>Martin Juarez</v>
      </c>
      <c r="E22" s="92">
        <v>133830</v>
      </c>
      <c r="F22" s="92"/>
      <c r="G22" s="153"/>
      <c r="H22" s="99">
        <f t="shared" si="0"/>
        <v>133830</v>
      </c>
      <c r="I22" s="91" t="s">
        <v>10</v>
      </c>
      <c r="K22" s="90"/>
      <c r="L22" s="91"/>
      <c r="M22" s="91"/>
      <c r="N22" s="92"/>
    </row>
    <row r="23" spans="2:17" x14ac:dyDescent="0.25">
      <c r="B23" s="90">
        <v>45992</v>
      </c>
      <c r="C23" s="91">
        <v>122</v>
      </c>
      <c r="D23" s="97" t="str">
        <f>IFERROR(VLOOKUP(C23,Referencias!$B$7:$C$154,2,FALSE),"")</f>
        <v>Martin Juarez</v>
      </c>
      <c r="E23" s="92">
        <v>646642</v>
      </c>
      <c r="F23" s="92"/>
      <c r="G23" s="153"/>
      <c r="H23" s="99">
        <f t="shared" si="0"/>
        <v>646642</v>
      </c>
      <c r="I23" s="91" t="s">
        <v>10</v>
      </c>
      <c r="K23" s="90"/>
      <c r="L23" s="91"/>
      <c r="M23" s="91"/>
      <c r="N23" s="92"/>
      <c r="Q23" s="88" t="s">
        <v>4</v>
      </c>
    </row>
    <row r="24" spans="2:17" x14ac:dyDescent="0.25">
      <c r="B24" s="90">
        <v>45992</v>
      </c>
      <c r="C24" s="91">
        <v>125</v>
      </c>
      <c r="D24" s="97" t="str">
        <f>IFERROR(VLOOKUP(C24,Referencias!$B$7:$C$154,2,FALSE),"")</f>
        <v>Soledad Gutierrez</v>
      </c>
      <c r="E24" s="92">
        <v>585600</v>
      </c>
      <c r="F24" s="92"/>
      <c r="G24" s="153"/>
      <c r="H24" s="99">
        <f t="shared" si="0"/>
        <v>585600</v>
      </c>
      <c r="I24" s="91" t="s">
        <v>11</v>
      </c>
      <c r="K24" s="90"/>
      <c r="L24" s="91"/>
      <c r="M24" s="91"/>
      <c r="N24" s="92"/>
    </row>
    <row r="25" spans="2:17" x14ac:dyDescent="0.25">
      <c r="B25" s="90">
        <v>45993</v>
      </c>
      <c r="C25" s="91">
        <v>126</v>
      </c>
      <c r="D25" s="97" t="str">
        <f>IFERROR(VLOOKUP(C25,Referencias!$B$7:$C$154,2,FALSE),"")</f>
        <v>Patricia Ricci</v>
      </c>
      <c r="E25" s="173">
        <v>509662.5</v>
      </c>
      <c r="F25" s="92"/>
      <c r="G25" s="153"/>
      <c r="H25" s="99">
        <f t="shared" si="0"/>
        <v>509662.5</v>
      </c>
      <c r="I25" s="91" t="s">
        <v>11</v>
      </c>
      <c r="K25" s="90"/>
      <c r="L25" s="91"/>
      <c r="M25" s="91"/>
      <c r="N25" s="92"/>
    </row>
    <row r="26" spans="2:17" x14ac:dyDescent="0.25">
      <c r="B26" s="90">
        <v>45994</v>
      </c>
      <c r="C26" s="91">
        <v>6</v>
      </c>
      <c r="D26" s="97" t="str">
        <f>IFERROR(VLOOKUP(C26,Referencias!$B$7:$C$154,2,FALSE),"")</f>
        <v>La Nany S.A.</v>
      </c>
      <c r="E26" s="92">
        <v>3395993.75</v>
      </c>
      <c r="F26" s="92"/>
      <c r="G26" s="153"/>
      <c r="H26" s="99">
        <f t="shared" si="0"/>
        <v>3395993.75</v>
      </c>
      <c r="I26" s="91" t="s">
        <v>11</v>
      </c>
      <c r="K26" s="90"/>
      <c r="L26" s="91"/>
      <c r="M26" s="91"/>
      <c r="N26" s="92"/>
    </row>
    <row r="27" spans="2:17" x14ac:dyDescent="0.25">
      <c r="B27" s="90">
        <v>45994</v>
      </c>
      <c r="C27" s="91">
        <v>8</v>
      </c>
      <c r="D27" s="97" t="str">
        <f>IFERROR(VLOOKUP(C27,Referencias!$B$7:$C$154,2,FALSE),"")</f>
        <v>Baltan Agropecuaria</v>
      </c>
      <c r="E27" s="173">
        <v>470193.75</v>
      </c>
      <c r="F27" s="92"/>
      <c r="G27" s="153"/>
      <c r="H27" s="99">
        <f t="shared" si="0"/>
        <v>470193.75</v>
      </c>
      <c r="I27" s="91" t="s">
        <v>11</v>
      </c>
      <c r="K27" s="90"/>
      <c r="L27" s="91"/>
      <c r="M27" s="91"/>
      <c r="N27" s="92"/>
    </row>
    <row r="28" spans="2:17" x14ac:dyDescent="0.25">
      <c r="B28" s="90">
        <v>45994</v>
      </c>
      <c r="C28" s="91">
        <v>128</v>
      </c>
      <c r="D28" s="97" t="str">
        <f>IFERROR(VLOOKUP(C28,Referencias!$B$7:$C$154,2,FALSE),"")</f>
        <v>Gustavo Erice</v>
      </c>
      <c r="E28" s="173">
        <v>961502.5</v>
      </c>
      <c r="F28" s="92"/>
      <c r="G28" s="153"/>
      <c r="H28" s="99">
        <f t="shared" si="0"/>
        <v>961502.5</v>
      </c>
      <c r="I28" s="91" t="s">
        <v>11</v>
      </c>
      <c r="K28" s="90"/>
      <c r="L28" s="91"/>
      <c r="M28" s="91"/>
      <c r="N28" s="92"/>
    </row>
    <row r="29" spans="2:17" x14ac:dyDescent="0.25">
      <c r="B29" s="90">
        <v>45995</v>
      </c>
      <c r="C29" s="91">
        <v>119</v>
      </c>
      <c r="D29" s="97" t="str">
        <f>IFERROR(VLOOKUP(C29,Referencias!$B$7:$C$154,2,FALSE),"")</f>
        <v>Juan Rodriguez Rivas</v>
      </c>
      <c r="E29" s="185">
        <v>3500000</v>
      </c>
      <c r="F29" s="92"/>
      <c r="G29" s="153"/>
      <c r="H29" s="99">
        <f t="shared" si="0"/>
        <v>3500000</v>
      </c>
      <c r="I29" s="91" t="s">
        <v>10</v>
      </c>
      <c r="K29" s="90"/>
      <c r="L29" s="91"/>
      <c r="M29" s="91"/>
      <c r="N29" s="92"/>
    </row>
    <row r="30" spans="2:17" x14ac:dyDescent="0.25">
      <c r="B30" s="90">
        <v>45996</v>
      </c>
      <c r="C30" s="91">
        <v>33</v>
      </c>
      <c r="D30" s="97" t="str">
        <f>IFERROR(VLOOKUP(C30,Referencias!$B$7:$C$154,2,FALSE),"")</f>
        <v>Espartina S.A.</v>
      </c>
      <c r="E30" s="185">
        <v>7733635</v>
      </c>
      <c r="F30" s="92"/>
      <c r="G30" s="153"/>
      <c r="H30" s="99">
        <f t="shared" si="0"/>
        <v>7733635</v>
      </c>
      <c r="I30" s="91" t="s">
        <v>11</v>
      </c>
      <c r="K30" s="90"/>
      <c r="L30" s="91"/>
      <c r="M30" s="91"/>
      <c r="N30" s="92"/>
    </row>
    <row r="31" spans="2:17" x14ac:dyDescent="0.25">
      <c r="B31" s="90">
        <v>46000</v>
      </c>
      <c r="C31" s="91">
        <v>14</v>
      </c>
      <c r="D31" s="97" t="str">
        <f>IFERROR(VLOOKUP(C31,Referencias!$B$7:$C$154,2,FALSE),"")</f>
        <v>Nueva Huella S.R.L.</v>
      </c>
      <c r="E31" s="185">
        <v>554497.5</v>
      </c>
      <c r="F31" s="92"/>
      <c r="G31" s="153"/>
      <c r="H31" s="99">
        <f t="shared" si="0"/>
        <v>554497.5</v>
      </c>
      <c r="I31" s="91" t="s">
        <v>11</v>
      </c>
      <c r="K31" s="90"/>
      <c r="L31" s="91"/>
      <c r="M31" s="91"/>
      <c r="N31" s="92"/>
    </row>
    <row r="32" spans="2:17" x14ac:dyDescent="0.25">
      <c r="B32" s="90">
        <v>46001</v>
      </c>
      <c r="C32" s="91">
        <v>123</v>
      </c>
      <c r="D32" s="97" t="str">
        <f>IFERROR(VLOOKUP(C32,Referencias!$B$7:$C$154,2,FALSE),"")</f>
        <v>Agustin Odriozola</v>
      </c>
      <c r="E32" s="185">
        <v>513190</v>
      </c>
      <c r="F32" s="92"/>
      <c r="G32" s="153"/>
      <c r="H32" s="99">
        <f t="shared" si="0"/>
        <v>513190</v>
      </c>
      <c r="I32" s="91" t="s">
        <v>11</v>
      </c>
      <c r="K32" s="90"/>
      <c r="L32" s="91"/>
      <c r="M32" s="91"/>
      <c r="N32" s="92"/>
    </row>
    <row r="33" spans="2:29" x14ac:dyDescent="0.25">
      <c r="B33" s="90">
        <v>46003</v>
      </c>
      <c r="C33" s="91">
        <v>33</v>
      </c>
      <c r="D33" s="97" t="str">
        <f>IFERROR(VLOOKUP(C33,Referencias!$B$7:$C$154,2,FALSE),"")</f>
        <v>Espartina S.A.</v>
      </c>
      <c r="E33" s="185">
        <v>1298134.8</v>
      </c>
      <c r="F33" s="92"/>
      <c r="G33" s="153"/>
      <c r="H33" s="99">
        <f t="shared" si="0"/>
        <v>1298134.8</v>
      </c>
      <c r="I33" s="91" t="s">
        <v>10</v>
      </c>
      <c r="K33" s="90"/>
      <c r="L33" s="91"/>
      <c r="M33" s="91"/>
      <c r="N33" s="92"/>
    </row>
    <row r="34" spans="2:29" x14ac:dyDescent="0.25">
      <c r="B34" s="90">
        <v>46003</v>
      </c>
      <c r="C34" s="91">
        <v>33</v>
      </c>
      <c r="D34" s="97" t="str">
        <f>IFERROR(VLOOKUP(C34,Referencias!$B$7:$C$154,2,FALSE),"")</f>
        <v>Espartina S.A.</v>
      </c>
      <c r="E34" s="185">
        <v>9120783.9000000004</v>
      </c>
      <c r="F34" s="92"/>
      <c r="G34" s="153"/>
      <c r="H34" s="99">
        <f t="shared" si="0"/>
        <v>9120783.9000000004</v>
      </c>
      <c r="I34" s="91" t="s">
        <v>11</v>
      </c>
      <c r="K34" s="90"/>
      <c r="L34" s="91"/>
      <c r="M34" s="91"/>
      <c r="N34" s="92"/>
    </row>
    <row r="35" spans="2:29" x14ac:dyDescent="0.25">
      <c r="B35" s="90">
        <v>46003</v>
      </c>
      <c r="C35" s="91">
        <v>33</v>
      </c>
      <c r="D35" s="97" t="str">
        <f>IFERROR(VLOOKUP(C35,Referencias!$B$7:$C$154,2,FALSE),"")</f>
        <v>Espartina S.A.</v>
      </c>
      <c r="E35" s="185">
        <v>9120783.9000000004</v>
      </c>
      <c r="F35" s="92"/>
      <c r="G35" s="153"/>
      <c r="H35" s="99">
        <f t="shared" si="0"/>
        <v>9120783.9000000004</v>
      </c>
      <c r="I35" s="91" t="s">
        <v>10</v>
      </c>
      <c r="K35" s="90"/>
      <c r="L35" s="91"/>
      <c r="M35" s="91"/>
      <c r="N35" s="92"/>
      <c r="V35" s="165"/>
      <c r="W35" s="165"/>
    </row>
    <row r="36" spans="2:29" x14ac:dyDescent="0.25">
      <c r="B36" s="172">
        <v>46003</v>
      </c>
      <c r="C36" s="157">
        <v>119</v>
      </c>
      <c r="D36" s="97" t="str">
        <f>IFERROR(VLOOKUP(C36,Referencias!$B$7:$C$154,2,FALSE),"")</f>
        <v>Juan Rodriguez Rivas</v>
      </c>
      <c r="E36" s="185">
        <v>2926722.5</v>
      </c>
      <c r="F36" s="173"/>
      <c r="G36" s="153"/>
      <c r="H36" s="99">
        <f t="shared" si="0"/>
        <v>2926722.5</v>
      </c>
      <c r="I36" s="91" t="s">
        <v>10</v>
      </c>
      <c r="K36" s="90"/>
      <c r="L36" s="91"/>
      <c r="M36" s="91"/>
      <c r="N36" s="92"/>
    </row>
    <row r="37" spans="2:29" x14ac:dyDescent="0.25">
      <c r="B37" s="90">
        <v>46007</v>
      </c>
      <c r="C37" s="91">
        <v>98</v>
      </c>
      <c r="D37" s="97" t="str">
        <f>IFERROR(VLOOKUP(C37,Referencias!$B$7:$C$154,2,FALSE),"")</f>
        <v>Inalco</v>
      </c>
      <c r="E37" s="92">
        <v>1620540</v>
      </c>
      <c r="F37" s="92"/>
      <c r="G37" s="153"/>
      <c r="H37" s="99">
        <f t="shared" si="0"/>
        <v>1620540</v>
      </c>
      <c r="I37" s="91" t="s">
        <v>11</v>
      </c>
      <c r="K37" s="91"/>
      <c r="L37" s="91"/>
      <c r="M37" s="91"/>
      <c r="N37" s="92"/>
    </row>
    <row r="38" spans="2:29" x14ac:dyDescent="0.25">
      <c r="B38" s="90">
        <v>46009</v>
      </c>
      <c r="C38" s="91">
        <v>84</v>
      </c>
      <c r="D38" s="97" t="str">
        <f>IFERROR(VLOOKUP(C38,Referencias!$B$7:$C$154,2,FALSE),"")</f>
        <v>Domingo y Nestor Scioli</v>
      </c>
      <c r="E38" s="92">
        <v>2016509.875</v>
      </c>
      <c r="F38" s="92"/>
      <c r="G38" s="153"/>
      <c r="H38" s="99">
        <f t="shared" si="0"/>
        <v>2016509.875</v>
      </c>
      <c r="I38" s="91" t="s">
        <v>11</v>
      </c>
      <c r="K38" s="91"/>
      <c r="L38" s="91"/>
      <c r="M38" s="91"/>
      <c r="N38" s="92"/>
    </row>
    <row r="39" spans="2:29" x14ac:dyDescent="0.25">
      <c r="B39" s="90">
        <v>46009</v>
      </c>
      <c r="C39" s="91">
        <v>84</v>
      </c>
      <c r="D39" s="97" t="str">
        <f>IFERROR(VLOOKUP(C39,Referencias!$B$7:$C$154,2,FALSE),"")</f>
        <v>Domingo y Nestor Scioli</v>
      </c>
      <c r="E39" s="92">
        <v>2016509.875</v>
      </c>
      <c r="F39" s="92"/>
      <c r="G39" s="153"/>
      <c r="H39" s="99">
        <f t="shared" si="0"/>
        <v>2016509.875</v>
      </c>
      <c r="I39" s="91" t="s">
        <v>10</v>
      </c>
      <c r="K39" s="91"/>
      <c r="L39" s="91"/>
      <c r="M39" s="91"/>
      <c r="N39" s="92"/>
    </row>
    <row r="40" spans="2:29" x14ac:dyDescent="0.25">
      <c r="B40" s="90">
        <v>46013</v>
      </c>
      <c r="C40" s="91">
        <v>120</v>
      </c>
      <c r="D40" s="97" t="str">
        <f>IFERROR(VLOOKUP(C40,Referencias!$B$7:$C$154,2,FALSE),"")</f>
        <v xml:space="preserve">EDM </v>
      </c>
      <c r="E40" s="92">
        <v>524175</v>
      </c>
      <c r="F40" s="92"/>
      <c r="G40" s="153"/>
      <c r="H40" s="99">
        <f t="shared" si="0"/>
        <v>524175</v>
      </c>
      <c r="I40" s="91" t="s">
        <v>11</v>
      </c>
      <c r="K40" s="91"/>
      <c r="L40" s="91"/>
      <c r="M40" s="91"/>
      <c r="N40" s="92"/>
    </row>
    <row r="41" spans="2:29" x14ac:dyDescent="0.25">
      <c r="B41" s="90">
        <v>46014</v>
      </c>
      <c r="C41" s="91">
        <v>121</v>
      </c>
      <c r="D41" s="97" t="str">
        <f>IFERROR(VLOOKUP(C41,Referencias!$B$7:$C$154,2,FALSE),"")</f>
        <v>Ignacio Loscalzo</v>
      </c>
      <c r="E41" s="173">
        <v>752010</v>
      </c>
      <c r="F41" s="92"/>
      <c r="G41" s="153"/>
      <c r="H41" s="99">
        <f t="shared" si="0"/>
        <v>752010</v>
      </c>
      <c r="I41" s="91" t="s">
        <v>11</v>
      </c>
      <c r="K41" s="91"/>
      <c r="L41" s="91"/>
      <c r="M41" s="91"/>
      <c r="N41" s="92"/>
    </row>
    <row r="42" spans="2:29" x14ac:dyDescent="0.25">
      <c r="B42" s="90">
        <v>45989</v>
      </c>
      <c r="C42" s="91">
        <v>127</v>
      </c>
      <c r="D42" s="97" t="str">
        <f>IFERROR(VLOOKUP(C42,Referencias!$B$7:$C$154,2,FALSE),"")</f>
        <v>Vitalpor S.A.</v>
      </c>
      <c r="E42" s="173">
        <v>173375</v>
      </c>
      <c r="F42" s="176"/>
      <c r="G42" s="153"/>
      <c r="H42" s="99">
        <f>IF(E42&lt;&gt;"",E42-E42*G42,"")</f>
        <v>173375</v>
      </c>
      <c r="I42" s="91" t="s">
        <v>11</v>
      </c>
      <c r="K42" s="91"/>
      <c r="L42" s="91"/>
      <c r="M42" s="91"/>
      <c r="N42" s="92"/>
    </row>
    <row r="43" spans="2:29" x14ac:dyDescent="0.25">
      <c r="B43" s="90">
        <v>46016</v>
      </c>
      <c r="C43" s="91">
        <v>99</v>
      </c>
      <c r="D43" s="97" t="str">
        <f>IFERROR(VLOOKUP(C43,Referencias!$B$7:$C$154,2,FALSE),"")</f>
        <v>San Vicente</v>
      </c>
      <c r="E43" s="92">
        <v>1426157.5</v>
      </c>
      <c r="F43" s="176"/>
      <c r="G43" s="153"/>
      <c r="H43" s="99">
        <f t="shared" si="0"/>
        <v>1426157.5</v>
      </c>
      <c r="I43" s="91" t="s">
        <v>11</v>
      </c>
      <c r="K43" s="91"/>
      <c r="L43" s="91"/>
      <c r="M43" s="91"/>
      <c r="N43" s="92"/>
    </row>
    <row r="44" spans="2:29" x14ac:dyDescent="0.25">
      <c r="B44" s="90">
        <v>46017</v>
      </c>
      <c r="C44" s="91">
        <v>37</v>
      </c>
      <c r="D44" s="97" t="str">
        <f>IFERROR(VLOOKUP(C44,Referencias!$B$7:$C$154,2,FALSE),"")</f>
        <v>Sebastian Martos</v>
      </c>
      <c r="E44" s="92">
        <v>1068377.5</v>
      </c>
      <c r="F44" s="92"/>
      <c r="G44" s="153"/>
      <c r="H44" s="99">
        <f t="shared" si="0"/>
        <v>1068377.5</v>
      </c>
      <c r="I44" s="91" t="s">
        <v>11</v>
      </c>
      <c r="K44" s="91"/>
      <c r="L44" s="91"/>
      <c r="M44" s="91"/>
      <c r="N44" s="92"/>
    </row>
    <row r="45" spans="2:29" x14ac:dyDescent="0.25">
      <c r="B45" s="90">
        <v>46017</v>
      </c>
      <c r="C45" s="91">
        <v>37</v>
      </c>
      <c r="D45" s="97" t="str">
        <f>IFERROR(VLOOKUP(C45,Referencias!$B$7:$C$154,2,FALSE),"")</f>
        <v>Sebastian Martos</v>
      </c>
      <c r="E45" s="92">
        <v>1068377.5</v>
      </c>
      <c r="F45" s="92"/>
      <c r="G45" s="153"/>
      <c r="H45" s="99">
        <f t="shared" si="0"/>
        <v>1068377.5</v>
      </c>
      <c r="I45" s="91" t="s">
        <v>10</v>
      </c>
      <c r="K45" s="91"/>
      <c r="L45" s="91"/>
      <c r="M45" s="91"/>
      <c r="N45" s="92"/>
    </row>
    <row r="46" spans="2:29" x14ac:dyDescent="0.25">
      <c r="B46" s="90">
        <v>46386</v>
      </c>
      <c r="C46" s="91">
        <v>122</v>
      </c>
      <c r="D46" s="97" t="str">
        <f>IFERROR(VLOOKUP(C46,Referencias!$B$7:$C$154,2,FALSE),"")</f>
        <v>Martin Juarez</v>
      </c>
      <c r="E46" s="92">
        <v>190644.25</v>
      </c>
      <c r="F46" s="92"/>
      <c r="G46" s="153"/>
      <c r="H46" s="99">
        <f t="shared" si="0"/>
        <v>190644.25</v>
      </c>
      <c r="I46" s="91" t="s">
        <v>11</v>
      </c>
      <c r="K46" s="91"/>
      <c r="L46" s="91"/>
      <c r="M46" s="91"/>
      <c r="N46" s="92"/>
    </row>
    <row r="47" spans="2:29" x14ac:dyDescent="0.25">
      <c r="B47" s="172">
        <v>46024</v>
      </c>
      <c r="C47" s="157">
        <v>40</v>
      </c>
      <c r="D47" s="97" t="str">
        <f>IFERROR(VLOOKUP(C47,Referencias!$B$7:$C$154,2,FALSE),"")</f>
        <v>Cía. de Tierras Sud Argentino S.A.</v>
      </c>
      <c r="E47" s="173">
        <v>12679138.75</v>
      </c>
      <c r="F47" s="92"/>
      <c r="G47" s="153"/>
      <c r="H47" s="99">
        <f t="shared" si="0"/>
        <v>12679138.75</v>
      </c>
      <c r="I47" s="157" t="s">
        <v>11</v>
      </c>
      <c r="K47" s="91"/>
      <c r="L47" s="91"/>
      <c r="M47" s="91"/>
      <c r="N47" s="92"/>
      <c r="Z47" s="131"/>
      <c r="AA47" s="131"/>
      <c r="AB47" s="131"/>
      <c r="AC47" s="131"/>
    </row>
    <row r="48" spans="2:29" x14ac:dyDescent="0.25">
      <c r="B48" s="90">
        <v>46027</v>
      </c>
      <c r="C48" s="91">
        <v>33</v>
      </c>
      <c r="D48" s="97" t="str">
        <f>IFERROR(VLOOKUP(C48,Referencias!$B$7:$C$154,2,FALSE),"")</f>
        <v>Espartina S.A.</v>
      </c>
      <c r="E48" s="92">
        <v>9251527.5</v>
      </c>
      <c r="F48" s="92"/>
      <c r="G48" s="153"/>
      <c r="H48" s="99">
        <f>IF(E48&lt;&gt;"",E48-E48*G48,"")</f>
        <v>9251527.5</v>
      </c>
      <c r="I48" s="91" t="s">
        <v>11</v>
      </c>
      <c r="K48" s="91"/>
      <c r="L48" s="91"/>
      <c r="M48" s="91"/>
      <c r="N48" s="92"/>
    </row>
    <row r="49" spans="2:14" x14ac:dyDescent="0.25">
      <c r="B49" s="90">
        <v>46030</v>
      </c>
      <c r="C49" s="91">
        <v>21</v>
      </c>
      <c r="D49" s="97" t="str">
        <f>IFERROR(VLOOKUP(C49,Referencias!$B$7:$C$154,2,FALSE),"")</f>
        <v>Piray Mini</v>
      </c>
      <c r="E49" s="92">
        <v>2458797.5</v>
      </c>
      <c r="F49" s="92"/>
      <c r="G49" s="153"/>
      <c r="H49" s="99">
        <f t="shared" si="0"/>
        <v>2458797.5</v>
      </c>
      <c r="I49" s="91" t="s">
        <v>10</v>
      </c>
      <c r="K49" s="91"/>
      <c r="L49" s="91"/>
      <c r="M49" s="91"/>
      <c r="N49" s="92"/>
    </row>
    <row r="50" spans="2:14" x14ac:dyDescent="0.25">
      <c r="B50" s="90">
        <v>46031</v>
      </c>
      <c r="C50" s="91">
        <v>87</v>
      </c>
      <c r="D50" s="97" t="str">
        <f>IFERROR(VLOOKUP(C50,Referencias!$B$7:$C$154,2,FALSE),"")</f>
        <v>La Mezquita-La Mostaza</v>
      </c>
      <c r="E50" s="92">
        <v>706531.25</v>
      </c>
      <c r="F50" s="92"/>
      <c r="G50" s="153"/>
      <c r="H50" s="99">
        <f t="shared" si="0"/>
        <v>706531.25</v>
      </c>
      <c r="I50" s="91" t="s">
        <v>11</v>
      </c>
      <c r="K50" s="91"/>
      <c r="L50" s="91"/>
      <c r="M50" s="91"/>
      <c r="N50" s="92"/>
    </row>
    <row r="51" spans="2:14" x14ac:dyDescent="0.25">
      <c r="B51" s="90">
        <v>46032</v>
      </c>
      <c r="C51" s="91">
        <v>88</v>
      </c>
      <c r="D51" s="97" t="str">
        <f>IFERROR(VLOOKUP(C51,Referencias!$B$7:$C$154,2,FALSE),"")</f>
        <v>Ignacio Ridao</v>
      </c>
      <c r="E51" s="92">
        <v>328271.25</v>
      </c>
      <c r="F51" s="92"/>
      <c r="G51" s="153"/>
      <c r="H51" s="99">
        <f t="shared" si="0"/>
        <v>328271.25</v>
      </c>
      <c r="I51" s="91" t="s">
        <v>11</v>
      </c>
      <c r="K51" s="91"/>
      <c r="L51" s="91"/>
      <c r="M51" s="91"/>
      <c r="N51" s="92"/>
    </row>
    <row r="52" spans="2:14" x14ac:dyDescent="0.25">
      <c r="B52" s="90">
        <v>46032</v>
      </c>
      <c r="C52" s="91">
        <v>18</v>
      </c>
      <c r="D52" s="97" t="str">
        <f>IFERROR(VLOOKUP(C52,Referencias!$B$7:$C$154,2,FALSE),"")</f>
        <v>Cosechas del Sur S.R.L.</v>
      </c>
      <c r="E52" s="92">
        <v>339000</v>
      </c>
      <c r="F52" s="92"/>
      <c r="G52" s="122"/>
      <c r="H52" s="99">
        <f t="shared" si="0"/>
        <v>339000</v>
      </c>
      <c r="I52" s="91" t="s">
        <v>11</v>
      </c>
      <c r="K52" s="91"/>
      <c r="L52" s="91"/>
      <c r="M52" s="91"/>
      <c r="N52" s="92"/>
    </row>
    <row r="53" spans="2:14" x14ac:dyDescent="0.25">
      <c r="B53" s="90">
        <v>46034</v>
      </c>
      <c r="C53" s="91">
        <v>95</v>
      </c>
      <c r="D53" s="97" t="str">
        <f>IFERROR(VLOOKUP(C53,Referencias!$B$7:$C$154,2,FALSE),"")</f>
        <v>Florimond Desprez</v>
      </c>
      <c r="E53" s="92">
        <v>183750</v>
      </c>
      <c r="F53" s="92"/>
      <c r="G53" s="122"/>
      <c r="H53" s="99">
        <f t="shared" si="0"/>
        <v>183750</v>
      </c>
      <c r="I53" s="91" t="s">
        <v>11</v>
      </c>
      <c r="K53" s="91"/>
      <c r="L53" s="91"/>
      <c r="M53" s="91"/>
      <c r="N53" s="92"/>
    </row>
    <row r="54" spans="2:14" x14ac:dyDescent="0.25">
      <c r="B54" s="172">
        <v>46034</v>
      </c>
      <c r="C54" s="157">
        <v>90</v>
      </c>
      <c r="D54" s="97" t="str">
        <f>IFERROR(VLOOKUP(C54,Referencias!$B$7:$C$154,2,FALSE),"")</f>
        <v>Walter Ingenieri</v>
      </c>
      <c r="E54" s="173">
        <v>295600</v>
      </c>
      <c r="F54" s="173"/>
      <c r="G54" s="122"/>
      <c r="H54" s="99">
        <f t="shared" si="0"/>
        <v>295600</v>
      </c>
      <c r="I54" s="157" t="s">
        <v>11</v>
      </c>
      <c r="K54" s="91"/>
      <c r="L54" s="91"/>
      <c r="M54" s="91"/>
      <c r="N54" s="92"/>
    </row>
    <row r="55" spans="2:14" x14ac:dyDescent="0.25">
      <c r="B55" s="172">
        <v>46059</v>
      </c>
      <c r="C55" s="157">
        <v>33</v>
      </c>
      <c r="D55" s="97" t="str">
        <f>IFERROR(VLOOKUP(C55,Referencias!$B$7:$C$154,2,FALSE),"")</f>
        <v>Espartina S.A.</v>
      </c>
      <c r="E55" s="173">
        <v>1653000</v>
      </c>
      <c r="F55" s="173"/>
      <c r="G55" s="122"/>
      <c r="H55" s="99">
        <f t="shared" si="0"/>
        <v>1653000</v>
      </c>
      <c r="I55" s="157" t="s">
        <v>11</v>
      </c>
      <c r="K55" s="91"/>
      <c r="L55" s="91"/>
      <c r="M55" s="91"/>
      <c r="N55" s="92"/>
    </row>
    <row r="56" spans="2:14" x14ac:dyDescent="0.25">
      <c r="B56" s="172">
        <v>46037</v>
      </c>
      <c r="C56" s="157">
        <v>24</v>
      </c>
      <c r="D56" s="97" t="str">
        <f>IFERROR(VLOOKUP(C56,Referencias!$B$7:$C$154,2,FALSE),"")</f>
        <v>Nugas S.A.</v>
      </c>
      <c r="E56" s="173">
        <v>2513525.25</v>
      </c>
      <c r="F56" s="173"/>
      <c r="G56" s="122"/>
      <c r="H56" s="99">
        <f t="shared" si="0"/>
        <v>2513525.25</v>
      </c>
      <c r="I56" s="157" t="s">
        <v>11</v>
      </c>
      <c r="K56" s="91"/>
      <c r="L56" s="91"/>
      <c r="M56" s="91"/>
      <c r="N56" s="92"/>
    </row>
    <row r="57" spans="2:14" x14ac:dyDescent="0.25">
      <c r="B57" s="90">
        <v>46037</v>
      </c>
      <c r="C57" s="91">
        <v>72</v>
      </c>
      <c r="D57" s="97" t="str">
        <f>IFERROR(VLOOKUP(C57,Referencias!$B$7:$C$154,2,FALSE),"")</f>
        <v>La Mylucha</v>
      </c>
      <c r="E57" s="92">
        <v>600000</v>
      </c>
      <c r="F57" s="92"/>
      <c r="G57" s="122"/>
      <c r="H57" s="99">
        <f t="shared" si="0"/>
        <v>600000</v>
      </c>
      <c r="I57" s="91" t="s">
        <v>11</v>
      </c>
      <c r="K57" s="91"/>
      <c r="L57" s="91"/>
      <c r="M57" s="91"/>
      <c r="N57" s="92"/>
    </row>
    <row r="58" spans="2:14" x14ac:dyDescent="0.25">
      <c r="B58" s="90">
        <v>46037</v>
      </c>
      <c r="C58" s="91">
        <v>24</v>
      </c>
      <c r="D58" s="97" t="str">
        <f>IFERROR(VLOOKUP(C58,Referencias!$B$7:$C$154,2,FALSE),"")</f>
        <v>Nugas S.A.</v>
      </c>
      <c r="E58" s="92">
        <v>1062910.5</v>
      </c>
      <c r="F58" s="92"/>
      <c r="G58" s="122"/>
      <c r="H58" s="99">
        <f t="shared" si="0"/>
        <v>1062910.5</v>
      </c>
      <c r="I58" s="91" t="s">
        <v>11</v>
      </c>
      <c r="K58" s="91"/>
      <c r="L58" s="91"/>
      <c r="M58" s="91"/>
      <c r="N58" s="92"/>
    </row>
    <row r="59" spans="2:14" x14ac:dyDescent="0.25">
      <c r="B59" s="90">
        <v>46037</v>
      </c>
      <c r="C59" s="91">
        <v>24</v>
      </c>
      <c r="D59" s="97" t="str">
        <f>IFERROR(VLOOKUP(C59,Referencias!$B$7:$C$154,2,FALSE),"")</f>
        <v>Nugas S.A.</v>
      </c>
      <c r="E59" s="92">
        <v>1062910.5</v>
      </c>
      <c r="F59" s="92"/>
      <c r="G59" s="122"/>
      <c r="H59" s="99">
        <f t="shared" si="0"/>
        <v>1062910.5</v>
      </c>
      <c r="I59" s="91" t="s">
        <v>10</v>
      </c>
      <c r="K59" s="91"/>
      <c r="L59" s="91"/>
      <c r="M59" s="91"/>
      <c r="N59" s="92"/>
    </row>
    <row r="60" spans="2:14" x14ac:dyDescent="0.25">
      <c r="B60" s="90">
        <v>46038</v>
      </c>
      <c r="C60" s="91">
        <v>33</v>
      </c>
      <c r="D60" s="97" t="str">
        <f>IFERROR(VLOOKUP(C60,Referencias!$B$7:$C$154,2,FALSE),"")</f>
        <v>Espartina S.A.</v>
      </c>
      <c r="E60" s="92">
        <v>16620772.5</v>
      </c>
      <c r="F60" s="92"/>
      <c r="G60" s="122"/>
      <c r="H60" s="99">
        <f t="shared" si="0"/>
        <v>16620772.5</v>
      </c>
      <c r="I60" s="91" t="s">
        <v>11</v>
      </c>
      <c r="K60" s="91"/>
      <c r="L60" s="91"/>
      <c r="M60" s="91"/>
      <c r="N60" s="92"/>
    </row>
    <row r="61" spans="2:14" x14ac:dyDescent="0.25">
      <c r="B61" s="90">
        <v>46038</v>
      </c>
      <c r="C61" s="91">
        <v>33</v>
      </c>
      <c r="D61" s="97" t="str">
        <f>IFERROR(VLOOKUP(C61,Referencias!$B$7:$C$154,2,FALSE),"")</f>
        <v>Espartina S.A.</v>
      </c>
      <c r="E61" s="92">
        <v>36687093.109999999</v>
      </c>
      <c r="F61" s="92"/>
      <c r="G61" s="122"/>
      <c r="H61" s="99">
        <f t="shared" si="0"/>
        <v>36687093.109999999</v>
      </c>
      <c r="I61" s="91" t="s">
        <v>11</v>
      </c>
      <c r="K61" s="91"/>
      <c r="L61" s="91"/>
      <c r="M61" s="91"/>
      <c r="N61" s="92"/>
    </row>
    <row r="62" spans="2:14" x14ac:dyDescent="0.25">
      <c r="B62" s="90">
        <v>46038</v>
      </c>
      <c r="C62" s="91">
        <v>33</v>
      </c>
      <c r="D62" s="97" t="str">
        <f>IFERROR(VLOOKUP(C62,Referencias!$B$7:$C$154,2,FALSE),"")</f>
        <v>Espartina S.A.</v>
      </c>
      <c r="E62" s="92">
        <v>24271444.149999999</v>
      </c>
      <c r="F62" s="92"/>
      <c r="G62" s="122"/>
      <c r="H62" s="99">
        <f t="shared" si="0"/>
        <v>24271444.149999999</v>
      </c>
      <c r="I62" s="91" t="s">
        <v>10</v>
      </c>
      <c r="K62" s="91"/>
      <c r="L62" s="91"/>
      <c r="M62" s="91"/>
      <c r="N62" s="92"/>
    </row>
    <row r="63" spans="2:14" x14ac:dyDescent="0.25">
      <c r="B63" s="90">
        <v>46048</v>
      </c>
      <c r="C63" s="91">
        <v>72</v>
      </c>
      <c r="D63" s="97" t="str">
        <f>IFERROR(VLOOKUP(C63,Referencias!$B$7:$C$154,2,FALSE),"")</f>
        <v>La Mylucha</v>
      </c>
      <c r="E63" s="92">
        <v>697858.75</v>
      </c>
      <c r="F63" s="92"/>
      <c r="G63" s="122"/>
      <c r="H63" s="99">
        <f>IF(E63&lt;&gt;"",E63-E63*G63,"")</f>
        <v>697858.75</v>
      </c>
      <c r="I63" s="91" t="s">
        <v>11</v>
      </c>
      <c r="K63" s="91"/>
      <c r="L63" s="91"/>
      <c r="M63" s="91"/>
      <c r="N63" s="92"/>
    </row>
    <row r="64" spans="2:14" x14ac:dyDescent="0.25">
      <c r="B64" s="90">
        <v>46048</v>
      </c>
      <c r="C64" s="91">
        <v>33</v>
      </c>
      <c r="D64" s="97" t="str">
        <f>IFERROR(VLOOKUP(C64,Referencias!$B$7:$C$154,2,FALSE),"")</f>
        <v>Espartina S.A.</v>
      </c>
      <c r="E64" s="92">
        <v>1100233.6499999999</v>
      </c>
      <c r="F64" s="92"/>
      <c r="G64" s="122"/>
      <c r="H64" s="99">
        <f>IF(E64&lt;&gt;"",E64-E64*G64,"")</f>
        <v>1100233.6499999999</v>
      </c>
      <c r="I64" s="91" t="s">
        <v>10</v>
      </c>
      <c r="K64" s="91"/>
      <c r="L64" s="91"/>
      <c r="M64" s="91"/>
      <c r="N64" s="92"/>
    </row>
    <row r="65" spans="2:14" x14ac:dyDescent="0.25">
      <c r="B65" s="90">
        <v>46051</v>
      </c>
      <c r="C65" s="91">
        <v>11</v>
      </c>
      <c r="D65" s="97" t="str">
        <f>IFERROR(VLOOKUP(C65,Referencias!$B$7:$C$154,2,FALSE),"")</f>
        <v>Carlos Fernando Fuertes</v>
      </c>
      <c r="E65" s="92">
        <v>952723.51</v>
      </c>
      <c r="F65" s="92"/>
      <c r="G65" s="122"/>
      <c r="H65" s="99">
        <f>IF(E65&lt;&gt;"",E65-E65*G65,"")</f>
        <v>952723.51</v>
      </c>
      <c r="I65" s="91" t="s">
        <v>11</v>
      </c>
      <c r="K65" s="91"/>
      <c r="L65" s="91"/>
      <c r="M65" s="91"/>
      <c r="N65" s="92"/>
    </row>
    <row r="66" spans="2:14" x14ac:dyDescent="0.25">
      <c r="B66" s="90">
        <v>46051</v>
      </c>
      <c r="C66" s="91">
        <v>11</v>
      </c>
      <c r="D66" s="97" t="str">
        <f>IFERROR(VLOOKUP(C66,Referencias!$B$7:$C$154,2,FALSE),"")</f>
        <v>Carlos Fernando Fuertes</v>
      </c>
      <c r="E66" s="92">
        <v>952723.51</v>
      </c>
      <c r="F66" s="92"/>
      <c r="G66" s="122"/>
      <c r="H66" s="99">
        <f t="shared" si="0"/>
        <v>952723.51</v>
      </c>
      <c r="I66" s="91" t="s">
        <v>10</v>
      </c>
      <c r="K66" s="91"/>
      <c r="L66" s="91"/>
      <c r="M66" s="91"/>
      <c r="N66" s="92"/>
    </row>
    <row r="67" spans="2:14" x14ac:dyDescent="0.25">
      <c r="B67" s="90">
        <v>46051</v>
      </c>
      <c r="C67" s="91">
        <v>107</v>
      </c>
      <c r="D67" s="97" t="str">
        <f>IFERROR(VLOOKUP(C67,Referencias!$B$7:$C$154,2,FALSE),"")</f>
        <v>Omar Piaggio</v>
      </c>
      <c r="E67" s="92">
        <v>2000000</v>
      </c>
      <c r="F67" s="92"/>
      <c r="G67" s="122"/>
      <c r="H67" s="99">
        <f t="shared" si="0"/>
        <v>2000000</v>
      </c>
      <c r="I67" s="91" t="s">
        <v>11</v>
      </c>
      <c r="K67" s="91"/>
      <c r="L67" s="91"/>
      <c r="M67" s="91"/>
      <c r="N67" s="92"/>
    </row>
    <row r="68" spans="2:14" x14ac:dyDescent="0.25">
      <c r="B68" s="90">
        <v>46053</v>
      </c>
      <c r="C68" s="91">
        <v>101</v>
      </c>
      <c r="D68" s="97" t="str">
        <f>IFERROR(VLOOKUP(C68,Referencias!$B$7:$C$154,2,FALSE),"")</f>
        <v>Agustin Galeano</v>
      </c>
      <c r="E68" s="92">
        <v>493880</v>
      </c>
      <c r="F68" s="92"/>
      <c r="G68" s="122"/>
      <c r="H68" s="99">
        <f t="shared" si="0"/>
        <v>493880</v>
      </c>
      <c r="I68" s="91" t="s">
        <v>11</v>
      </c>
      <c r="K68" s="91"/>
      <c r="L68" s="91"/>
      <c r="M68" s="91"/>
      <c r="N68" s="92"/>
    </row>
    <row r="69" spans="2:14" x14ac:dyDescent="0.25">
      <c r="B69" s="90">
        <v>46057</v>
      </c>
      <c r="C69" s="91">
        <v>11</v>
      </c>
      <c r="D69" s="97" t="str">
        <f>IFERROR(VLOOKUP(C69,Referencias!$B$7:$C$154,2,FALSE),"")</f>
        <v>Carlos Fernando Fuertes</v>
      </c>
      <c r="E69" s="92">
        <v>145776.5</v>
      </c>
      <c r="F69" s="92"/>
      <c r="G69" s="122"/>
      <c r="H69" s="99">
        <f t="shared" si="0"/>
        <v>145776.5</v>
      </c>
      <c r="I69" s="91" t="s">
        <v>11</v>
      </c>
      <c r="K69" s="91"/>
      <c r="L69" s="91"/>
      <c r="M69" s="91"/>
      <c r="N69" s="92"/>
    </row>
    <row r="70" spans="2:14" x14ac:dyDescent="0.25">
      <c r="B70" s="90">
        <v>46057</v>
      </c>
      <c r="C70" s="91">
        <v>11</v>
      </c>
      <c r="D70" s="97" t="str">
        <f>IFERROR(VLOOKUP(C70,Referencias!$B$7:$C$154,2,FALSE),"")</f>
        <v>Carlos Fernando Fuertes</v>
      </c>
      <c r="E70" s="92">
        <v>145776.5</v>
      </c>
      <c r="F70" s="92"/>
      <c r="G70" s="122"/>
      <c r="H70" s="99">
        <f t="shared" si="0"/>
        <v>145776.5</v>
      </c>
      <c r="I70" s="91" t="s">
        <v>10</v>
      </c>
      <c r="K70" s="91"/>
      <c r="L70" s="91"/>
      <c r="M70" s="91"/>
      <c r="N70" s="92"/>
    </row>
    <row r="71" spans="2:14" x14ac:dyDescent="0.25">
      <c r="B71" s="90">
        <v>46057</v>
      </c>
      <c r="C71" s="91">
        <v>11</v>
      </c>
      <c r="D71" s="97" t="str">
        <f>IFERROR(VLOOKUP(C71,Referencias!$B$7:$C$154,2,FALSE),"")</f>
        <v>Carlos Fernando Fuertes</v>
      </c>
      <c r="E71" s="92">
        <v>1536260</v>
      </c>
      <c r="F71" s="92"/>
      <c r="G71" s="122"/>
      <c r="H71" s="99">
        <f t="shared" si="0"/>
        <v>1536260</v>
      </c>
      <c r="I71" s="91" t="s">
        <v>11</v>
      </c>
      <c r="K71" s="91"/>
      <c r="L71" s="91"/>
      <c r="M71" s="91"/>
      <c r="N71" s="92"/>
    </row>
    <row r="72" spans="2:14" x14ac:dyDescent="0.25">
      <c r="B72" s="90">
        <v>46057</v>
      </c>
      <c r="C72" s="91">
        <v>113</v>
      </c>
      <c r="D72" s="97" t="str">
        <f>IFERROR(VLOOKUP(C72,Referencias!$B$7:$C$154,2,FALSE),"")</f>
        <v>Juan Paulo Graf</v>
      </c>
      <c r="E72" s="92">
        <v>2377980</v>
      </c>
      <c r="F72" s="92"/>
      <c r="G72" s="122"/>
      <c r="H72" s="99">
        <f t="shared" si="0"/>
        <v>2377980</v>
      </c>
      <c r="I72" s="91" t="s">
        <v>10</v>
      </c>
      <c r="K72" s="91"/>
      <c r="L72" s="91"/>
      <c r="M72" s="91"/>
      <c r="N72" s="92"/>
    </row>
    <row r="73" spans="2:14" x14ac:dyDescent="0.25">
      <c r="B73" s="90">
        <v>46064</v>
      </c>
      <c r="C73" s="91">
        <v>5</v>
      </c>
      <c r="D73" s="97" t="str">
        <f>IFERROR(VLOOKUP(C73,Referencias!$B$7:$C$154,2,FALSE),"")</f>
        <v>Cofina Agro</v>
      </c>
      <c r="E73" s="92">
        <v>537560.34</v>
      </c>
      <c r="F73" s="92"/>
      <c r="G73" s="122"/>
      <c r="H73" s="99">
        <f t="shared" si="0"/>
        <v>537560.34</v>
      </c>
      <c r="I73" s="91" t="s">
        <v>10</v>
      </c>
      <c r="K73" s="91"/>
      <c r="L73" s="91"/>
      <c r="M73" s="91"/>
      <c r="N73" s="92"/>
    </row>
    <row r="74" spans="2:14" x14ac:dyDescent="0.25">
      <c r="B74" s="90">
        <v>46064</v>
      </c>
      <c r="C74" s="91">
        <v>5</v>
      </c>
      <c r="D74" s="97" t="str">
        <f>IFERROR(VLOOKUP(C74,Referencias!$B$7:$C$154,2,FALSE),"")</f>
        <v>Cofina Agro</v>
      </c>
      <c r="E74" s="92">
        <v>537560.34</v>
      </c>
      <c r="F74" s="92"/>
      <c r="G74" s="122"/>
      <c r="H74" s="99">
        <f t="shared" si="0"/>
        <v>537560.34</v>
      </c>
      <c r="I74" s="91" t="s">
        <v>11</v>
      </c>
      <c r="K74" s="91"/>
      <c r="L74" s="91"/>
      <c r="M74" s="91"/>
      <c r="N74" s="92"/>
    </row>
    <row r="75" spans="2:14" x14ac:dyDescent="0.25">
      <c r="B75" s="90">
        <v>46071</v>
      </c>
      <c r="C75" s="91">
        <v>33</v>
      </c>
      <c r="D75" s="97" t="str">
        <f>IFERROR(VLOOKUP(C75,Referencias!$B$7:$C$154,2,FALSE),"")</f>
        <v>Espartina S.A.</v>
      </c>
      <c r="E75" s="92">
        <v>2131500</v>
      </c>
      <c r="F75" s="92"/>
      <c r="G75" s="122"/>
      <c r="H75" s="99">
        <f t="shared" si="0"/>
        <v>2131500</v>
      </c>
      <c r="I75" s="91" t="s">
        <v>10</v>
      </c>
      <c r="K75" s="91"/>
      <c r="L75" s="91"/>
      <c r="M75" s="91"/>
      <c r="N75" s="92"/>
    </row>
    <row r="76" spans="2:14" x14ac:dyDescent="0.25">
      <c r="B76" s="90">
        <v>46070</v>
      </c>
      <c r="C76" s="91">
        <v>107</v>
      </c>
      <c r="D76" s="97" t="str">
        <f>IFERROR(VLOOKUP(C76,Referencias!$B$7:$C$154,2,FALSE),"")</f>
        <v>Omar Piaggio</v>
      </c>
      <c r="E76" s="92">
        <v>2900000</v>
      </c>
      <c r="F76" s="92"/>
      <c r="G76" s="122"/>
      <c r="H76" s="99">
        <f t="shared" si="0"/>
        <v>2900000</v>
      </c>
      <c r="I76" s="91" t="s">
        <v>11</v>
      </c>
      <c r="K76" s="91"/>
      <c r="L76" s="91"/>
      <c r="M76" s="91"/>
      <c r="N76" s="92"/>
    </row>
    <row r="77" spans="2:14" x14ac:dyDescent="0.25">
      <c r="B77" s="90">
        <v>46091</v>
      </c>
      <c r="C77" s="91">
        <v>24</v>
      </c>
      <c r="D77" s="97" t="str">
        <f>IFERROR(VLOOKUP(C77,Referencias!$B$7:$C$154,2,FALSE),"")</f>
        <v>Nugas S.A.</v>
      </c>
      <c r="E77" s="92">
        <v>1552000</v>
      </c>
      <c r="F77" s="92"/>
      <c r="G77" s="122"/>
      <c r="H77" s="99">
        <f t="shared" si="0"/>
        <v>1552000</v>
      </c>
      <c r="I77" s="91" t="s">
        <v>11</v>
      </c>
      <c r="K77" s="91"/>
      <c r="L77" s="91"/>
      <c r="M77" s="91"/>
      <c r="N77" s="92"/>
    </row>
    <row r="78" spans="2:14" x14ac:dyDescent="0.25">
      <c r="B78" s="90">
        <v>46093</v>
      </c>
      <c r="C78" s="91">
        <v>107</v>
      </c>
      <c r="D78" s="97" t="str">
        <f>IFERROR(VLOOKUP(C78,Referencias!$B$7:$C$154,2,FALSE),"")</f>
        <v>Omar Piaggio</v>
      </c>
      <c r="E78" s="92">
        <v>615000</v>
      </c>
      <c r="F78" s="92"/>
      <c r="G78" s="122"/>
      <c r="H78" s="99">
        <f t="shared" si="0"/>
        <v>615000</v>
      </c>
      <c r="I78" s="91" t="s">
        <v>11</v>
      </c>
      <c r="K78" s="91"/>
      <c r="L78" s="91"/>
      <c r="M78" s="91"/>
      <c r="N78" s="92"/>
    </row>
    <row r="79" spans="2:14" x14ac:dyDescent="0.25">
      <c r="B79" s="90">
        <v>46102</v>
      </c>
      <c r="C79" s="91">
        <v>5</v>
      </c>
      <c r="D79" s="97" t="str">
        <f>IFERROR(VLOOKUP(C79,Referencias!$B$7:$C$154,2,FALSE),"")</f>
        <v>Cofina Agro</v>
      </c>
      <c r="E79" s="92">
        <v>314452.15999999997</v>
      </c>
      <c r="F79" s="92"/>
      <c r="G79" s="122"/>
      <c r="H79" s="99">
        <f t="shared" si="0"/>
        <v>314452.15999999997</v>
      </c>
      <c r="I79" s="91" t="s">
        <v>11</v>
      </c>
      <c r="K79" s="91"/>
      <c r="L79" s="91"/>
      <c r="M79" s="91"/>
      <c r="N79" s="92"/>
    </row>
    <row r="80" spans="2:14" x14ac:dyDescent="0.25">
      <c r="B80" s="90">
        <v>46102</v>
      </c>
      <c r="C80" s="91">
        <v>5</v>
      </c>
      <c r="D80" s="97" t="str">
        <f>IFERROR(VLOOKUP(C80,Referencias!$B$7:$C$154,2,FALSE),"")</f>
        <v>Cofina Agro</v>
      </c>
      <c r="E80" s="92">
        <v>314452.15999999997</v>
      </c>
      <c r="F80" s="92"/>
      <c r="G80" s="122"/>
      <c r="H80" s="99">
        <f t="shared" si="0"/>
        <v>314452.15999999997</v>
      </c>
      <c r="I80" s="91" t="s">
        <v>10</v>
      </c>
      <c r="K80" s="91"/>
      <c r="L80" s="91"/>
      <c r="M80" s="91"/>
      <c r="N80" s="92"/>
    </row>
    <row r="81" spans="2:14" x14ac:dyDescent="0.25">
      <c r="B81" s="90">
        <v>46106</v>
      </c>
      <c r="C81" s="91">
        <v>31</v>
      </c>
      <c r="D81" s="97" t="str">
        <f>IFERROR(VLOOKUP(C81,Referencias!$B$7:$C$154,2,FALSE),"")</f>
        <v>La Gloriosa S.A.</v>
      </c>
      <c r="E81" s="92">
        <v>1326075</v>
      </c>
      <c r="F81" s="92"/>
      <c r="G81" s="122"/>
      <c r="H81" s="99">
        <f t="shared" si="0"/>
        <v>1326075</v>
      </c>
      <c r="I81" s="91" t="s">
        <v>11</v>
      </c>
      <c r="K81" s="91"/>
      <c r="L81" s="91"/>
      <c r="M81" s="91"/>
      <c r="N81" s="92"/>
    </row>
    <row r="82" spans="2:14" x14ac:dyDescent="0.25">
      <c r="B82" s="90">
        <v>46106</v>
      </c>
      <c r="C82" s="91">
        <v>31</v>
      </c>
      <c r="D82" s="97" t="str">
        <f>IFERROR(VLOOKUP(C82,Referencias!$B$7:$C$154,2,FALSE),"")</f>
        <v>La Gloriosa S.A.</v>
      </c>
      <c r="E82" s="92">
        <v>1326075</v>
      </c>
      <c r="F82" s="92"/>
      <c r="G82" s="122"/>
      <c r="H82" s="99">
        <f t="shared" si="0"/>
        <v>1326075</v>
      </c>
      <c r="I82" s="91" t="s">
        <v>10</v>
      </c>
      <c r="K82" s="91"/>
      <c r="L82" s="91"/>
      <c r="M82" s="91"/>
      <c r="N82" s="92"/>
    </row>
    <row r="83" spans="2:14" x14ac:dyDescent="0.25">
      <c r="B83" s="90">
        <v>46106</v>
      </c>
      <c r="C83" s="91">
        <v>31</v>
      </c>
      <c r="D83" s="97" t="str">
        <f>IFERROR(VLOOKUP(C83,Referencias!$B$7:$C$154,2,FALSE),"")</f>
        <v>La Gloriosa S.A.</v>
      </c>
      <c r="E83" s="92">
        <v>664713.9</v>
      </c>
      <c r="F83" s="92"/>
      <c r="G83" s="122"/>
      <c r="H83" s="99">
        <f t="shared" si="0"/>
        <v>664713.9</v>
      </c>
      <c r="I83" s="91" t="s">
        <v>10</v>
      </c>
      <c r="K83" s="91"/>
      <c r="L83" s="91"/>
      <c r="M83" s="91"/>
      <c r="N83" s="92"/>
    </row>
    <row r="84" spans="2:14" x14ac:dyDescent="0.25">
      <c r="B84" s="90">
        <v>46112</v>
      </c>
      <c r="C84" s="91">
        <v>33</v>
      </c>
      <c r="D84" s="97" t="str">
        <f>IFERROR(VLOOKUP(C84,Referencias!$B$7:$C$154,2,FALSE),"")</f>
        <v>Espartina S.A.</v>
      </c>
      <c r="E84" s="92">
        <v>484900.9</v>
      </c>
      <c r="F84" s="92"/>
      <c r="G84" s="122"/>
      <c r="H84" s="99">
        <f t="shared" si="0"/>
        <v>484900.9</v>
      </c>
      <c r="I84" s="91" t="s">
        <v>11</v>
      </c>
      <c r="K84" s="91"/>
      <c r="L84" s="91"/>
      <c r="M84" s="91"/>
      <c r="N84" s="92"/>
    </row>
    <row r="85" spans="2:14" x14ac:dyDescent="0.25">
      <c r="B85" s="90">
        <v>46122</v>
      </c>
      <c r="C85" s="91">
        <v>107</v>
      </c>
      <c r="D85" s="97" t="str">
        <f>IFERROR(VLOOKUP(C85,Referencias!$B$7:$C$154,2,FALSE),"")</f>
        <v>Omar Piaggio</v>
      </c>
      <c r="E85" s="92">
        <v>2597500</v>
      </c>
      <c r="F85" s="92"/>
      <c r="G85" s="122"/>
      <c r="H85" s="99">
        <f t="shared" si="0"/>
        <v>2597500</v>
      </c>
      <c r="I85" s="91" t="s">
        <v>11</v>
      </c>
      <c r="K85" s="91"/>
      <c r="L85" s="91"/>
      <c r="M85" s="91"/>
      <c r="N85" s="92"/>
    </row>
    <row r="86" spans="2:14" x14ac:dyDescent="0.25">
      <c r="B86" s="90">
        <v>46148</v>
      </c>
      <c r="C86" s="91">
        <v>24</v>
      </c>
      <c r="D86" s="97" t="str">
        <f>IFERROR(VLOOKUP(C86,Referencias!$B$7:$C$154,2,FALSE),"")</f>
        <v>Nugas S.A.</v>
      </c>
      <c r="E86" s="92">
        <v>936000</v>
      </c>
      <c r="F86" s="92"/>
      <c r="G86" s="122"/>
      <c r="H86" s="99">
        <f t="shared" si="0"/>
        <v>936000</v>
      </c>
      <c r="I86" s="91" t="s">
        <v>11</v>
      </c>
      <c r="K86" s="91"/>
      <c r="L86" s="91"/>
      <c r="M86" s="91"/>
      <c r="N86" s="92"/>
    </row>
    <row r="87" spans="2:14" x14ac:dyDescent="0.25">
      <c r="B87" s="90">
        <v>46171</v>
      </c>
      <c r="C87" s="91">
        <v>103</v>
      </c>
      <c r="D87" s="97" t="str">
        <f>IFERROR(VLOOKUP(C87,Referencias!$B$7:$C$154,2,FALSE),"")</f>
        <v>AgroFranVis SRL</v>
      </c>
      <c r="E87" s="92">
        <v>1213680</v>
      </c>
      <c r="F87" s="92"/>
      <c r="G87" s="122"/>
      <c r="H87" s="99">
        <f t="shared" si="0"/>
        <v>1213680</v>
      </c>
      <c r="I87" s="91" t="s">
        <v>11</v>
      </c>
      <c r="K87" s="91"/>
      <c r="L87" s="91"/>
      <c r="M87" s="91"/>
      <c r="N87" s="92"/>
    </row>
    <row r="88" spans="2:14" x14ac:dyDescent="0.25">
      <c r="B88" s="90">
        <v>46172</v>
      </c>
      <c r="C88" s="91">
        <v>129</v>
      </c>
      <c r="D88" s="97" t="str">
        <f>IFERROR(VLOOKUP(C88,Referencias!$B$7:$C$154,2,FALSE),"")</f>
        <v>Polixen S.A.</v>
      </c>
      <c r="E88" s="92">
        <v>350750</v>
      </c>
      <c r="F88" s="92"/>
      <c r="G88" s="122"/>
      <c r="H88" s="99">
        <f t="shared" si="0"/>
        <v>350750</v>
      </c>
      <c r="I88" s="91" t="s">
        <v>11</v>
      </c>
      <c r="K88" s="91"/>
      <c r="L88" s="91"/>
      <c r="M88" s="91"/>
      <c r="N88" s="92"/>
    </row>
    <row r="89" spans="2:14" x14ac:dyDescent="0.25">
      <c r="B89" s="90">
        <v>46178</v>
      </c>
      <c r="C89" s="91">
        <v>45</v>
      </c>
      <c r="D89" s="97" t="str">
        <f>IFERROR(VLOOKUP(C89,Referencias!$B$7:$C$154,2,FALSE),"")</f>
        <v>Guillermo Pugliese</v>
      </c>
      <c r="E89" s="92">
        <v>3159129.6</v>
      </c>
      <c r="F89" s="92"/>
      <c r="G89" s="122"/>
      <c r="H89" s="99">
        <f t="shared" si="0"/>
        <v>3159129.6</v>
      </c>
      <c r="I89" s="91" t="s">
        <v>10</v>
      </c>
      <c r="K89" s="91"/>
      <c r="L89" s="91"/>
      <c r="M89" s="91"/>
      <c r="N89" s="92"/>
    </row>
    <row r="90" spans="2:14" x14ac:dyDescent="0.25">
      <c r="B90" s="90">
        <v>46184</v>
      </c>
      <c r="C90" s="91">
        <v>24</v>
      </c>
      <c r="D90" s="97" t="str">
        <f>IFERROR(VLOOKUP(C90,Referencias!$B$7:$C$154,2,FALSE),"")</f>
        <v>Nugas S.A.</v>
      </c>
      <c r="E90" s="92">
        <v>1694783.4</v>
      </c>
      <c r="F90" s="92"/>
      <c r="G90" s="122"/>
      <c r="H90" s="99">
        <f t="shared" si="0"/>
        <v>1694783.4</v>
      </c>
      <c r="I90" s="91" t="s">
        <v>11</v>
      </c>
      <c r="K90" s="91"/>
      <c r="L90" s="91"/>
      <c r="M90" s="91"/>
      <c r="N90" s="92"/>
    </row>
    <row r="91" spans="2:14" x14ac:dyDescent="0.25">
      <c r="B91" s="90">
        <v>46185</v>
      </c>
      <c r="C91" s="91">
        <v>11</v>
      </c>
      <c r="D91" s="97" t="str">
        <f>IFERROR(VLOOKUP(C91,Referencias!$B$7:$C$154,2,FALSE),"")</f>
        <v>Carlos Fernando Fuertes</v>
      </c>
      <c r="E91" s="92">
        <v>1300000</v>
      </c>
      <c r="F91" s="92"/>
      <c r="G91" s="122"/>
      <c r="H91" s="99">
        <f t="shared" si="0"/>
        <v>1300000</v>
      </c>
      <c r="I91" s="91" t="s">
        <v>11</v>
      </c>
      <c r="K91" s="91"/>
      <c r="L91" s="91"/>
      <c r="M91" s="91"/>
      <c r="N91" s="92"/>
    </row>
    <row r="92" spans="2:14" x14ac:dyDescent="0.25">
      <c r="B92" s="90">
        <v>46182</v>
      </c>
      <c r="C92" s="91">
        <v>6</v>
      </c>
      <c r="D92" s="97" t="str">
        <f>IFERROR(VLOOKUP(C92,Referencias!$B$7:$C$154,2,FALSE),"")</f>
        <v>La Nany S.A.</v>
      </c>
      <c r="E92" s="92">
        <v>739506</v>
      </c>
      <c r="F92" s="92"/>
      <c r="G92" s="122"/>
      <c r="H92" s="99">
        <f t="shared" si="0"/>
        <v>739506</v>
      </c>
      <c r="I92" s="91" t="s">
        <v>11</v>
      </c>
      <c r="K92" s="91"/>
      <c r="L92" s="91"/>
      <c r="M92" s="91"/>
      <c r="N92" s="92"/>
    </row>
    <row r="93" spans="2:14" x14ac:dyDescent="0.25">
      <c r="B93" s="90">
        <v>46188</v>
      </c>
      <c r="C93" s="91">
        <v>8</v>
      </c>
      <c r="D93" s="97" t="str">
        <f>IFERROR(VLOOKUP(C93,Referencias!$B$7:$C$154,2,FALSE),"")</f>
        <v>Baltan Agropecuaria</v>
      </c>
      <c r="E93" s="92">
        <v>86779.5</v>
      </c>
      <c r="F93" s="92"/>
      <c r="G93" s="122"/>
      <c r="H93" s="99">
        <f t="shared" si="0"/>
        <v>86779.5</v>
      </c>
      <c r="I93" s="91" t="s">
        <v>11</v>
      </c>
      <c r="K93" s="91"/>
      <c r="L93" s="91"/>
      <c r="M93" s="91"/>
      <c r="N93" s="92"/>
    </row>
    <row r="94" spans="2:14" x14ac:dyDescent="0.25">
      <c r="B94" s="90">
        <v>46190</v>
      </c>
      <c r="C94" s="91">
        <v>45</v>
      </c>
      <c r="D94" s="97" t="str">
        <f>IFERROR(VLOOKUP(C94,Referencias!$B$7:$C$154,2,FALSE),"")</f>
        <v>Guillermo Pugliese</v>
      </c>
      <c r="E94" s="92">
        <v>1127808</v>
      </c>
      <c r="F94" s="92"/>
      <c r="G94" s="122"/>
      <c r="H94" s="99">
        <f t="shared" si="0"/>
        <v>1127808</v>
      </c>
      <c r="I94" s="91" t="s">
        <v>10</v>
      </c>
      <c r="K94" s="91"/>
      <c r="L94" s="91"/>
      <c r="M94" s="91"/>
      <c r="N94" s="92"/>
    </row>
    <row r="95" spans="2:14" x14ac:dyDescent="0.25">
      <c r="B95" s="90">
        <v>46206</v>
      </c>
      <c r="C95" s="91">
        <v>33</v>
      </c>
      <c r="D95" s="97" t="str">
        <f>IFERROR(VLOOKUP(C95,Referencias!$B$7:$C$154,2,FALSE),"")</f>
        <v>Espartina S.A.</v>
      </c>
      <c r="E95" s="92">
        <v>2104871.2000000002</v>
      </c>
      <c r="F95" s="92"/>
      <c r="G95" s="122"/>
      <c r="H95" s="99">
        <f t="shared" si="0"/>
        <v>2104871.2000000002</v>
      </c>
      <c r="I95" s="91" t="s">
        <v>11</v>
      </c>
      <c r="K95" s="91"/>
      <c r="L95" s="91"/>
      <c r="M95" s="91"/>
      <c r="N95" s="92"/>
    </row>
    <row r="96" spans="2:14" x14ac:dyDescent="0.25">
      <c r="B96" s="90">
        <v>46204</v>
      </c>
      <c r="C96" s="91">
        <v>130</v>
      </c>
      <c r="D96" s="97" t="str">
        <f>IFERROR(VLOOKUP(C96,Referencias!$B$7:$C$154,2,FALSE),"")</f>
        <v>Jose Velazco</v>
      </c>
      <c r="E96" s="92">
        <v>186669</v>
      </c>
      <c r="F96" s="92"/>
      <c r="G96" s="122"/>
      <c r="H96" s="99">
        <f t="shared" si="0"/>
        <v>186669</v>
      </c>
      <c r="I96" s="91" t="s">
        <v>11</v>
      </c>
      <c r="K96" s="91"/>
      <c r="L96" s="91"/>
      <c r="M96" s="91"/>
      <c r="N96" s="92"/>
    </row>
    <row r="97" spans="2:14" x14ac:dyDescent="0.25">
      <c r="B97" s="90">
        <v>46067</v>
      </c>
      <c r="C97" s="91">
        <v>89</v>
      </c>
      <c r="D97" s="97" t="str">
        <f>IFERROR(VLOOKUP(C97,Referencias!$B$7:$C$154,2,FALSE),"")</f>
        <v>Jose Echeverria e Hijos</v>
      </c>
      <c r="E97" s="92">
        <v>42600</v>
      </c>
      <c r="F97" s="92"/>
      <c r="G97" s="122"/>
      <c r="H97" s="99">
        <f t="shared" si="0"/>
        <v>42600</v>
      </c>
      <c r="I97" s="91" t="s">
        <v>11</v>
      </c>
      <c r="K97" s="91"/>
      <c r="L97" s="91"/>
      <c r="M97" s="91"/>
      <c r="N97" s="92"/>
    </row>
    <row r="98" spans="2:14" x14ac:dyDescent="0.25">
      <c r="B98" s="90">
        <v>46219</v>
      </c>
      <c r="C98" s="91">
        <v>24</v>
      </c>
      <c r="D98" s="97" t="str">
        <f>IFERROR(VLOOKUP(C98,Referencias!$B$7:$C$154,2,FALSE),"")</f>
        <v>Nugas S.A.</v>
      </c>
      <c r="E98" s="92">
        <v>33213.599999999999</v>
      </c>
      <c r="F98" s="92"/>
      <c r="G98" s="122"/>
      <c r="H98" s="99">
        <f t="shared" si="0"/>
        <v>33213.599999999999</v>
      </c>
      <c r="I98" s="91" t="s">
        <v>11</v>
      </c>
      <c r="K98" s="91"/>
      <c r="L98" s="91"/>
      <c r="M98" s="91"/>
      <c r="N98" s="92"/>
    </row>
    <row r="99" spans="2:14" x14ac:dyDescent="0.25">
      <c r="B99" s="90">
        <v>46219</v>
      </c>
      <c r="C99" s="91">
        <v>50</v>
      </c>
      <c r="D99" s="97" t="str">
        <f>IFERROR(VLOOKUP(C99,Referencias!$B$7:$C$154,2,FALSE),"")</f>
        <v>Mackrey Agropecuaria</v>
      </c>
      <c r="E99" s="92">
        <v>171956</v>
      </c>
      <c r="F99" s="92"/>
      <c r="G99" s="122"/>
      <c r="H99" s="99">
        <f t="shared" si="0"/>
        <v>171956</v>
      </c>
      <c r="I99" s="91" t="s">
        <v>11</v>
      </c>
      <c r="K99" s="91"/>
      <c r="L99" s="91"/>
      <c r="M99" s="91"/>
      <c r="N99" s="92"/>
    </row>
    <row r="100" spans="2:14" x14ac:dyDescent="0.25">
      <c r="B100" s="90">
        <v>46219</v>
      </c>
      <c r="C100" s="91">
        <v>107</v>
      </c>
      <c r="D100" s="97" t="str">
        <f>IFERROR(VLOOKUP(C100,Referencias!$B$7:$C$154,2,FALSE),"")</f>
        <v>Omar Piaggio</v>
      </c>
      <c r="E100" s="92">
        <v>4187000</v>
      </c>
      <c r="F100" s="92"/>
      <c r="G100" s="122"/>
      <c r="H100" s="99">
        <f t="shared" si="0"/>
        <v>4187000</v>
      </c>
      <c r="I100" s="91" t="s">
        <v>11</v>
      </c>
      <c r="K100" s="91"/>
      <c r="L100" s="91"/>
      <c r="M100" s="91"/>
      <c r="N100" s="92"/>
    </row>
    <row r="101" spans="2:14" x14ac:dyDescent="0.25">
      <c r="B101" s="90">
        <v>46224</v>
      </c>
      <c r="C101" s="91">
        <v>131</v>
      </c>
      <c r="D101" s="97" t="str">
        <f>IFERROR(VLOOKUP(C101,Referencias!$B$7:$C$154,2,FALSE),"")</f>
        <v>Fernando Pili</v>
      </c>
      <c r="E101" s="92">
        <v>1056090.75</v>
      </c>
      <c r="F101" s="92"/>
      <c r="G101" s="122"/>
      <c r="H101" s="99">
        <f t="shared" si="0"/>
        <v>1056090.75</v>
      </c>
      <c r="I101" s="91" t="s">
        <v>10</v>
      </c>
      <c r="K101" s="91"/>
      <c r="L101" s="91"/>
      <c r="M101" s="91"/>
      <c r="N101" s="92"/>
    </row>
    <row r="102" spans="2:14" x14ac:dyDescent="0.25">
      <c r="B102" s="90">
        <v>46225</v>
      </c>
      <c r="C102" s="91">
        <v>69</v>
      </c>
      <c r="D102" s="97" t="str">
        <f>IFERROR(VLOOKUP(C102,Referencias!$B$7:$C$154,2,FALSE),"")</f>
        <v>Alejandro Massigoge</v>
      </c>
      <c r="E102" s="92">
        <v>309551</v>
      </c>
      <c r="F102" s="92"/>
      <c r="G102" s="122"/>
      <c r="H102" s="99">
        <f t="shared" si="0"/>
        <v>309551</v>
      </c>
      <c r="I102" s="91" t="s">
        <v>10</v>
      </c>
      <c r="K102" s="91"/>
      <c r="L102" s="91"/>
      <c r="M102" s="91"/>
      <c r="N102" s="92"/>
    </row>
    <row r="103" spans="2:14" x14ac:dyDescent="0.25">
      <c r="B103" s="90">
        <v>46226</v>
      </c>
      <c r="C103" s="91">
        <v>4</v>
      </c>
      <c r="D103" s="97" t="str">
        <f>IFERROR(VLOOKUP(C103,Referencias!$B$7:$C$154,2,FALSE),"")</f>
        <v>Purtierra</v>
      </c>
      <c r="E103" s="92">
        <v>1414804</v>
      </c>
      <c r="F103" s="92"/>
      <c r="G103" s="122"/>
      <c r="H103" s="99">
        <f t="shared" si="0"/>
        <v>1414804</v>
      </c>
      <c r="I103" s="91" t="s">
        <v>11</v>
      </c>
      <c r="K103" s="91"/>
      <c r="L103" s="91"/>
      <c r="M103" s="91"/>
      <c r="N103" s="92"/>
    </row>
    <row r="104" spans="2:14" x14ac:dyDescent="0.25">
      <c r="B104" s="90">
        <v>46227</v>
      </c>
      <c r="C104" s="91">
        <v>33</v>
      </c>
      <c r="D104" s="97" t="str">
        <f>IFERROR(VLOOKUP(C104,Referencias!$B$7:$C$154,2,FALSE),"")</f>
        <v>Espartina S.A.</v>
      </c>
      <c r="E104" s="92">
        <v>1780952.4</v>
      </c>
      <c r="F104" s="92"/>
      <c r="G104" s="122"/>
      <c r="H104" s="99">
        <f t="shared" si="0"/>
        <v>1780952.4</v>
      </c>
      <c r="I104" s="91" t="s">
        <v>11</v>
      </c>
      <c r="K104" s="91"/>
      <c r="L104" s="91"/>
      <c r="M104" s="91"/>
      <c r="N104" s="92"/>
    </row>
    <row r="105" spans="2:14" x14ac:dyDescent="0.25">
      <c r="B105" s="90"/>
      <c r="C105" s="91"/>
      <c r="D105" s="97" t="str">
        <f>IFERROR(VLOOKUP(C105,Referencias!$B$7:$C$154,2,FALSE),"")</f>
        <v/>
      </c>
      <c r="E105" s="92"/>
      <c r="F105" s="92"/>
      <c r="G105" s="122"/>
      <c r="H105" s="99" t="str">
        <f t="shared" si="0"/>
        <v/>
      </c>
      <c r="I105" s="91"/>
      <c r="K105" s="91"/>
      <c r="L105" s="91"/>
      <c r="M105" s="91"/>
      <c r="N105" s="92"/>
    </row>
    <row r="106" spans="2:14" x14ac:dyDescent="0.25">
      <c r="B106" s="90"/>
      <c r="C106" s="91"/>
      <c r="D106" s="97" t="str">
        <f>IFERROR(VLOOKUP(C106,Referencias!$B$7:$C$154,2,FALSE),"")</f>
        <v/>
      </c>
      <c r="E106" s="92"/>
      <c r="F106" s="92"/>
      <c r="G106" s="122"/>
      <c r="H106" s="99" t="str">
        <f t="shared" si="0"/>
        <v/>
      </c>
      <c r="I106" s="91"/>
      <c r="K106" s="91"/>
      <c r="L106" s="91"/>
      <c r="M106" s="91"/>
      <c r="N106" s="92"/>
    </row>
    <row r="107" spans="2:14" x14ac:dyDescent="0.25">
      <c r="B107" s="90"/>
      <c r="C107" s="91"/>
      <c r="D107" s="97" t="str">
        <f>IFERROR(VLOOKUP(C107,Referencias!$B$7:$C$154,2,FALSE),"")</f>
        <v/>
      </c>
      <c r="E107" s="92"/>
      <c r="F107" s="92"/>
      <c r="G107" s="122"/>
      <c r="H107" s="99" t="str">
        <f t="shared" si="0"/>
        <v/>
      </c>
      <c r="I107" s="91"/>
      <c r="K107" s="91"/>
      <c r="L107" s="91"/>
      <c r="M107" s="91"/>
      <c r="N107" s="92"/>
    </row>
    <row r="108" spans="2:14" x14ac:dyDescent="0.25">
      <c r="B108" s="90"/>
      <c r="C108" s="91"/>
      <c r="D108" s="97" t="str">
        <f>IFERROR(VLOOKUP(C108,Referencias!$B$7:$C$154,2,FALSE),"")</f>
        <v/>
      </c>
      <c r="E108" s="92"/>
      <c r="F108" s="92"/>
      <c r="G108" s="122"/>
      <c r="H108" s="99" t="str">
        <f t="shared" si="0"/>
        <v/>
      </c>
      <c r="I108" s="91"/>
      <c r="K108" s="91"/>
      <c r="L108" s="91"/>
      <c r="M108" s="91"/>
      <c r="N108" s="92"/>
    </row>
    <row r="109" spans="2:14" x14ac:dyDescent="0.25">
      <c r="B109" s="90"/>
      <c r="C109" s="91"/>
      <c r="D109" s="97" t="str">
        <f>IFERROR(VLOOKUP(C109,Referencias!$B$7:$C$154,2,FALSE),"")</f>
        <v/>
      </c>
      <c r="E109" s="92"/>
      <c r="F109" s="92"/>
      <c r="G109" s="122"/>
      <c r="H109" s="99" t="str">
        <f t="shared" si="0"/>
        <v/>
      </c>
      <c r="I109" s="91"/>
      <c r="K109" s="91"/>
      <c r="L109" s="91"/>
      <c r="M109" s="91"/>
      <c r="N109" s="92"/>
    </row>
    <row r="110" spans="2:14" x14ac:dyDescent="0.25">
      <c r="B110" s="90"/>
      <c r="C110" s="91"/>
      <c r="D110" s="97" t="str">
        <f>IFERROR(VLOOKUP(C110,Referencias!$B$7:$C$154,2,FALSE),"")</f>
        <v/>
      </c>
      <c r="E110" s="92"/>
      <c r="F110" s="92"/>
      <c r="G110" s="122"/>
      <c r="H110" s="99" t="str">
        <f t="shared" si="0"/>
        <v/>
      </c>
      <c r="I110" s="91"/>
      <c r="K110" s="91"/>
      <c r="L110" s="91"/>
      <c r="M110" s="91"/>
      <c r="N110" s="92"/>
    </row>
    <row r="111" spans="2:14" x14ac:dyDescent="0.25">
      <c r="B111" s="90"/>
      <c r="C111" s="91"/>
      <c r="D111" s="97" t="str">
        <f>IFERROR(VLOOKUP(C111,Referencias!$B$7:$C$154,2,FALSE),"")</f>
        <v/>
      </c>
      <c r="E111" s="92"/>
      <c r="F111" s="92"/>
      <c r="G111" s="122"/>
      <c r="H111" s="99" t="str">
        <f t="shared" si="0"/>
        <v/>
      </c>
      <c r="I111" s="91"/>
      <c r="K111" s="91"/>
      <c r="L111" s="91"/>
      <c r="M111" s="91"/>
      <c r="N111" s="92"/>
    </row>
    <row r="112" spans="2:14" x14ac:dyDescent="0.25">
      <c r="B112" s="90"/>
      <c r="C112" s="91"/>
      <c r="D112" s="97" t="str">
        <f>IFERROR(VLOOKUP(C112,Referencias!$B$7:$C$154,2,FALSE),"")</f>
        <v/>
      </c>
      <c r="E112" s="92"/>
      <c r="F112" s="92"/>
      <c r="G112" s="122"/>
      <c r="H112" s="99" t="str">
        <f t="shared" si="0"/>
        <v/>
      </c>
      <c r="I112" s="91"/>
      <c r="K112" s="91"/>
      <c r="L112" s="91"/>
      <c r="M112" s="91"/>
      <c r="N112" s="92"/>
    </row>
    <row r="113" spans="2:14" x14ac:dyDescent="0.25">
      <c r="B113" s="90"/>
      <c r="C113" s="91"/>
      <c r="D113" s="97" t="str">
        <f>IFERROR(VLOOKUP(C113,Referencias!$B$7:$C$154,2,FALSE),"")</f>
        <v/>
      </c>
      <c r="E113" s="92"/>
      <c r="F113" s="92"/>
      <c r="G113" s="122"/>
      <c r="H113" s="99" t="str">
        <f t="shared" si="0"/>
        <v/>
      </c>
      <c r="I113" s="91"/>
      <c r="K113" s="91"/>
      <c r="L113" s="91"/>
      <c r="M113" s="91"/>
      <c r="N113" s="92"/>
    </row>
    <row r="114" spans="2:14" x14ac:dyDescent="0.25">
      <c r="B114" s="90"/>
      <c r="C114" s="91"/>
      <c r="D114" s="97" t="str">
        <f>IFERROR(VLOOKUP(C114,Referencias!$B$7:$C$154,2,FALSE),"")</f>
        <v/>
      </c>
      <c r="E114" s="92"/>
      <c r="F114" s="92"/>
      <c r="G114" s="122"/>
      <c r="H114" s="99" t="str">
        <f t="shared" si="0"/>
        <v/>
      </c>
      <c r="I114" s="91"/>
      <c r="K114" s="91"/>
      <c r="L114" s="91"/>
      <c r="M114" s="91"/>
      <c r="N114" s="92"/>
    </row>
    <row r="115" spans="2:14" x14ac:dyDescent="0.25">
      <c r="B115" s="91"/>
      <c r="C115" s="91"/>
      <c r="D115" s="97" t="str">
        <f>IFERROR(VLOOKUP(C115,Referencias!$B$7:$C$154,2,FALSE),"")</f>
        <v/>
      </c>
      <c r="E115" s="92"/>
      <c r="F115" s="92"/>
      <c r="G115" s="122"/>
      <c r="H115" s="99" t="str">
        <f t="shared" si="0"/>
        <v/>
      </c>
      <c r="I115" s="91"/>
      <c r="K115" s="91"/>
      <c r="L115" s="91"/>
      <c r="M115" s="91"/>
      <c r="N115" s="92"/>
    </row>
    <row r="116" spans="2:14" x14ac:dyDescent="0.25">
      <c r="B116" s="94" t="s">
        <v>9</v>
      </c>
      <c r="C116" s="94"/>
      <c r="D116" s="95"/>
      <c r="E116" s="98">
        <f>SUM(E6:E115)</f>
        <v>247417222.5</v>
      </c>
      <c r="F116" s="98"/>
      <c r="G116" s="96"/>
      <c r="H116" s="100">
        <f>SUM(H6:H115)</f>
        <v>247417222.5</v>
      </c>
      <c r="I116" s="93"/>
      <c r="K116" s="93"/>
      <c r="L116" s="93"/>
      <c r="M116" s="93"/>
      <c r="N116" s="93"/>
    </row>
    <row r="119" spans="2:14" x14ac:dyDescent="0.25">
      <c r="F119" s="165"/>
      <c r="H119" s="165"/>
      <c r="I119" s="182"/>
    </row>
    <row r="121" spans="2:14" x14ac:dyDescent="0.25">
      <c r="I121" s="182"/>
    </row>
  </sheetData>
  <autoFilter ref="B5:AF116" xr:uid="{00000000-0009-0000-0000-000005000000}"/>
  <mergeCells count="8">
    <mergeCell ref="B2:C3"/>
    <mergeCell ref="K2:L3"/>
    <mergeCell ref="AE3:AF3"/>
    <mergeCell ref="V3:W3"/>
    <mergeCell ref="P3:Q3"/>
    <mergeCell ref="S3:T3"/>
    <mergeCell ref="Y3:Z3"/>
    <mergeCell ref="AB3:AC3"/>
  </mergeCells>
  <dataValidations count="3">
    <dataValidation type="list" allowBlank="1" showInputMessage="1" showErrorMessage="1" sqref="R53" xr:uid="{00000000-0002-0000-0500-000000000000}">
      <formula1>"tomas,paco,agustin"</formula1>
    </dataValidation>
    <dataValidation type="list" showDropDown="1" showInputMessage="1" showErrorMessage="1" sqref="I6:I115" xr:uid="{00000000-0002-0000-0500-000001000000}">
      <formula1>"Tomas, Paco, Agustin"</formula1>
    </dataValidation>
    <dataValidation type="list" allowBlank="1" showInputMessage="1" showErrorMessage="1" sqref="L6:M115" xr:uid="{00000000-0002-0000-0500-000002000000}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425"/>
  <sheetViews>
    <sheetView showGridLines="0" topLeftCell="A393" workbookViewId="0">
      <selection activeCell="B412" sqref="B412"/>
    </sheetView>
  </sheetViews>
  <sheetFormatPr baseColWidth="10" defaultRowHeight="15" x14ac:dyDescent="0.25"/>
  <cols>
    <col min="1" max="1" width="7.140625" customWidth="1"/>
    <col min="3" max="3" width="19.28515625" bestFit="1" customWidth="1"/>
    <col min="5" max="5" width="15.140625" bestFit="1" customWidth="1"/>
    <col min="7" max="7" width="12.5703125" bestFit="1" customWidth="1"/>
    <col min="8" max="8" width="15.140625" bestFit="1" customWidth="1"/>
    <col min="10" max="10" width="19.28515625" bestFit="1" customWidth="1"/>
    <col min="11" max="11" width="15.140625" style="147" bestFit="1" customWidth="1"/>
    <col min="15" max="15" width="13" bestFit="1" customWidth="1"/>
  </cols>
  <sheetData>
    <row r="1" spans="2:11" ht="5.25" customHeight="1" x14ac:dyDescent="0.25">
      <c r="B1" s="118"/>
      <c r="C1" s="118"/>
      <c r="D1" s="118"/>
      <c r="E1" s="118"/>
      <c r="F1" s="118"/>
      <c r="G1" s="118"/>
      <c r="H1" s="118"/>
      <c r="I1" s="118"/>
      <c r="J1" s="118"/>
      <c r="K1" s="146"/>
    </row>
    <row r="2" spans="2:11" ht="27" thickBot="1" x14ac:dyDescent="0.45">
      <c r="B2" s="35" t="s">
        <v>73</v>
      </c>
      <c r="C2" s="35"/>
    </row>
    <row r="3" spans="2:11" ht="15.75" thickBot="1" x14ac:dyDescent="0.3">
      <c r="H3" s="155">
        <f>SUBTOTAL(9,H5:H415)</f>
        <v>38775952.100000009</v>
      </c>
    </row>
    <row r="4" spans="2:11" x14ac:dyDescent="0.25">
      <c r="B4" s="117" t="s">
        <v>0</v>
      </c>
      <c r="C4" s="117" t="s">
        <v>72</v>
      </c>
      <c r="D4" s="117" t="s">
        <v>71</v>
      </c>
      <c r="E4" s="117" t="s">
        <v>70</v>
      </c>
      <c r="F4" s="117" t="s">
        <v>117</v>
      </c>
      <c r="G4" s="117" t="s">
        <v>70</v>
      </c>
      <c r="H4" s="117" t="s">
        <v>9</v>
      </c>
      <c r="J4" s="72" t="s">
        <v>69</v>
      </c>
      <c r="K4" s="148" t="s">
        <v>68</v>
      </c>
    </row>
    <row r="5" spans="2:11" x14ac:dyDescent="0.25">
      <c r="B5" s="188">
        <v>45912</v>
      </c>
      <c r="C5" s="70" t="s">
        <v>210</v>
      </c>
      <c r="D5" s="121">
        <v>1</v>
      </c>
      <c r="E5" s="84">
        <v>50000</v>
      </c>
      <c r="F5" s="215">
        <v>291</v>
      </c>
      <c r="G5" s="151">
        <v>543.29999999999995</v>
      </c>
      <c r="H5" s="84">
        <f>D5*E5+F5*G5</f>
        <v>208100.3</v>
      </c>
      <c r="J5" s="226" t="s">
        <v>257</v>
      </c>
      <c r="K5" s="227">
        <f>SUMIF(C5:C415,J5,H5:H415)</f>
        <v>300000</v>
      </c>
    </row>
    <row r="6" spans="2:11" x14ac:dyDescent="0.25">
      <c r="B6" s="188">
        <v>45913</v>
      </c>
      <c r="C6" s="70" t="s">
        <v>183</v>
      </c>
      <c r="D6" s="121">
        <v>1</v>
      </c>
      <c r="E6" s="84">
        <v>65000</v>
      </c>
      <c r="F6" s="215"/>
      <c r="G6" s="83"/>
      <c r="H6" s="84">
        <f t="shared" ref="H6:H72" si="0">D6*E6+F6*G6</f>
        <v>65000</v>
      </c>
      <c r="J6" s="226" t="s">
        <v>183</v>
      </c>
      <c r="K6" s="227">
        <f>SUMIF(C5:C415,J6,H5:H415)</f>
        <v>1870000</v>
      </c>
    </row>
    <row r="7" spans="2:11" x14ac:dyDescent="0.25">
      <c r="B7" s="188">
        <v>45913</v>
      </c>
      <c r="C7" s="70" t="s">
        <v>169</v>
      </c>
      <c r="D7" s="121">
        <v>1</v>
      </c>
      <c r="E7" s="84">
        <v>65000</v>
      </c>
      <c r="F7" s="215">
        <v>183</v>
      </c>
      <c r="G7" s="83">
        <v>557.70000000000005</v>
      </c>
      <c r="H7" s="84">
        <f>D7*E7+F7*G7</f>
        <v>167059.1</v>
      </c>
      <c r="I7" t="s">
        <v>4</v>
      </c>
      <c r="J7" s="226" t="s">
        <v>159</v>
      </c>
      <c r="K7" s="227">
        <f>SUMIF(C5:C415,J7,H5:H415)</f>
        <v>664521.5</v>
      </c>
    </row>
    <row r="8" spans="2:11" x14ac:dyDescent="0.25">
      <c r="B8" s="188">
        <v>45913</v>
      </c>
      <c r="C8" s="70" t="s">
        <v>257</v>
      </c>
      <c r="D8" s="121">
        <v>1</v>
      </c>
      <c r="E8" s="84">
        <v>50000</v>
      </c>
      <c r="F8" s="215"/>
      <c r="G8" s="168"/>
      <c r="H8" s="84">
        <f t="shared" si="0"/>
        <v>50000</v>
      </c>
      <c r="I8" t="s">
        <v>4</v>
      </c>
      <c r="J8" s="226" t="s">
        <v>258</v>
      </c>
      <c r="K8" s="227">
        <f>SUMIF(C5:C415,J8,H5:H415)</f>
        <v>400000</v>
      </c>
    </row>
    <row r="9" spans="2:11" x14ac:dyDescent="0.25">
      <c r="B9" s="188">
        <v>45914</v>
      </c>
      <c r="C9" s="70" t="s">
        <v>169</v>
      </c>
      <c r="D9" s="121">
        <v>1</v>
      </c>
      <c r="E9" s="84">
        <v>50000</v>
      </c>
      <c r="F9" s="215">
        <v>14</v>
      </c>
      <c r="G9" s="83">
        <v>557.70000000000005</v>
      </c>
      <c r="H9" s="84">
        <f>D9*E9+F9*G9</f>
        <v>57807.8</v>
      </c>
      <c r="J9" s="226" t="s">
        <v>197</v>
      </c>
      <c r="K9" s="227">
        <f>SUMIF(C5:C415,J9,H5:H415)</f>
        <v>3242500</v>
      </c>
    </row>
    <row r="10" spans="2:11" x14ac:dyDescent="0.25">
      <c r="B10" s="188">
        <v>45914</v>
      </c>
      <c r="C10" s="70" t="s">
        <v>258</v>
      </c>
      <c r="D10" s="121">
        <v>1</v>
      </c>
      <c r="E10" s="84">
        <v>50000</v>
      </c>
      <c r="F10" s="215"/>
      <c r="G10" s="84"/>
      <c r="H10" s="84">
        <f t="shared" si="0"/>
        <v>50000</v>
      </c>
      <c r="J10" s="226" t="s">
        <v>259</v>
      </c>
      <c r="K10" s="227">
        <f>SUMIF(C5:C415,J10,H5:H415)</f>
        <v>1413487.4</v>
      </c>
    </row>
    <row r="11" spans="2:11" x14ac:dyDescent="0.25">
      <c r="B11" s="188">
        <v>45914</v>
      </c>
      <c r="C11" s="70" t="s">
        <v>259</v>
      </c>
      <c r="D11" s="121">
        <v>1</v>
      </c>
      <c r="E11" s="84">
        <v>65000</v>
      </c>
      <c r="F11" s="215">
        <v>145</v>
      </c>
      <c r="G11" s="168">
        <v>633.85</v>
      </c>
      <c r="H11" s="84">
        <f t="shared" si="0"/>
        <v>156908.25</v>
      </c>
      <c r="J11" s="226" t="s">
        <v>320</v>
      </c>
      <c r="K11" s="227">
        <f>SUMIF(C5:C415,J11,H5:H415)</f>
        <v>150000</v>
      </c>
    </row>
    <row r="12" spans="2:11" x14ac:dyDescent="0.25">
      <c r="B12" s="188">
        <v>45915</v>
      </c>
      <c r="C12" s="70" t="s">
        <v>169</v>
      </c>
      <c r="D12" s="121">
        <v>1</v>
      </c>
      <c r="E12" s="84">
        <v>80000</v>
      </c>
      <c r="F12" s="215">
        <v>168</v>
      </c>
      <c r="G12" s="83">
        <v>557.70000000000005</v>
      </c>
      <c r="H12" s="84">
        <f>D12*E12+F12*G12</f>
        <v>173693.6</v>
      </c>
      <c r="J12" s="226" t="s">
        <v>261</v>
      </c>
      <c r="K12" s="227">
        <f>SUMIF(C5:C415,J12,H5:H415)</f>
        <v>465000</v>
      </c>
    </row>
    <row r="13" spans="2:11" x14ac:dyDescent="0.25">
      <c r="B13" s="188">
        <v>45915</v>
      </c>
      <c r="C13" s="70" t="s">
        <v>183</v>
      </c>
      <c r="D13" s="121">
        <v>1</v>
      </c>
      <c r="E13" s="84">
        <v>80000</v>
      </c>
      <c r="F13" s="215"/>
      <c r="G13" s="168"/>
      <c r="H13" s="84">
        <f t="shared" si="0"/>
        <v>80000</v>
      </c>
      <c r="J13" s="226" t="s">
        <v>198</v>
      </c>
      <c r="K13" s="227">
        <f>SUMIF(C5:C415,J13,H5:H415)</f>
        <v>1157500</v>
      </c>
    </row>
    <row r="14" spans="2:11" x14ac:dyDescent="0.25">
      <c r="B14" s="188">
        <v>45915</v>
      </c>
      <c r="C14" s="70" t="s">
        <v>198</v>
      </c>
      <c r="D14" s="121">
        <v>1</v>
      </c>
      <c r="E14" s="84">
        <v>80000</v>
      </c>
      <c r="F14" s="215"/>
      <c r="G14" s="84"/>
      <c r="H14" s="84">
        <f t="shared" si="0"/>
        <v>80000</v>
      </c>
      <c r="J14" s="226" t="s">
        <v>169</v>
      </c>
      <c r="K14" s="227">
        <f>SUMIF(C5:C415,J14,H5:H415)</f>
        <v>6572632.0999999987</v>
      </c>
    </row>
    <row r="15" spans="2:11" x14ac:dyDescent="0.25">
      <c r="B15" s="188">
        <v>45916</v>
      </c>
      <c r="C15" s="70" t="s">
        <v>169</v>
      </c>
      <c r="D15" s="121">
        <v>1</v>
      </c>
      <c r="E15" s="84">
        <v>65000</v>
      </c>
      <c r="F15" s="215">
        <v>395</v>
      </c>
      <c r="G15" s="83">
        <v>557.70000000000005</v>
      </c>
      <c r="H15" s="84">
        <f>D15*E15+F15*G15</f>
        <v>285291.5</v>
      </c>
      <c r="J15" s="226" t="s">
        <v>274</v>
      </c>
      <c r="K15" s="227">
        <f>SUMIF(C5:C415,J15,H5:H415)</f>
        <v>1975000</v>
      </c>
    </row>
    <row r="16" spans="2:11" x14ac:dyDescent="0.25">
      <c r="B16" s="188">
        <v>45916</v>
      </c>
      <c r="C16" s="70" t="s">
        <v>183</v>
      </c>
      <c r="D16" s="121">
        <v>1</v>
      </c>
      <c r="E16" s="84">
        <v>65000</v>
      </c>
      <c r="F16" s="215"/>
      <c r="G16" s="168"/>
      <c r="H16" s="84">
        <f t="shared" ref="H16:H23" si="1">D16*E16+F16*G16</f>
        <v>65000</v>
      </c>
      <c r="J16" s="226" t="s">
        <v>260</v>
      </c>
      <c r="K16" s="227">
        <f>SUMIF(C5:C415,J16,H5:H415)</f>
        <v>800000</v>
      </c>
    </row>
    <row r="17" spans="2:11" x14ac:dyDescent="0.25">
      <c r="B17" s="188">
        <v>45916</v>
      </c>
      <c r="C17" s="70" t="s">
        <v>198</v>
      </c>
      <c r="D17" s="121">
        <v>1</v>
      </c>
      <c r="E17" s="84">
        <v>65000</v>
      </c>
      <c r="F17" s="215"/>
      <c r="G17" s="168"/>
      <c r="H17" s="84">
        <f t="shared" si="1"/>
        <v>65000</v>
      </c>
      <c r="J17" s="226" t="s">
        <v>297</v>
      </c>
      <c r="K17" s="227">
        <f>SUMIF(C5:C415,J17,H5:H415)</f>
        <v>150000</v>
      </c>
    </row>
    <row r="18" spans="2:11" x14ac:dyDescent="0.25">
      <c r="B18" s="188">
        <v>45916</v>
      </c>
      <c r="C18" s="70" t="s">
        <v>274</v>
      </c>
      <c r="D18" s="121">
        <v>1</v>
      </c>
      <c r="E18" s="84">
        <v>50000</v>
      </c>
      <c r="F18" s="215"/>
      <c r="G18" s="84"/>
      <c r="H18" s="84">
        <f t="shared" si="1"/>
        <v>50000</v>
      </c>
      <c r="J18" s="226" t="s">
        <v>287</v>
      </c>
      <c r="K18" s="227">
        <f>SUMIF(C5:C415,J18,H5:H415)</f>
        <v>125000</v>
      </c>
    </row>
    <row r="19" spans="2:11" x14ac:dyDescent="0.25">
      <c r="B19" s="188">
        <v>45916</v>
      </c>
      <c r="C19" s="70" t="s">
        <v>260</v>
      </c>
      <c r="D19" s="121">
        <v>1</v>
      </c>
      <c r="E19" s="84">
        <v>50000</v>
      </c>
      <c r="F19" s="215"/>
      <c r="G19" s="84"/>
      <c r="H19" s="84">
        <f t="shared" si="1"/>
        <v>50000</v>
      </c>
      <c r="I19" t="s">
        <v>4</v>
      </c>
      <c r="J19" s="226" t="s">
        <v>210</v>
      </c>
      <c r="K19" s="227">
        <f>SUMIF(C5:C415,J19,H5:H415)</f>
        <v>2191918.1999999997</v>
      </c>
    </row>
    <row r="20" spans="2:11" x14ac:dyDescent="0.25">
      <c r="B20" s="188">
        <v>45916</v>
      </c>
      <c r="C20" s="70" t="s">
        <v>261</v>
      </c>
      <c r="D20" s="121">
        <v>1</v>
      </c>
      <c r="E20" s="84">
        <v>50000</v>
      </c>
      <c r="F20" s="215">
        <v>1</v>
      </c>
      <c r="G20" s="84">
        <v>65000</v>
      </c>
      <c r="H20" s="84">
        <f t="shared" si="1"/>
        <v>115000</v>
      </c>
      <c r="J20" s="226" t="s">
        <v>310</v>
      </c>
      <c r="K20" s="227">
        <f>SUMIF(C5:C415,J20,H5:H415)</f>
        <v>13139850.299999997</v>
      </c>
    </row>
    <row r="21" spans="2:11" x14ac:dyDescent="0.25">
      <c r="B21" s="188">
        <v>45917</v>
      </c>
      <c r="C21" s="70" t="s">
        <v>169</v>
      </c>
      <c r="D21" s="121">
        <v>1</v>
      </c>
      <c r="E21" s="84">
        <v>50000</v>
      </c>
      <c r="F21" s="215">
        <v>0</v>
      </c>
      <c r="G21" s="83">
        <v>557.70000000000005</v>
      </c>
      <c r="H21" s="84">
        <f>D21*E21+F21*G21</f>
        <v>50000</v>
      </c>
      <c r="J21" s="226" t="s">
        <v>421</v>
      </c>
      <c r="K21" s="227">
        <f>SUMIF(C5:C415,J21,H5:H415)</f>
        <v>50000</v>
      </c>
    </row>
    <row r="22" spans="2:11" x14ac:dyDescent="0.25">
      <c r="B22" s="188">
        <v>45917</v>
      </c>
      <c r="C22" s="70" t="s">
        <v>183</v>
      </c>
      <c r="D22" s="121">
        <v>1</v>
      </c>
      <c r="E22" s="84">
        <v>50000</v>
      </c>
      <c r="F22" s="215"/>
      <c r="G22" s="168"/>
      <c r="H22" s="84">
        <f t="shared" si="1"/>
        <v>50000</v>
      </c>
      <c r="J22" s="226" t="s">
        <v>298</v>
      </c>
      <c r="K22" s="227">
        <f>SUMIF(C6:C416,J22,H6:H416)</f>
        <v>428624</v>
      </c>
    </row>
    <row r="23" spans="2:11" x14ac:dyDescent="0.25">
      <c r="B23" s="188">
        <v>45917</v>
      </c>
      <c r="C23" s="70" t="s">
        <v>258</v>
      </c>
      <c r="D23" s="121">
        <v>1</v>
      </c>
      <c r="E23" s="84">
        <v>50000</v>
      </c>
      <c r="F23" s="215"/>
      <c r="G23" s="84"/>
      <c r="H23" s="84">
        <f t="shared" si="1"/>
        <v>50000</v>
      </c>
      <c r="J23" s="226" t="s">
        <v>345</v>
      </c>
      <c r="K23" s="227">
        <f>SUMIF(C7:C417,J23,H7:H417)</f>
        <v>1429918.6</v>
      </c>
    </row>
    <row r="24" spans="2:11" x14ac:dyDescent="0.25">
      <c r="B24" s="188">
        <v>45917</v>
      </c>
      <c r="C24" s="70" t="s">
        <v>274</v>
      </c>
      <c r="D24" s="121">
        <v>1</v>
      </c>
      <c r="E24" s="84">
        <v>50000</v>
      </c>
      <c r="F24" s="215"/>
      <c r="G24" s="84"/>
      <c r="H24" s="84">
        <f t="shared" si="0"/>
        <v>50000</v>
      </c>
      <c r="J24" s="226" t="s">
        <v>330</v>
      </c>
      <c r="K24" s="227">
        <f>SUMIF(C8:C418,J24,H8:H418)</f>
        <v>300000</v>
      </c>
    </row>
    <row r="25" spans="2:11" x14ac:dyDescent="0.25">
      <c r="B25" s="188">
        <v>45917</v>
      </c>
      <c r="C25" s="70" t="s">
        <v>260</v>
      </c>
      <c r="D25" s="121">
        <v>1</v>
      </c>
      <c r="E25" s="84">
        <v>50000</v>
      </c>
      <c r="F25" s="215"/>
      <c r="G25" s="84"/>
      <c r="H25" s="84">
        <f t="shared" si="0"/>
        <v>50000</v>
      </c>
      <c r="J25" s="226" t="s">
        <v>288</v>
      </c>
      <c r="K25" s="227">
        <f>SUMIF(C9:C419,J25,H9:H419)</f>
        <v>125000</v>
      </c>
    </row>
    <row r="26" spans="2:11" x14ac:dyDescent="0.25">
      <c r="B26" s="188">
        <v>45917</v>
      </c>
      <c r="C26" s="70" t="s">
        <v>261</v>
      </c>
      <c r="D26" s="121">
        <v>1</v>
      </c>
      <c r="E26" s="84">
        <v>50000</v>
      </c>
      <c r="F26" s="215"/>
      <c r="G26" s="84"/>
      <c r="H26" s="84">
        <f t="shared" si="0"/>
        <v>50000</v>
      </c>
      <c r="J26" s="226" t="s">
        <v>362</v>
      </c>
      <c r="K26" s="227">
        <f>SUMIF(C5:C415,J26,H5:H415)</f>
        <v>550000</v>
      </c>
    </row>
    <row r="27" spans="2:11" x14ac:dyDescent="0.25">
      <c r="B27" s="188">
        <v>45918</v>
      </c>
      <c r="C27" s="70" t="s">
        <v>169</v>
      </c>
      <c r="D27" s="121">
        <v>0.5</v>
      </c>
      <c r="E27" s="84">
        <v>50000</v>
      </c>
      <c r="F27" s="215">
        <v>35</v>
      </c>
      <c r="G27" s="83">
        <v>557.70000000000005</v>
      </c>
      <c r="H27" s="84">
        <f>D27*E27+F27*G27</f>
        <v>44519.5</v>
      </c>
      <c r="J27" s="226" t="s">
        <v>363</v>
      </c>
      <c r="K27" s="228">
        <f>SUMIF(C5:C415,J27,H5:H415)</f>
        <v>725000</v>
      </c>
    </row>
    <row r="28" spans="2:11" x14ac:dyDescent="0.25">
      <c r="B28" s="188">
        <v>45918</v>
      </c>
      <c r="C28" s="70" t="s">
        <v>183</v>
      </c>
      <c r="D28" s="121">
        <v>1</v>
      </c>
      <c r="E28" s="84">
        <v>50000</v>
      </c>
      <c r="F28" s="215"/>
      <c r="G28" s="84"/>
      <c r="H28" s="84">
        <f t="shared" si="0"/>
        <v>50000</v>
      </c>
      <c r="J28" s="226" t="s">
        <v>364</v>
      </c>
      <c r="K28" s="228">
        <f>SUMIF(C5:C415,J28,H5:H415)</f>
        <v>250000</v>
      </c>
    </row>
    <row r="29" spans="2:11" x14ac:dyDescent="0.25">
      <c r="B29" s="188">
        <v>45918</v>
      </c>
      <c r="C29" s="70" t="s">
        <v>258</v>
      </c>
      <c r="D29" s="121">
        <v>1</v>
      </c>
      <c r="E29" s="84">
        <v>50000</v>
      </c>
      <c r="F29" s="215"/>
      <c r="G29" s="84"/>
      <c r="H29" s="84">
        <f t="shared" si="0"/>
        <v>50000</v>
      </c>
    </row>
    <row r="30" spans="2:11" x14ac:dyDescent="0.25">
      <c r="B30" s="188">
        <v>45918</v>
      </c>
      <c r="C30" s="70" t="s">
        <v>274</v>
      </c>
      <c r="D30" s="121">
        <v>1</v>
      </c>
      <c r="E30" s="84">
        <v>50000</v>
      </c>
      <c r="F30" s="215"/>
      <c r="G30" s="84"/>
      <c r="H30" s="84">
        <f t="shared" si="0"/>
        <v>50000</v>
      </c>
      <c r="K30" s="147" t="s">
        <v>4</v>
      </c>
    </row>
    <row r="31" spans="2:11" x14ac:dyDescent="0.25">
      <c r="B31" s="188">
        <v>45918</v>
      </c>
      <c r="C31" s="70" t="s">
        <v>260</v>
      </c>
      <c r="D31" s="121">
        <v>1</v>
      </c>
      <c r="E31" s="84">
        <v>50000</v>
      </c>
      <c r="F31" s="215"/>
      <c r="G31" s="84"/>
      <c r="H31" s="84">
        <f t="shared" si="0"/>
        <v>50000</v>
      </c>
      <c r="J31" t="s">
        <v>4</v>
      </c>
    </row>
    <row r="32" spans="2:11" x14ac:dyDescent="0.25">
      <c r="B32" s="188">
        <v>45918</v>
      </c>
      <c r="C32" s="70" t="s">
        <v>261</v>
      </c>
      <c r="D32" s="121">
        <v>1</v>
      </c>
      <c r="E32" s="84">
        <v>50000</v>
      </c>
      <c r="F32" s="215"/>
      <c r="G32" s="168"/>
      <c r="H32" s="84">
        <f t="shared" si="0"/>
        <v>50000</v>
      </c>
      <c r="J32" t="s">
        <v>4</v>
      </c>
    </row>
    <row r="33" spans="2:11" x14ac:dyDescent="0.25">
      <c r="B33" s="188">
        <v>45918</v>
      </c>
      <c r="C33" s="70" t="s">
        <v>159</v>
      </c>
      <c r="D33" s="121">
        <v>1</v>
      </c>
      <c r="E33" s="84">
        <v>50000</v>
      </c>
      <c r="F33" s="215">
        <v>240</v>
      </c>
      <c r="G33" s="168">
        <v>543.29999999999995</v>
      </c>
      <c r="H33" s="84">
        <f t="shared" si="0"/>
        <v>180392</v>
      </c>
    </row>
    <row r="34" spans="2:11" x14ac:dyDescent="0.25">
      <c r="B34" s="188">
        <v>45922</v>
      </c>
      <c r="C34" s="70" t="s">
        <v>274</v>
      </c>
      <c r="D34" s="121">
        <v>1</v>
      </c>
      <c r="E34" s="84">
        <v>50000</v>
      </c>
      <c r="F34" s="215"/>
      <c r="G34" s="84"/>
      <c r="H34" s="84">
        <f t="shared" si="0"/>
        <v>50000</v>
      </c>
    </row>
    <row r="35" spans="2:11" x14ac:dyDescent="0.25">
      <c r="B35" s="188">
        <v>45922</v>
      </c>
      <c r="C35" s="70" t="s">
        <v>260</v>
      </c>
      <c r="D35" s="121">
        <v>1</v>
      </c>
      <c r="E35" s="84">
        <v>50000</v>
      </c>
      <c r="F35" s="215"/>
      <c r="G35" s="84"/>
      <c r="H35" s="84">
        <f t="shared" si="0"/>
        <v>50000</v>
      </c>
      <c r="J35" t="s">
        <v>4</v>
      </c>
    </row>
    <row r="36" spans="2:11" x14ac:dyDescent="0.25">
      <c r="B36" s="188">
        <v>45922</v>
      </c>
      <c r="C36" s="70" t="s">
        <v>261</v>
      </c>
      <c r="D36" s="121">
        <v>1</v>
      </c>
      <c r="E36" s="84">
        <v>50000</v>
      </c>
      <c r="F36" s="215"/>
      <c r="G36" s="168"/>
      <c r="H36" s="84">
        <f t="shared" si="0"/>
        <v>50000</v>
      </c>
      <c r="J36" t="s">
        <v>4</v>
      </c>
    </row>
    <row r="37" spans="2:11" x14ac:dyDescent="0.25">
      <c r="B37" s="188">
        <v>45922</v>
      </c>
      <c r="C37" s="70" t="s">
        <v>287</v>
      </c>
      <c r="D37" s="121">
        <v>0.5</v>
      </c>
      <c r="E37" s="84">
        <v>50000</v>
      </c>
      <c r="F37" s="215"/>
      <c r="G37" s="84"/>
      <c r="H37" s="84">
        <f t="shared" si="0"/>
        <v>25000</v>
      </c>
    </row>
    <row r="38" spans="2:11" x14ac:dyDescent="0.25">
      <c r="B38" s="188">
        <v>45922</v>
      </c>
      <c r="C38" s="70" t="s">
        <v>288</v>
      </c>
      <c r="D38" s="121">
        <v>0.5</v>
      </c>
      <c r="E38" s="84">
        <v>50000</v>
      </c>
      <c r="F38" s="215"/>
      <c r="G38" s="168"/>
      <c r="H38" s="84">
        <f t="shared" si="0"/>
        <v>25000</v>
      </c>
    </row>
    <row r="39" spans="2:11" x14ac:dyDescent="0.25">
      <c r="B39" s="188">
        <v>45923</v>
      </c>
      <c r="C39" s="70" t="s">
        <v>274</v>
      </c>
      <c r="D39" s="121">
        <v>1</v>
      </c>
      <c r="E39" s="84">
        <v>50000</v>
      </c>
      <c r="F39" s="215"/>
      <c r="G39" s="168"/>
      <c r="H39" s="84">
        <f t="shared" si="0"/>
        <v>50000</v>
      </c>
    </row>
    <row r="40" spans="2:11" x14ac:dyDescent="0.25">
      <c r="B40" s="188">
        <v>45923</v>
      </c>
      <c r="C40" s="70" t="s">
        <v>260</v>
      </c>
      <c r="D40" s="121">
        <v>1</v>
      </c>
      <c r="E40" s="84">
        <v>50000</v>
      </c>
      <c r="F40" s="215"/>
      <c r="G40" s="84"/>
      <c r="H40" s="84">
        <f t="shared" si="0"/>
        <v>50000</v>
      </c>
    </row>
    <row r="41" spans="2:11" x14ac:dyDescent="0.25">
      <c r="B41" s="188">
        <v>45923</v>
      </c>
      <c r="C41" s="70" t="s">
        <v>261</v>
      </c>
      <c r="D41" s="121">
        <v>1</v>
      </c>
      <c r="E41" s="84">
        <v>50000</v>
      </c>
      <c r="F41" s="215"/>
      <c r="G41" s="168"/>
      <c r="H41" s="84">
        <f t="shared" si="0"/>
        <v>50000</v>
      </c>
    </row>
    <row r="42" spans="2:11" x14ac:dyDescent="0.25">
      <c r="B42" s="188">
        <v>45923</v>
      </c>
      <c r="C42" s="70" t="s">
        <v>287</v>
      </c>
      <c r="D42" s="121">
        <v>1</v>
      </c>
      <c r="E42" s="84">
        <v>50000</v>
      </c>
      <c r="F42" s="215"/>
      <c r="G42" s="168"/>
      <c r="H42" s="84">
        <f t="shared" si="0"/>
        <v>50000</v>
      </c>
    </row>
    <row r="43" spans="2:11" x14ac:dyDescent="0.25">
      <c r="B43" s="188">
        <v>45923</v>
      </c>
      <c r="C43" s="70" t="s">
        <v>288</v>
      </c>
      <c r="D43" s="121">
        <v>1</v>
      </c>
      <c r="E43" s="84">
        <v>50000</v>
      </c>
      <c r="F43" s="215"/>
      <c r="G43" s="168"/>
      <c r="H43" s="84">
        <f t="shared" si="0"/>
        <v>50000</v>
      </c>
      <c r="K43" s="147" t="s">
        <v>4</v>
      </c>
    </row>
    <row r="44" spans="2:11" x14ac:dyDescent="0.25">
      <c r="B44" s="188">
        <v>45923</v>
      </c>
      <c r="C44" s="70" t="s">
        <v>169</v>
      </c>
      <c r="D44" s="121">
        <v>1</v>
      </c>
      <c r="E44" s="84">
        <v>50000</v>
      </c>
      <c r="F44" s="215">
        <v>0</v>
      </c>
      <c r="G44" s="83">
        <v>557.70000000000005</v>
      </c>
      <c r="H44" s="84">
        <f>D44*E44+F44*G44</f>
        <v>50000</v>
      </c>
    </row>
    <row r="45" spans="2:11" x14ac:dyDescent="0.25">
      <c r="B45" s="188">
        <v>45923</v>
      </c>
      <c r="C45" s="70" t="s">
        <v>183</v>
      </c>
      <c r="D45" s="121">
        <v>1</v>
      </c>
      <c r="E45" s="84">
        <v>50000</v>
      </c>
      <c r="F45" s="215"/>
      <c r="G45" s="168"/>
      <c r="H45" s="84">
        <f t="shared" si="0"/>
        <v>50000</v>
      </c>
    </row>
    <row r="46" spans="2:11" x14ac:dyDescent="0.25">
      <c r="B46" s="188">
        <v>45923</v>
      </c>
      <c r="C46" s="70" t="s">
        <v>198</v>
      </c>
      <c r="D46" s="121">
        <v>1</v>
      </c>
      <c r="E46" s="84">
        <v>50000</v>
      </c>
      <c r="F46" s="215"/>
      <c r="G46" s="168"/>
      <c r="H46" s="84">
        <f t="shared" si="0"/>
        <v>50000</v>
      </c>
    </row>
    <row r="47" spans="2:11" x14ac:dyDescent="0.25">
      <c r="B47" s="188">
        <v>45924</v>
      </c>
      <c r="C47" s="70" t="s">
        <v>169</v>
      </c>
      <c r="D47" s="121">
        <v>1</v>
      </c>
      <c r="E47" s="84">
        <v>50000</v>
      </c>
      <c r="F47" s="215">
        <v>385</v>
      </c>
      <c r="G47" s="83">
        <v>557.70000000000005</v>
      </c>
      <c r="H47" s="84">
        <f>D47*E47+F47*G47</f>
        <v>264714.5</v>
      </c>
    </row>
    <row r="48" spans="2:11" x14ac:dyDescent="0.25">
      <c r="B48" s="188">
        <v>45924</v>
      </c>
      <c r="C48" s="70" t="s">
        <v>183</v>
      </c>
      <c r="D48" s="121">
        <v>1</v>
      </c>
      <c r="E48" s="84">
        <v>50000</v>
      </c>
      <c r="F48" s="215"/>
      <c r="G48" s="168"/>
      <c r="H48" s="84">
        <f t="shared" si="0"/>
        <v>50000</v>
      </c>
    </row>
    <row r="49" spans="2:9" x14ac:dyDescent="0.25">
      <c r="B49" s="188">
        <v>45924</v>
      </c>
      <c r="C49" s="70" t="s">
        <v>198</v>
      </c>
      <c r="D49" s="121">
        <v>1</v>
      </c>
      <c r="E49" s="84">
        <v>50000</v>
      </c>
      <c r="F49" s="215"/>
      <c r="G49" s="168"/>
      <c r="H49" s="84">
        <f t="shared" si="0"/>
        <v>50000</v>
      </c>
    </row>
    <row r="50" spans="2:9" x14ac:dyDescent="0.25">
      <c r="B50" s="188">
        <v>45924</v>
      </c>
      <c r="C50" s="70" t="s">
        <v>274</v>
      </c>
      <c r="D50" s="121">
        <v>1</v>
      </c>
      <c r="E50" s="84">
        <v>50000</v>
      </c>
      <c r="F50" s="215"/>
      <c r="G50" s="168"/>
      <c r="H50" s="84">
        <f t="shared" si="0"/>
        <v>50000</v>
      </c>
    </row>
    <row r="51" spans="2:9" x14ac:dyDescent="0.25">
      <c r="B51" s="188">
        <v>45924</v>
      </c>
      <c r="C51" s="70" t="s">
        <v>260</v>
      </c>
      <c r="D51" s="121">
        <v>1</v>
      </c>
      <c r="E51" s="84">
        <v>50000</v>
      </c>
      <c r="F51" s="215"/>
      <c r="G51" s="168"/>
      <c r="H51" s="84">
        <f t="shared" si="0"/>
        <v>50000</v>
      </c>
      <c r="I51" t="s">
        <v>4</v>
      </c>
    </row>
    <row r="52" spans="2:9" x14ac:dyDescent="0.25">
      <c r="B52" s="188">
        <v>45924</v>
      </c>
      <c r="C52" s="70" t="s">
        <v>261</v>
      </c>
      <c r="D52" s="121">
        <v>1</v>
      </c>
      <c r="E52" s="84">
        <v>50000</v>
      </c>
      <c r="F52" s="215"/>
      <c r="G52" s="168"/>
      <c r="H52" s="84">
        <f t="shared" si="0"/>
        <v>50000</v>
      </c>
    </row>
    <row r="53" spans="2:9" x14ac:dyDescent="0.25">
      <c r="B53" s="188">
        <v>45924</v>
      </c>
      <c r="C53" s="70" t="s">
        <v>287</v>
      </c>
      <c r="D53" s="121">
        <v>1</v>
      </c>
      <c r="E53" s="84">
        <v>50000</v>
      </c>
      <c r="F53" s="215"/>
      <c r="G53" s="168"/>
      <c r="H53" s="84">
        <f t="shared" si="0"/>
        <v>50000</v>
      </c>
    </row>
    <row r="54" spans="2:9" x14ac:dyDescent="0.25">
      <c r="B54" s="188">
        <v>45924</v>
      </c>
      <c r="C54" s="70" t="s">
        <v>288</v>
      </c>
      <c r="D54" s="121">
        <v>1</v>
      </c>
      <c r="E54" s="84">
        <v>50000</v>
      </c>
      <c r="F54" s="215"/>
      <c r="G54" s="168"/>
      <c r="H54" s="84">
        <f t="shared" si="0"/>
        <v>50000</v>
      </c>
    </row>
    <row r="55" spans="2:9" x14ac:dyDescent="0.25">
      <c r="B55" s="188">
        <v>45925</v>
      </c>
      <c r="C55" s="70" t="s">
        <v>159</v>
      </c>
      <c r="D55" s="121">
        <v>1</v>
      </c>
      <c r="E55" s="84">
        <v>50000</v>
      </c>
      <c r="F55" s="215">
        <v>230</v>
      </c>
      <c r="G55" s="168">
        <v>543.29999999999995</v>
      </c>
      <c r="H55" s="84">
        <f t="shared" si="0"/>
        <v>174959</v>
      </c>
    </row>
    <row r="56" spans="2:9" x14ac:dyDescent="0.25">
      <c r="B56" s="188">
        <v>45925</v>
      </c>
      <c r="C56" s="70" t="s">
        <v>210</v>
      </c>
      <c r="D56" s="121">
        <v>1</v>
      </c>
      <c r="E56" s="84">
        <v>50000</v>
      </c>
      <c r="F56" s="215">
        <v>88</v>
      </c>
      <c r="G56" s="151">
        <v>543.29999999999995</v>
      </c>
      <c r="H56" s="84">
        <f t="shared" si="0"/>
        <v>97810.4</v>
      </c>
    </row>
    <row r="57" spans="2:9" x14ac:dyDescent="0.25">
      <c r="B57" s="188">
        <v>45925</v>
      </c>
      <c r="C57" s="70" t="s">
        <v>169</v>
      </c>
      <c r="D57" s="121">
        <v>1</v>
      </c>
      <c r="E57" s="84">
        <v>65000</v>
      </c>
      <c r="F57" s="215">
        <v>0</v>
      </c>
      <c r="G57" s="83">
        <v>557.70000000000005</v>
      </c>
      <c r="H57" s="84">
        <f>D57*E57+F57*G57</f>
        <v>65000</v>
      </c>
    </row>
    <row r="58" spans="2:9" x14ac:dyDescent="0.25">
      <c r="B58" s="188">
        <v>45925</v>
      </c>
      <c r="C58" s="70" t="s">
        <v>198</v>
      </c>
      <c r="D58" s="121">
        <v>1</v>
      </c>
      <c r="E58" s="84">
        <v>70000</v>
      </c>
      <c r="F58" s="215"/>
      <c r="G58" s="168"/>
      <c r="H58" s="84">
        <f t="shared" si="0"/>
        <v>70000</v>
      </c>
    </row>
    <row r="59" spans="2:9" x14ac:dyDescent="0.25">
      <c r="B59" s="188">
        <v>45925</v>
      </c>
      <c r="C59" s="70" t="s">
        <v>297</v>
      </c>
      <c r="D59" s="121">
        <v>1</v>
      </c>
      <c r="E59" s="84">
        <v>50000</v>
      </c>
      <c r="F59" s="215"/>
      <c r="G59" s="168"/>
      <c r="H59" s="84">
        <f t="shared" si="0"/>
        <v>50000</v>
      </c>
    </row>
    <row r="60" spans="2:9" x14ac:dyDescent="0.25">
      <c r="B60" s="188">
        <v>45925</v>
      </c>
      <c r="C60" s="70" t="s">
        <v>298</v>
      </c>
      <c r="D60" s="121">
        <v>1</v>
      </c>
      <c r="E60" s="84">
        <v>50000</v>
      </c>
      <c r="F60" s="215"/>
      <c r="G60" s="168"/>
      <c r="H60" s="84">
        <f t="shared" si="0"/>
        <v>50000</v>
      </c>
    </row>
    <row r="61" spans="2:9" x14ac:dyDescent="0.25">
      <c r="B61" s="188">
        <v>45925</v>
      </c>
      <c r="C61" s="70" t="s">
        <v>183</v>
      </c>
      <c r="D61" s="121">
        <v>1</v>
      </c>
      <c r="E61" s="84">
        <v>50000</v>
      </c>
      <c r="F61" s="215"/>
      <c r="G61" s="168"/>
      <c r="H61" s="84">
        <f t="shared" si="0"/>
        <v>50000</v>
      </c>
    </row>
    <row r="62" spans="2:9" x14ac:dyDescent="0.25">
      <c r="B62" s="188">
        <v>45925</v>
      </c>
      <c r="C62" s="70" t="s">
        <v>274</v>
      </c>
      <c r="D62" s="121">
        <v>1</v>
      </c>
      <c r="E62" s="84">
        <v>50000</v>
      </c>
      <c r="F62" s="215"/>
      <c r="G62" s="168"/>
      <c r="H62" s="84">
        <f t="shared" si="0"/>
        <v>50000</v>
      </c>
    </row>
    <row r="63" spans="2:9" x14ac:dyDescent="0.25">
      <c r="B63" s="188">
        <v>45925</v>
      </c>
      <c r="C63" s="70" t="s">
        <v>260</v>
      </c>
      <c r="D63" s="121">
        <v>1</v>
      </c>
      <c r="E63" s="84">
        <v>50000</v>
      </c>
      <c r="F63" s="215"/>
      <c r="G63" s="168"/>
      <c r="H63" s="84">
        <f t="shared" si="0"/>
        <v>50000</v>
      </c>
    </row>
    <row r="64" spans="2:9" x14ac:dyDescent="0.25">
      <c r="B64" s="188">
        <v>45925</v>
      </c>
      <c r="C64" s="70" t="s">
        <v>261</v>
      </c>
      <c r="D64" s="121">
        <v>1</v>
      </c>
      <c r="E64" s="84">
        <v>50000</v>
      </c>
      <c r="F64" s="215"/>
      <c r="G64" s="168"/>
      <c r="H64" s="84">
        <f t="shared" si="0"/>
        <v>50000</v>
      </c>
    </row>
    <row r="65" spans="2:8" x14ac:dyDescent="0.25">
      <c r="B65" s="188">
        <v>45926</v>
      </c>
      <c r="C65" s="70" t="s">
        <v>274</v>
      </c>
      <c r="D65" s="121">
        <v>1</v>
      </c>
      <c r="E65" s="84">
        <v>50000</v>
      </c>
      <c r="F65" s="215"/>
      <c r="G65" s="168"/>
      <c r="H65" s="84">
        <f t="shared" si="0"/>
        <v>50000</v>
      </c>
    </row>
    <row r="66" spans="2:8" x14ac:dyDescent="0.25">
      <c r="B66" s="188">
        <v>45926</v>
      </c>
      <c r="C66" s="70" t="s">
        <v>260</v>
      </c>
      <c r="D66" s="121">
        <v>1</v>
      </c>
      <c r="E66" s="84">
        <v>50000</v>
      </c>
      <c r="F66" s="215"/>
      <c r="G66" s="168"/>
      <c r="H66" s="84">
        <f t="shared" si="0"/>
        <v>50000</v>
      </c>
    </row>
    <row r="67" spans="2:8" x14ac:dyDescent="0.25">
      <c r="B67" s="188">
        <v>45926</v>
      </c>
      <c r="C67" s="70" t="s">
        <v>261</v>
      </c>
      <c r="D67" s="121">
        <v>1</v>
      </c>
      <c r="E67" s="84">
        <v>50000</v>
      </c>
      <c r="F67" s="215"/>
      <c r="G67" s="168"/>
      <c r="H67" s="84">
        <f t="shared" si="0"/>
        <v>50000</v>
      </c>
    </row>
    <row r="68" spans="2:8" x14ac:dyDescent="0.25">
      <c r="B68" s="188">
        <v>45926</v>
      </c>
      <c r="C68" s="70" t="s">
        <v>259</v>
      </c>
      <c r="D68" s="121">
        <v>1</v>
      </c>
      <c r="E68" s="84">
        <v>65000</v>
      </c>
      <c r="F68" s="215">
        <v>90</v>
      </c>
      <c r="G68" s="168">
        <v>633.85</v>
      </c>
      <c r="H68" s="84">
        <f t="shared" si="0"/>
        <v>122046.5</v>
      </c>
    </row>
    <row r="69" spans="2:8" x14ac:dyDescent="0.25">
      <c r="B69" s="188">
        <v>45926</v>
      </c>
      <c r="C69" s="70" t="s">
        <v>183</v>
      </c>
      <c r="D69" s="121">
        <v>1</v>
      </c>
      <c r="E69" s="84">
        <v>65000</v>
      </c>
      <c r="F69" s="215"/>
      <c r="G69" s="168"/>
      <c r="H69" s="84">
        <f t="shared" si="0"/>
        <v>65000</v>
      </c>
    </row>
    <row r="70" spans="2:8" x14ac:dyDescent="0.25">
      <c r="B70" s="188">
        <v>45926</v>
      </c>
      <c r="C70" s="70" t="s">
        <v>258</v>
      </c>
      <c r="D70" s="121">
        <v>1</v>
      </c>
      <c r="E70" s="84">
        <v>50000</v>
      </c>
      <c r="F70" s="215"/>
      <c r="G70" s="168"/>
      <c r="H70" s="84">
        <f t="shared" si="0"/>
        <v>50000</v>
      </c>
    </row>
    <row r="71" spans="2:8" x14ac:dyDescent="0.25">
      <c r="B71" s="188">
        <v>45926</v>
      </c>
      <c r="C71" s="70" t="s">
        <v>298</v>
      </c>
      <c r="D71" s="121">
        <v>1</v>
      </c>
      <c r="E71" s="84">
        <v>50000</v>
      </c>
      <c r="F71" s="215"/>
      <c r="G71" s="168"/>
      <c r="H71" s="84">
        <f t="shared" si="0"/>
        <v>50000</v>
      </c>
    </row>
    <row r="72" spans="2:8" x14ac:dyDescent="0.25">
      <c r="B72" s="188">
        <v>45926</v>
      </c>
      <c r="C72" s="70" t="s">
        <v>210</v>
      </c>
      <c r="D72" s="121">
        <v>1</v>
      </c>
      <c r="E72" s="84">
        <v>50000</v>
      </c>
      <c r="F72" s="215">
        <v>0</v>
      </c>
      <c r="G72" s="151">
        <v>543.29999999999995</v>
      </c>
      <c r="H72" s="84">
        <f t="shared" si="0"/>
        <v>50000</v>
      </c>
    </row>
    <row r="73" spans="2:8" x14ac:dyDescent="0.25">
      <c r="B73" s="188">
        <v>45929</v>
      </c>
      <c r="C73" s="70" t="s">
        <v>274</v>
      </c>
      <c r="D73" s="121">
        <v>1</v>
      </c>
      <c r="E73" s="84">
        <v>50000</v>
      </c>
      <c r="F73" s="215"/>
      <c r="G73" s="168"/>
      <c r="H73" s="84">
        <f t="shared" ref="H73:H126" si="2">D73*E73+F73*G73</f>
        <v>50000</v>
      </c>
    </row>
    <row r="74" spans="2:8" x14ac:dyDescent="0.25">
      <c r="B74" s="188">
        <v>45929</v>
      </c>
      <c r="C74" s="70" t="s">
        <v>260</v>
      </c>
      <c r="D74" s="121">
        <v>1</v>
      </c>
      <c r="E74" s="84">
        <v>50000</v>
      </c>
      <c r="F74" s="215"/>
      <c r="G74" s="168"/>
      <c r="H74" s="84">
        <f t="shared" si="2"/>
        <v>50000</v>
      </c>
    </row>
    <row r="75" spans="2:8" x14ac:dyDescent="0.25">
      <c r="B75" s="188">
        <v>45929</v>
      </c>
      <c r="C75" s="70" t="s">
        <v>169</v>
      </c>
      <c r="D75" s="121">
        <v>1</v>
      </c>
      <c r="E75" s="84">
        <v>50000</v>
      </c>
      <c r="F75" s="215">
        <v>0</v>
      </c>
      <c r="G75" s="83">
        <v>557.70000000000005</v>
      </c>
      <c r="H75" s="84">
        <f>D75*E75+F75*G75</f>
        <v>50000</v>
      </c>
    </row>
    <row r="76" spans="2:8" x14ac:dyDescent="0.25">
      <c r="B76" s="188">
        <v>45929</v>
      </c>
      <c r="C76" s="70" t="s">
        <v>198</v>
      </c>
      <c r="D76" s="121">
        <v>1</v>
      </c>
      <c r="E76" s="84">
        <v>50000</v>
      </c>
      <c r="F76" s="215"/>
      <c r="G76" s="168"/>
      <c r="H76" s="84">
        <f t="shared" si="2"/>
        <v>50000</v>
      </c>
    </row>
    <row r="77" spans="2:8" x14ac:dyDescent="0.25">
      <c r="B77" s="188">
        <v>45929</v>
      </c>
      <c r="C77" s="70" t="s">
        <v>298</v>
      </c>
      <c r="D77" s="121">
        <v>1</v>
      </c>
      <c r="E77" s="84">
        <v>50000</v>
      </c>
      <c r="F77" s="215"/>
      <c r="G77" s="168"/>
      <c r="H77" s="84">
        <f t="shared" si="2"/>
        <v>50000</v>
      </c>
    </row>
    <row r="78" spans="2:8" x14ac:dyDescent="0.25">
      <c r="B78" s="188">
        <v>45929</v>
      </c>
      <c r="C78" s="70" t="s">
        <v>183</v>
      </c>
      <c r="D78" s="121">
        <v>1</v>
      </c>
      <c r="E78" s="84">
        <v>50000</v>
      </c>
      <c r="F78" s="215"/>
      <c r="G78" s="168"/>
      <c r="H78" s="84">
        <f t="shared" si="2"/>
        <v>50000</v>
      </c>
    </row>
    <row r="79" spans="2:8" x14ac:dyDescent="0.25">
      <c r="B79" s="188">
        <v>45930</v>
      </c>
      <c r="C79" s="70" t="s">
        <v>274</v>
      </c>
      <c r="D79" s="121">
        <v>1</v>
      </c>
      <c r="E79" s="84">
        <v>50000</v>
      </c>
      <c r="F79" s="215"/>
      <c r="G79" s="168"/>
      <c r="H79" s="84">
        <f t="shared" si="2"/>
        <v>50000</v>
      </c>
    </row>
    <row r="80" spans="2:8" x14ac:dyDescent="0.25">
      <c r="B80" s="188">
        <v>45930</v>
      </c>
      <c r="C80" s="70" t="s">
        <v>260</v>
      </c>
      <c r="D80" s="121">
        <v>1</v>
      </c>
      <c r="E80" s="84">
        <v>50000</v>
      </c>
      <c r="F80" s="215"/>
      <c r="G80" s="168"/>
      <c r="H80" s="84">
        <f t="shared" si="2"/>
        <v>50000</v>
      </c>
    </row>
    <row r="81" spans="2:10" x14ac:dyDescent="0.25">
      <c r="B81" s="188">
        <v>45930</v>
      </c>
      <c r="C81" s="70" t="s">
        <v>297</v>
      </c>
      <c r="D81" s="121">
        <v>1</v>
      </c>
      <c r="E81" s="84">
        <v>50000</v>
      </c>
      <c r="F81" s="215"/>
      <c r="G81" s="168"/>
      <c r="H81" s="84">
        <f t="shared" si="2"/>
        <v>50000</v>
      </c>
    </row>
    <row r="82" spans="2:10" x14ac:dyDescent="0.25">
      <c r="B82" s="188">
        <v>45930</v>
      </c>
      <c r="C82" s="70" t="s">
        <v>298</v>
      </c>
      <c r="D82" s="121">
        <v>1</v>
      </c>
      <c r="E82" s="84">
        <v>50000</v>
      </c>
      <c r="F82" s="215"/>
      <c r="G82" s="168"/>
      <c r="H82" s="84">
        <f t="shared" si="2"/>
        <v>50000</v>
      </c>
    </row>
    <row r="83" spans="2:10" x14ac:dyDescent="0.25">
      <c r="B83" s="188">
        <v>45930</v>
      </c>
      <c r="C83" s="70" t="s">
        <v>198</v>
      </c>
      <c r="D83" s="121">
        <v>1</v>
      </c>
      <c r="E83" s="84">
        <v>62500</v>
      </c>
      <c r="F83" s="215"/>
      <c r="G83" s="168"/>
      <c r="H83" s="84">
        <f t="shared" si="2"/>
        <v>62500</v>
      </c>
    </row>
    <row r="84" spans="2:10" x14ac:dyDescent="0.25">
      <c r="B84" s="188">
        <v>45930</v>
      </c>
      <c r="C84" s="70" t="s">
        <v>169</v>
      </c>
      <c r="D84" s="121">
        <v>1</v>
      </c>
      <c r="E84" s="84">
        <v>65000</v>
      </c>
      <c r="F84" s="215">
        <v>276</v>
      </c>
      <c r="G84" s="83">
        <v>557.70000000000005</v>
      </c>
      <c r="H84" s="84">
        <f>D84*E84+F84*G84</f>
        <v>218925.2</v>
      </c>
      <c r="J84" t="s">
        <v>4</v>
      </c>
    </row>
    <row r="85" spans="2:10" x14ac:dyDescent="0.25">
      <c r="B85" s="188">
        <v>45930</v>
      </c>
      <c r="C85" s="70" t="s">
        <v>258</v>
      </c>
      <c r="D85" s="121">
        <v>1</v>
      </c>
      <c r="E85" s="84">
        <v>50000</v>
      </c>
      <c r="F85" s="215"/>
      <c r="G85" s="168"/>
      <c r="H85" s="84">
        <f t="shared" si="2"/>
        <v>50000</v>
      </c>
    </row>
    <row r="86" spans="2:10" x14ac:dyDescent="0.25">
      <c r="B86" s="188">
        <v>45930</v>
      </c>
      <c r="C86" s="70" t="s">
        <v>310</v>
      </c>
      <c r="D86" s="121">
        <v>1</v>
      </c>
      <c r="E86" s="84">
        <v>50000</v>
      </c>
      <c r="F86" s="215"/>
      <c r="G86" s="168"/>
      <c r="H86" s="84">
        <f t="shared" si="2"/>
        <v>50000</v>
      </c>
    </row>
    <row r="87" spans="2:10" x14ac:dyDescent="0.25">
      <c r="B87" s="188">
        <v>45931</v>
      </c>
      <c r="C87" s="70" t="s">
        <v>274</v>
      </c>
      <c r="D87" s="121">
        <v>1</v>
      </c>
      <c r="E87" s="84">
        <v>50000</v>
      </c>
      <c r="F87" s="215"/>
      <c r="G87" s="168"/>
      <c r="H87" s="84">
        <f t="shared" si="2"/>
        <v>50000</v>
      </c>
    </row>
    <row r="88" spans="2:10" x14ac:dyDescent="0.25">
      <c r="B88" s="188">
        <v>45931</v>
      </c>
      <c r="C88" s="70" t="s">
        <v>310</v>
      </c>
      <c r="D88" s="121">
        <v>1</v>
      </c>
      <c r="E88" s="84">
        <v>50000</v>
      </c>
      <c r="F88" s="215">
        <v>300</v>
      </c>
      <c r="G88" s="168">
        <v>543.29999999999995</v>
      </c>
      <c r="H88" s="84">
        <f t="shared" si="2"/>
        <v>212990</v>
      </c>
    </row>
    <row r="89" spans="2:10" x14ac:dyDescent="0.25">
      <c r="B89" s="188">
        <v>45931</v>
      </c>
      <c r="C89" s="70" t="s">
        <v>198</v>
      </c>
      <c r="D89" s="121">
        <v>1</v>
      </c>
      <c r="E89" s="84">
        <v>65000</v>
      </c>
      <c r="F89" s="215"/>
      <c r="G89" s="168"/>
      <c r="H89" s="84">
        <f t="shared" si="2"/>
        <v>65000</v>
      </c>
    </row>
    <row r="90" spans="2:10" x14ac:dyDescent="0.25">
      <c r="B90" s="188">
        <v>45931</v>
      </c>
      <c r="C90" s="70" t="s">
        <v>298</v>
      </c>
      <c r="D90" s="121">
        <v>1</v>
      </c>
      <c r="E90" s="84">
        <v>50000</v>
      </c>
      <c r="F90" s="215">
        <v>156</v>
      </c>
      <c r="G90" s="168">
        <v>504</v>
      </c>
      <c r="H90" s="84">
        <f t="shared" si="2"/>
        <v>128624</v>
      </c>
    </row>
    <row r="91" spans="2:10" x14ac:dyDescent="0.25">
      <c r="B91" s="188">
        <v>45931</v>
      </c>
      <c r="C91" s="70" t="s">
        <v>169</v>
      </c>
      <c r="D91" s="121">
        <v>1</v>
      </c>
      <c r="E91" s="84">
        <v>65000</v>
      </c>
      <c r="F91" s="215">
        <v>0</v>
      </c>
      <c r="G91" s="83">
        <v>557.70000000000005</v>
      </c>
      <c r="H91" s="84">
        <f>D91*E91+F91*G91</f>
        <v>65000</v>
      </c>
    </row>
    <row r="92" spans="2:10" x14ac:dyDescent="0.25">
      <c r="B92" s="188">
        <v>45931</v>
      </c>
      <c r="C92" s="70" t="s">
        <v>183</v>
      </c>
      <c r="D92" s="121">
        <v>1</v>
      </c>
      <c r="E92" s="84">
        <v>65000</v>
      </c>
      <c r="F92" s="215"/>
      <c r="G92" s="168"/>
      <c r="H92" s="84">
        <f t="shared" si="2"/>
        <v>65000</v>
      </c>
    </row>
    <row r="93" spans="2:10" x14ac:dyDescent="0.25">
      <c r="B93" s="188">
        <v>45931</v>
      </c>
      <c r="C93" s="70" t="s">
        <v>258</v>
      </c>
      <c r="D93" s="121">
        <v>1</v>
      </c>
      <c r="E93" s="84">
        <v>50000</v>
      </c>
      <c r="F93" s="215"/>
      <c r="G93" s="168"/>
      <c r="H93" s="84">
        <f t="shared" si="2"/>
        <v>50000</v>
      </c>
      <c r="J93" t="s">
        <v>4</v>
      </c>
    </row>
    <row r="94" spans="2:10" x14ac:dyDescent="0.25">
      <c r="B94" s="188">
        <v>45932</v>
      </c>
      <c r="C94" s="70" t="s">
        <v>274</v>
      </c>
      <c r="D94" s="121">
        <v>1</v>
      </c>
      <c r="E94" s="84">
        <v>50000</v>
      </c>
      <c r="F94" s="215"/>
      <c r="G94" s="168"/>
      <c r="H94" s="84">
        <f t="shared" si="2"/>
        <v>50000</v>
      </c>
    </row>
    <row r="95" spans="2:10" x14ac:dyDescent="0.25">
      <c r="B95" s="188">
        <v>45932</v>
      </c>
      <c r="C95" s="70" t="s">
        <v>310</v>
      </c>
      <c r="D95" s="121">
        <v>1</v>
      </c>
      <c r="E95" s="84">
        <v>50000</v>
      </c>
      <c r="F95" s="215"/>
      <c r="G95" s="168"/>
      <c r="H95" s="84">
        <f t="shared" si="2"/>
        <v>50000</v>
      </c>
    </row>
    <row r="96" spans="2:10" x14ac:dyDescent="0.25">
      <c r="B96" s="188">
        <v>45932</v>
      </c>
      <c r="C96" s="70" t="s">
        <v>169</v>
      </c>
      <c r="D96" s="121">
        <v>1</v>
      </c>
      <c r="E96" s="84">
        <v>65000</v>
      </c>
      <c r="F96" s="215">
        <v>0</v>
      </c>
      <c r="G96" s="83">
        <v>557.70000000000005</v>
      </c>
      <c r="H96" s="84">
        <f>D96*E96+F96*G96</f>
        <v>65000</v>
      </c>
    </row>
    <row r="97" spans="2:10" x14ac:dyDescent="0.25">
      <c r="B97" s="188">
        <v>45932</v>
      </c>
      <c r="C97" s="70" t="s">
        <v>183</v>
      </c>
      <c r="D97" s="121">
        <v>1</v>
      </c>
      <c r="E97" s="84">
        <v>50000</v>
      </c>
      <c r="F97" s="215"/>
      <c r="G97" s="168"/>
      <c r="H97" s="84">
        <f t="shared" si="2"/>
        <v>50000</v>
      </c>
    </row>
    <row r="98" spans="2:10" x14ac:dyDescent="0.25">
      <c r="B98" s="188">
        <v>45932</v>
      </c>
      <c r="C98" s="70" t="s">
        <v>298</v>
      </c>
      <c r="D98" s="121">
        <v>1</v>
      </c>
      <c r="E98" s="84">
        <v>50000</v>
      </c>
      <c r="F98" s="215"/>
      <c r="G98" s="168"/>
      <c r="H98" s="84">
        <f t="shared" si="2"/>
        <v>50000</v>
      </c>
    </row>
    <row r="99" spans="2:10" x14ac:dyDescent="0.25">
      <c r="B99" s="188">
        <v>45933</v>
      </c>
      <c r="C99" s="70" t="s">
        <v>274</v>
      </c>
      <c r="D99" s="121">
        <v>1</v>
      </c>
      <c r="E99" s="84">
        <v>50000</v>
      </c>
      <c r="F99" s="215"/>
      <c r="G99" s="168"/>
      <c r="H99" s="84">
        <f t="shared" si="2"/>
        <v>50000</v>
      </c>
    </row>
    <row r="100" spans="2:10" x14ac:dyDescent="0.25">
      <c r="B100" s="188">
        <v>45933</v>
      </c>
      <c r="C100" s="70" t="s">
        <v>310</v>
      </c>
      <c r="D100" s="121">
        <v>1</v>
      </c>
      <c r="E100" s="84">
        <v>50000</v>
      </c>
      <c r="F100" s="215"/>
      <c r="G100" s="168"/>
      <c r="H100" s="84">
        <f t="shared" si="2"/>
        <v>50000</v>
      </c>
    </row>
    <row r="101" spans="2:10" x14ac:dyDescent="0.25">
      <c r="B101" s="188">
        <v>45933</v>
      </c>
      <c r="C101" s="70" t="s">
        <v>210</v>
      </c>
      <c r="D101" s="121">
        <v>1</v>
      </c>
      <c r="E101" s="84">
        <v>50000</v>
      </c>
      <c r="F101" s="215">
        <v>186</v>
      </c>
      <c r="G101" s="151">
        <v>543.29999999999995</v>
      </c>
      <c r="H101" s="84">
        <f t="shared" si="2"/>
        <v>151053.79999999999</v>
      </c>
      <c r="J101" t="s">
        <v>4</v>
      </c>
    </row>
    <row r="102" spans="2:10" x14ac:dyDescent="0.25">
      <c r="B102" s="188">
        <v>45933</v>
      </c>
      <c r="C102" s="70" t="s">
        <v>169</v>
      </c>
      <c r="D102" s="121">
        <v>1</v>
      </c>
      <c r="E102" s="84">
        <v>50000</v>
      </c>
      <c r="F102" s="215">
        <v>0</v>
      </c>
      <c r="G102" s="83">
        <v>557.70000000000005</v>
      </c>
      <c r="H102" s="84">
        <f>D102*E102+F102*G102</f>
        <v>50000</v>
      </c>
    </row>
    <row r="103" spans="2:10" x14ac:dyDescent="0.25">
      <c r="B103" s="188">
        <v>45933</v>
      </c>
      <c r="C103" s="70" t="s">
        <v>257</v>
      </c>
      <c r="D103" s="121">
        <v>1</v>
      </c>
      <c r="E103" s="84">
        <v>50000</v>
      </c>
      <c r="F103" s="215"/>
      <c r="G103" s="168"/>
      <c r="H103" s="84">
        <f t="shared" si="2"/>
        <v>50000</v>
      </c>
    </row>
    <row r="104" spans="2:10" x14ac:dyDescent="0.25">
      <c r="B104" s="188">
        <v>45933</v>
      </c>
      <c r="C104" s="70" t="s">
        <v>298</v>
      </c>
      <c r="D104" s="121">
        <v>1</v>
      </c>
      <c r="E104" s="84">
        <v>50000</v>
      </c>
      <c r="F104" s="215"/>
      <c r="G104" s="168"/>
      <c r="H104" s="84">
        <f t="shared" si="2"/>
        <v>50000</v>
      </c>
    </row>
    <row r="105" spans="2:10" x14ac:dyDescent="0.25">
      <c r="B105" s="188">
        <v>45934</v>
      </c>
      <c r="C105" s="70" t="s">
        <v>274</v>
      </c>
      <c r="D105" s="121">
        <v>1</v>
      </c>
      <c r="E105" s="84">
        <v>50000</v>
      </c>
      <c r="F105" s="215"/>
      <c r="G105" s="168"/>
      <c r="H105" s="84">
        <f t="shared" si="2"/>
        <v>50000</v>
      </c>
    </row>
    <row r="106" spans="2:10" x14ac:dyDescent="0.25">
      <c r="B106" s="188">
        <v>45934</v>
      </c>
      <c r="C106" s="70" t="s">
        <v>260</v>
      </c>
      <c r="D106" s="121">
        <v>1</v>
      </c>
      <c r="E106" s="84">
        <v>50000</v>
      </c>
      <c r="F106" s="215"/>
      <c r="G106" s="168"/>
      <c r="H106" s="84">
        <f t="shared" si="2"/>
        <v>50000</v>
      </c>
    </row>
    <row r="107" spans="2:10" x14ac:dyDescent="0.25">
      <c r="B107" s="188">
        <v>45934</v>
      </c>
      <c r="C107" s="70" t="s">
        <v>169</v>
      </c>
      <c r="D107" s="121">
        <v>1</v>
      </c>
      <c r="E107" s="84">
        <v>50000</v>
      </c>
      <c r="F107" s="215">
        <v>0</v>
      </c>
      <c r="G107" s="83">
        <v>557.70000000000005</v>
      </c>
      <c r="H107" s="84">
        <f>D107*E107+F107*G107</f>
        <v>50000</v>
      </c>
    </row>
    <row r="108" spans="2:10" x14ac:dyDescent="0.25">
      <c r="B108" s="188">
        <v>45934</v>
      </c>
      <c r="C108" s="70" t="s">
        <v>257</v>
      </c>
      <c r="D108" s="121">
        <v>1</v>
      </c>
      <c r="E108" s="84">
        <v>50000</v>
      </c>
      <c r="F108" s="215"/>
      <c r="G108" s="168"/>
      <c r="H108" s="84">
        <f t="shared" si="2"/>
        <v>50000</v>
      </c>
    </row>
    <row r="109" spans="2:10" x14ac:dyDescent="0.25">
      <c r="B109" s="188">
        <v>45934</v>
      </c>
      <c r="C109" s="70" t="s">
        <v>259</v>
      </c>
      <c r="D109" s="121">
        <v>1</v>
      </c>
      <c r="E109" s="84">
        <v>65000</v>
      </c>
      <c r="F109" s="215">
        <v>221</v>
      </c>
      <c r="G109" s="168">
        <v>633.85</v>
      </c>
      <c r="H109" s="84">
        <f t="shared" si="2"/>
        <v>205080.85</v>
      </c>
    </row>
    <row r="110" spans="2:10" x14ac:dyDescent="0.25">
      <c r="B110" s="188">
        <v>45934</v>
      </c>
      <c r="C110" s="70" t="s">
        <v>183</v>
      </c>
      <c r="D110" s="121">
        <v>1</v>
      </c>
      <c r="E110" s="84">
        <v>65000</v>
      </c>
      <c r="F110" s="215"/>
      <c r="G110" s="168"/>
      <c r="H110" s="84">
        <f t="shared" si="2"/>
        <v>65000</v>
      </c>
    </row>
    <row r="111" spans="2:10" x14ac:dyDescent="0.25">
      <c r="B111" s="188">
        <v>45934</v>
      </c>
      <c r="C111" s="70" t="s">
        <v>310</v>
      </c>
      <c r="D111" s="121">
        <v>1</v>
      </c>
      <c r="E111" s="84">
        <v>50000</v>
      </c>
      <c r="F111" s="215"/>
      <c r="G111" s="168"/>
      <c r="H111" s="84">
        <f t="shared" si="2"/>
        <v>50000</v>
      </c>
    </row>
    <row r="112" spans="2:10" x14ac:dyDescent="0.25">
      <c r="B112" s="188">
        <v>45934</v>
      </c>
      <c r="C112" s="70" t="s">
        <v>210</v>
      </c>
      <c r="D112" s="121">
        <v>1</v>
      </c>
      <c r="E112" s="84">
        <v>50000</v>
      </c>
      <c r="F112" s="215">
        <v>272</v>
      </c>
      <c r="G112" s="151">
        <v>543.29999999999995</v>
      </c>
      <c r="H112" s="84">
        <f t="shared" si="2"/>
        <v>197777.59999999998</v>
      </c>
    </row>
    <row r="113" spans="2:8" x14ac:dyDescent="0.25">
      <c r="B113" s="188">
        <v>45937</v>
      </c>
      <c r="C113" s="70" t="s">
        <v>169</v>
      </c>
      <c r="D113" s="121">
        <v>1</v>
      </c>
      <c r="E113" s="84">
        <v>75000</v>
      </c>
      <c r="F113" s="215">
        <v>0</v>
      </c>
      <c r="G113" s="83">
        <v>557.70000000000005</v>
      </c>
      <c r="H113" s="84">
        <f>D113*E113+F113*G113</f>
        <v>75000</v>
      </c>
    </row>
    <row r="114" spans="2:8" x14ac:dyDescent="0.25">
      <c r="B114" s="188">
        <v>45937</v>
      </c>
      <c r="C114" s="70" t="s">
        <v>183</v>
      </c>
      <c r="D114" s="121">
        <v>1</v>
      </c>
      <c r="E114" s="84">
        <v>75000</v>
      </c>
      <c r="F114" s="215"/>
      <c r="G114" s="168"/>
      <c r="H114" s="84">
        <f t="shared" si="2"/>
        <v>75000</v>
      </c>
    </row>
    <row r="115" spans="2:8" x14ac:dyDescent="0.25">
      <c r="B115" s="188">
        <v>45937</v>
      </c>
      <c r="C115" s="70" t="s">
        <v>310</v>
      </c>
      <c r="D115" s="121">
        <v>1</v>
      </c>
      <c r="E115" s="84">
        <v>75000</v>
      </c>
      <c r="F115" s="215"/>
      <c r="G115" s="168"/>
      <c r="H115" s="84">
        <f t="shared" si="2"/>
        <v>75000</v>
      </c>
    </row>
    <row r="116" spans="2:8" x14ac:dyDescent="0.25">
      <c r="B116" s="188">
        <v>45938</v>
      </c>
      <c r="C116" s="70" t="s">
        <v>274</v>
      </c>
      <c r="D116" s="121">
        <v>1</v>
      </c>
      <c r="E116" s="84">
        <v>50000</v>
      </c>
      <c r="F116" s="215"/>
      <c r="G116" s="168"/>
      <c r="H116" s="84">
        <f t="shared" si="2"/>
        <v>50000</v>
      </c>
    </row>
    <row r="117" spans="2:8" x14ac:dyDescent="0.25">
      <c r="B117" s="188">
        <v>45938</v>
      </c>
      <c r="C117" s="70" t="s">
        <v>260</v>
      </c>
      <c r="D117" s="121">
        <v>1</v>
      </c>
      <c r="E117" s="84">
        <v>50000</v>
      </c>
      <c r="F117" s="215"/>
      <c r="G117" s="168"/>
      <c r="H117" s="84">
        <f t="shared" si="2"/>
        <v>50000</v>
      </c>
    </row>
    <row r="118" spans="2:8" x14ac:dyDescent="0.25">
      <c r="B118" s="188">
        <v>45938</v>
      </c>
      <c r="C118" s="70" t="s">
        <v>169</v>
      </c>
      <c r="D118" s="121">
        <v>1</v>
      </c>
      <c r="E118" s="84">
        <v>65000</v>
      </c>
      <c r="F118" s="215">
        <v>195</v>
      </c>
      <c r="G118" s="83">
        <v>557.70000000000005</v>
      </c>
      <c r="H118" s="84">
        <f>D118*E118+F118*G118</f>
        <v>173751.5</v>
      </c>
    </row>
    <row r="119" spans="2:8" x14ac:dyDescent="0.25">
      <c r="B119" s="188">
        <v>45938</v>
      </c>
      <c r="C119" s="70" t="s">
        <v>183</v>
      </c>
      <c r="D119" s="121">
        <v>1</v>
      </c>
      <c r="E119" s="84">
        <v>50000</v>
      </c>
      <c r="F119" s="215"/>
      <c r="G119" s="168"/>
      <c r="H119" s="84">
        <f t="shared" si="2"/>
        <v>50000</v>
      </c>
    </row>
    <row r="120" spans="2:8" x14ac:dyDescent="0.25">
      <c r="B120" s="188">
        <v>45938</v>
      </c>
      <c r="C120" s="70" t="s">
        <v>310</v>
      </c>
      <c r="D120" s="121">
        <v>1</v>
      </c>
      <c r="E120" s="84">
        <v>50000</v>
      </c>
      <c r="F120" s="215"/>
      <c r="G120" s="168"/>
      <c r="H120" s="84">
        <f t="shared" si="2"/>
        <v>50000</v>
      </c>
    </row>
    <row r="121" spans="2:8" x14ac:dyDescent="0.25">
      <c r="B121" s="188">
        <v>45938</v>
      </c>
      <c r="C121" s="70" t="s">
        <v>320</v>
      </c>
      <c r="D121" s="121">
        <v>1</v>
      </c>
      <c r="E121" s="84">
        <v>50000</v>
      </c>
      <c r="F121" s="215"/>
      <c r="G121" s="168"/>
      <c r="H121" s="84">
        <f t="shared" si="2"/>
        <v>50000</v>
      </c>
    </row>
    <row r="122" spans="2:8" x14ac:dyDescent="0.25">
      <c r="B122" s="188">
        <v>45938</v>
      </c>
      <c r="C122" s="70" t="s">
        <v>197</v>
      </c>
      <c r="D122" s="121">
        <v>1</v>
      </c>
      <c r="E122" s="84">
        <v>50000</v>
      </c>
      <c r="F122" s="215"/>
      <c r="G122" s="168"/>
      <c r="H122" s="84">
        <f t="shared" si="2"/>
        <v>50000</v>
      </c>
    </row>
    <row r="123" spans="2:8" x14ac:dyDescent="0.25">
      <c r="B123" s="188">
        <v>45938</v>
      </c>
      <c r="C123" s="70" t="s">
        <v>210</v>
      </c>
      <c r="D123" s="121">
        <v>1</v>
      </c>
      <c r="E123" s="84">
        <v>50000</v>
      </c>
      <c r="F123" s="215">
        <v>122</v>
      </c>
      <c r="G123" s="151">
        <v>543.29999999999995</v>
      </c>
      <c r="H123" s="84">
        <f t="shared" si="2"/>
        <v>116282.59999999999</v>
      </c>
    </row>
    <row r="124" spans="2:8" x14ac:dyDescent="0.25">
      <c r="B124" s="188">
        <v>45939</v>
      </c>
      <c r="C124" s="70" t="s">
        <v>260</v>
      </c>
      <c r="D124" s="121">
        <v>1</v>
      </c>
      <c r="E124" s="84">
        <v>50000</v>
      </c>
      <c r="F124" s="215"/>
      <c r="G124" s="168"/>
      <c r="H124" s="84">
        <f t="shared" si="2"/>
        <v>50000</v>
      </c>
    </row>
    <row r="125" spans="2:8" x14ac:dyDescent="0.25">
      <c r="B125" s="188">
        <v>45939</v>
      </c>
      <c r="C125" s="70" t="s">
        <v>259</v>
      </c>
      <c r="D125" s="121">
        <v>1</v>
      </c>
      <c r="E125" s="84">
        <v>65000</v>
      </c>
      <c r="F125" s="215">
        <v>401</v>
      </c>
      <c r="G125" s="168">
        <v>633.85</v>
      </c>
      <c r="H125" s="84">
        <f t="shared" si="2"/>
        <v>319173.84999999998</v>
      </c>
    </row>
    <row r="126" spans="2:8" x14ac:dyDescent="0.25">
      <c r="B126" s="188">
        <v>45939</v>
      </c>
      <c r="C126" s="70" t="s">
        <v>183</v>
      </c>
      <c r="D126" s="121">
        <v>1</v>
      </c>
      <c r="E126" s="84">
        <v>50000</v>
      </c>
      <c r="F126" s="215"/>
      <c r="G126" s="168"/>
      <c r="H126" s="84">
        <f t="shared" si="2"/>
        <v>50000</v>
      </c>
    </row>
    <row r="127" spans="2:8" x14ac:dyDescent="0.25">
      <c r="B127" s="188">
        <v>45939</v>
      </c>
      <c r="C127" s="70" t="s">
        <v>310</v>
      </c>
      <c r="D127" s="121">
        <v>1</v>
      </c>
      <c r="E127" s="84">
        <v>50000</v>
      </c>
      <c r="F127" s="215"/>
      <c r="G127" s="168"/>
      <c r="H127" s="84">
        <f t="shared" ref="H127:H359" si="3">D127*E127+F127*G127</f>
        <v>50000</v>
      </c>
    </row>
    <row r="128" spans="2:8" x14ac:dyDescent="0.25">
      <c r="B128" s="188">
        <v>45939</v>
      </c>
      <c r="C128" s="70" t="s">
        <v>210</v>
      </c>
      <c r="D128" s="121">
        <v>1</v>
      </c>
      <c r="E128" s="84">
        <v>50000</v>
      </c>
      <c r="F128" s="215">
        <v>183</v>
      </c>
      <c r="G128" s="151">
        <v>543.29999999999995</v>
      </c>
      <c r="H128" s="84">
        <f t="shared" si="3"/>
        <v>149423.9</v>
      </c>
    </row>
    <row r="129" spans="2:8" x14ac:dyDescent="0.25">
      <c r="B129" s="188">
        <v>45940</v>
      </c>
      <c r="C129" s="70" t="s">
        <v>260</v>
      </c>
      <c r="D129" s="121">
        <v>1</v>
      </c>
      <c r="E129" s="84">
        <v>50000</v>
      </c>
      <c r="F129" s="215"/>
      <c r="G129" s="168"/>
      <c r="H129" s="84">
        <f t="shared" si="3"/>
        <v>50000</v>
      </c>
    </row>
    <row r="130" spans="2:8" x14ac:dyDescent="0.25">
      <c r="B130" s="188">
        <v>45940</v>
      </c>
      <c r="C130" s="70" t="s">
        <v>274</v>
      </c>
      <c r="D130" s="121">
        <v>1</v>
      </c>
      <c r="E130" s="84">
        <v>50000</v>
      </c>
      <c r="F130" s="215"/>
      <c r="G130" s="168"/>
      <c r="H130" s="168">
        <f t="shared" si="3"/>
        <v>50000</v>
      </c>
    </row>
    <row r="131" spans="2:8" x14ac:dyDescent="0.25">
      <c r="B131" s="188">
        <v>45940</v>
      </c>
      <c r="C131" s="70" t="s">
        <v>183</v>
      </c>
      <c r="D131" s="121">
        <v>1</v>
      </c>
      <c r="E131" s="84">
        <v>65000</v>
      </c>
      <c r="F131" s="215"/>
      <c r="G131" s="168"/>
      <c r="H131" s="84">
        <f t="shared" si="3"/>
        <v>65000</v>
      </c>
    </row>
    <row r="132" spans="2:8" x14ac:dyDescent="0.25">
      <c r="B132" s="188">
        <v>45940</v>
      </c>
      <c r="C132" s="70" t="s">
        <v>310</v>
      </c>
      <c r="D132" s="121">
        <v>1</v>
      </c>
      <c r="E132" s="84">
        <v>65000</v>
      </c>
      <c r="F132" s="215">
        <v>218</v>
      </c>
      <c r="G132" s="168">
        <v>543.29999999999995</v>
      </c>
      <c r="H132" s="84">
        <f t="shared" si="3"/>
        <v>183439.4</v>
      </c>
    </row>
    <row r="133" spans="2:8" x14ac:dyDescent="0.25">
      <c r="B133" s="188">
        <v>45940</v>
      </c>
      <c r="C133" s="70" t="s">
        <v>320</v>
      </c>
      <c r="D133" s="121">
        <v>1</v>
      </c>
      <c r="E133" s="84">
        <v>50000</v>
      </c>
      <c r="F133" s="215"/>
      <c r="G133" s="168"/>
      <c r="H133" s="84">
        <f t="shared" si="3"/>
        <v>50000</v>
      </c>
    </row>
    <row r="134" spans="2:8" x14ac:dyDescent="0.25">
      <c r="B134" s="188">
        <v>45940</v>
      </c>
      <c r="C134" s="70" t="s">
        <v>169</v>
      </c>
      <c r="D134" s="121">
        <v>1</v>
      </c>
      <c r="E134" s="84">
        <v>65000</v>
      </c>
      <c r="F134" s="215">
        <v>263</v>
      </c>
      <c r="G134" s="83">
        <v>557.70000000000005</v>
      </c>
      <c r="H134" s="84">
        <f>D134*E134+F134*G134</f>
        <v>211675.1</v>
      </c>
    </row>
    <row r="135" spans="2:8" x14ac:dyDescent="0.25">
      <c r="B135" s="188">
        <v>45940</v>
      </c>
      <c r="C135" s="70" t="s">
        <v>258</v>
      </c>
      <c r="D135" s="121">
        <v>1</v>
      </c>
      <c r="E135" s="84">
        <v>50000</v>
      </c>
      <c r="F135" s="215"/>
      <c r="G135" s="168"/>
      <c r="H135" s="84">
        <f t="shared" si="3"/>
        <v>50000</v>
      </c>
    </row>
    <row r="136" spans="2:8" x14ac:dyDescent="0.25">
      <c r="B136" s="188">
        <v>45940</v>
      </c>
      <c r="C136" s="70" t="s">
        <v>257</v>
      </c>
      <c r="D136" s="121">
        <v>1</v>
      </c>
      <c r="E136" s="84">
        <v>50000</v>
      </c>
      <c r="F136" s="215"/>
      <c r="G136" s="168"/>
      <c r="H136" s="84">
        <f t="shared" si="3"/>
        <v>50000</v>
      </c>
    </row>
    <row r="137" spans="2:8" x14ac:dyDescent="0.25">
      <c r="B137" s="188">
        <v>45940</v>
      </c>
      <c r="C137" s="70" t="s">
        <v>210</v>
      </c>
      <c r="D137" s="121">
        <v>1</v>
      </c>
      <c r="E137" s="84">
        <v>50000</v>
      </c>
      <c r="F137" s="215">
        <v>192</v>
      </c>
      <c r="G137" s="151">
        <v>543.29999999999995</v>
      </c>
      <c r="H137" s="84">
        <f t="shared" si="3"/>
        <v>154313.59999999998</v>
      </c>
    </row>
    <row r="138" spans="2:8" x14ac:dyDescent="0.25">
      <c r="B138" s="188">
        <v>45940</v>
      </c>
      <c r="C138" s="70" t="s">
        <v>197</v>
      </c>
      <c r="D138" s="121">
        <v>1</v>
      </c>
      <c r="E138" s="84">
        <v>50000</v>
      </c>
      <c r="F138" s="215"/>
      <c r="G138" s="168"/>
      <c r="H138" s="84">
        <f t="shared" si="3"/>
        <v>50000</v>
      </c>
    </row>
    <row r="139" spans="2:8" x14ac:dyDescent="0.25">
      <c r="B139" s="188">
        <v>45941</v>
      </c>
      <c r="C139" s="70" t="s">
        <v>310</v>
      </c>
      <c r="D139" s="121">
        <v>1</v>
      </c>
      <c r="E139" s="84">
        <v>65000</v>
      </c>
      <c r="F139" s="215">
        <v>252</v>
      </c>
      <c r="G139" s="168">
        <v>543.29999999999995</v>
      </c>
      <c r="H139" s="84">
        <f t="shared" si="3"/>
        <v>201911.59999999998</v>
      </c>
    </row>
    <row r="140" spans="2:8" x14ac:dyDescent="0.25">
      <c r="B140" s="188">
        <v>45941</v>
      </c>
      <c r="C140" s="70" t="s">
        <v>320</v>
      </c>
      <c r="D140" s="121">
        <v>1</v>
      </c>
      <c r="E140" s="84">
        <v>50000</v>
      </c>
      <c r="F140" s="215"/>
      <c r="G140" s="168"/>
      <c r="H140" s="84">
        <f t="shared" si="3"/>
        <v>50000</v>
      </c>
    </row>
    <row r="141" spans="2:8" x14ac:dyDescent="0.25">
      <c r="B141" s="188">
        <v>45941</v>
      </c>
      <c r="C141" s="70" t="s">
        <v>169</v>
      </c>
      <c r="D141" s="121">
        <v>1</v>
      </c>
      <c r="E141" s="84">
        <v>65000</v>
      </c>
      <c r="F141" s="215">
        <v>269</v>
      </c>
      <c r="G141" s="83">
        <v>557.70000000000005</v>
      </c>
      <c r="H141" s="84">
        <f>D141*E141+F141*G141</f>
        <v>215021.30000000002</v>
      </c>
    </row>
    <row r="142" spans="2:8" x14ac:dyDescent="0.25">
      <c r="B142" s="188">
        <v>45941</v>
      </c>
      <c r="C142" s="70" t="s">
        <v>258</v>
      </c>
      <c r="D142" s="121">
        <v>1</v>
      </c>
      <c r="E142" s="84">
        <v>50000</v>
      </c>
      <c r="F142" s="215"/>
      <c r="G142" s="168"/>
      <c r="H142" s="84">
        <f>D142*E142+F142*G142</f>
        <v>50000</v>
      </c>
    </row>
    <row r="143" spans="2:8" x14ac:dyDescent="0.25">
      <c r="B143" s="188">
        <v>45941</v>
      </c>
      <c r="C143" s="70" t="s">
        <v>257</v>
      </c>
      <c r="D143" s="121">
        <v>1</v>
      </c>
      <c r="E143" s="84">
        <v>50000</v>
      </c>
      <c r="F143" s="215"/>
      <c r="G143" s="84"/>
      <c r="H143" s="84">
        <f>D143*E143+F143*G143</f>
        <v>50000</v>
      </c>
    </row>
    <row r="144" spans="2:8" x14ac:dyDescent="0.25">
      <c r="B144" s="188">
        <v>45941</v>
      </c>
      <c r="C144" s="70" t="s">
        <v>330</v>
      </c>
      <c r="D144" s="121">
        <v>1</v>
      </c>
      <c r="E144" s="84">
        <v>50000</v>
      </c>
      <c r="F144" s="215"/>
      <c r="G144" s="84"/>
      <c r="H144" s="84">
        <f t="shared" si="3"/>
        <v>50000</v>
      </c>
    </row>
    <row r="145" spans="2:8" x14ac:dyDescent="0.25">
      <c r="B145" s="188">
        <v>45941</v>
      </c>
      <c r="C145" s="70" t="s">
        <v>197</v>
      </c>
      <c r="D145" s="116">
        <v>1</v>
      </c>
      <c r="E145" s="84">
        <v>50000</v>
      </c>
      <c r="F145" s="215"/>
      <c r="G145" s="168"/>
      <c r="H145" s="84">
        <f t="shared" si="3"/>
        <v>50000</v>
      </c>
    </row>
    <row r="146" spans="2:8" x14ac:dyDescent="0.25">
      <c r="B146" s="188">
        <v>45944</v>
      </c>
      <c r="C146" s="70" t="s">
        <v>274</v>
      </c>
      <c r="D146" s="121">
        <v>1</v>
      </c>
      <c r="E146" s="84">
        <v>50000</v>
      </c>
      <c r="F146" s="215"/>
      <c r="G146" s="84"/>
      <c r="H146" s="84">
        <f t="shared" si="3"/>
        <v>50000</v>
      </c>
    </row>
    <row r="147" spans="2:8" x14ac:dyDescent="0.25">
      <c r="B147" s="188">
        <v>45944</v>
      </c>
      <c r="C147" s="70" t="s">
        <v>197</v>
      </c>
      <c r="D147" s="116">
        <v>1</v>
      </c>
      <c r="E147" s="84">
        <v>50000</v>
      </c>
      <c r="F147" s="215"/>
      <c r="G147" s="84"/>
      <c r="H147" s="84">
        <f t="shared" si="3"/>
        <v>50000</v>
      </c>
    </row>
    <row r="148" spans="2:8" x14ac:dyDescent="0.25">
      <c r="B148" s="188">
        <v>45945</v>
      </c>
      <c r="C148" s="70" t="s">
        <v>169</v>
      </c>
      <c r="D148" s="121">
        <v>1</v>
      </c>
      <c r="E148" s="84">
        <v>65000</v>
      </c>
      <c r="F148" s="215">
        <v>275</v>
      </c>
      <c r="G148" s="83">
        <v>557.70000000000005</v>
      </c>
      <c r="H148" s="84">
        <f>D148*E148+F148*G148</f>
        <v>218367.5</v>
      </c>
    </row>
    <row r="149" spans="2:8" x14ac:dyDescent="0.25">
      <c r="B149" s="188">
        <v>45945</v>
      </c>
      <c r="C149" s="70" t="s">
        <v>310</v>
      </c>
      <c r="D149" s="121">
        <v>1</v>
      </c>
      <c r="E149" s="84">
        <v>50000</v>
      </c>
      <c r="F149" s="215"/>
      <c r="G149" s="168"/>
      <c r="H149" s="84">
        <f t="shared" si="3"/>
        <v>50000</v>
      </c>
    </row>
    <row r="150" spans="2:8" x14ac:dyDescent="0.25">
      <c r="B150" s="188">
        <v>45945</v>
      </c>
      <c r="C150" s="70" t="s">
        <v>198</v>
      </c>
      <c r="D150" s="121">
        <v>1</v>
      </c>
      <c r="E150" s="84">
        <v>50000</v>
      </c>
      <c r="F150" s="215"/>
      <c r="G150" s="84"/>
      <c r="H150" s="84">
        <f t="shared" si="3"/>
        <v>50000</v>
      </c>
    </row>
    <row r="151" spans="2:8" x14ac:dyDescent="0.25">
      <c r="B151" s="188">
        <v>45945</v>
      </c>
      <c r="C151" s="70" t="s">
        <v>183</v>
      </c>
      <c r="D151" s="121">
        <v>1</v>
      </c>
      <c r="E151" s="84">
        <v>50000</v>
      </c>
      <c r="F151" s="215"/>
      <c r="G151" s="84"/>
      <c r="H151" s="84">
        <f t="shared" si="3"/>
        <v>50000</v>
      </c>
    </row>
    <row r="152" spans="2:8" x14ac:dyDescent="0.25">
      <c r="B152" s="188">
        <v>45945</v>
      </c>
      <c r="C152" s="70" t="s">
        <v>274</v>
      </c>
      <c r="D152" s="121">
        <v>1</v>
      </c>
      <c r="E152" s="84">
        <v>50000</v>
      </c>
      <c r="F152" s="215"/>
      <c r="G152" s="84"/>
      <c r="H152" s="84">
        <f t="shared" si="3"/>
        <v>50000</v>
      </c>
    </row>
    <row r="153" spans="2:8" x14ac:dyDescent="0.25">
      <c r="B153" s="188">
        <v>45945</v>
      </c>
      <c r="C153" s="70" t="s">
        <v>197</v>
      </c>
      <c r="D153" s="121">
        <v>1</v>
      </c>
      <c r="E153" s="84">
        <v>50000</v>
      </c>
      <c r="F153" s="215"/>
      <c r="G153" s="84"/>
      <c r="H153" s="84">
        <f t="shared" si="3"/>
        <v>50000</v>
      </c>
    </row>
    <row r="154" spans="2:8" x14ac:dyDescent="0.25">
      <c r="B154" s="188">
        <v>45946</v>
      </c>
      <c r="C154" s="70" t="s">
        <v>210</v>
      </c>
      <c r="D154" s="121">
        <v>1</v>
      </c>
      <c r="E154" s="84">
        <v>50000</v>
      </c>
      <c r="F154" s="215">
        <v>314</v>
      </c>
      <c r="G154" s="151">
        <v>543.29999999999995</v>
      </c>
      <c r="H154" s="84">
        <f t="shared" si="3"/>
        <v>220596.19999999998</v>
      </c>
    </row>
    <row r="155" spans="2:8" x14ac:dyDescent="0.25">
      <c r="B155" s="188">
        <v>45946</v>
      </c>
      <c r="C155" s="70" t="s">
        <v>169</v>
      </c>
      <c r="D155" s="121">
        <v>1</v>
      </c>
      <c r="E155" s="84">
        <v>90000</v>
      </c>
      <c r="F155" s="215">
        <v>154</v>
      </c>
      <c r="G155" s="83">
        <v>557.70000000000005</v>
      </c>
      <c r="H155" s="84">
        <f>D155*E155+F155*G155</f>
        <v>175885.8</v>
      </c>
    </row>
    <row r="156" spans="2:8" x14ac:dyDescent="0.25">
      <c r="B156" s="188">
        <v>45946</v>
      </c>
      <c r="C156" s="70" t="s">
        <v>310</v>
      </c>
      <c r="D156" s="121">
        <v>1</v>
      </c>
      <c r="E156" s="84">
        <v>90000</v>
      </c>
      <c r="F156" s="215"/>
      <c r="G156" s="168"/>
      <c r="H156" s="84">
        <f t="shared" si="3"/>
        <v>90000</v>
      </c>
    </row>
    <row r="157" spans="2:8" x14ac:dyDescent="0.25">
      <c r="B157" s="188">
        <v>45946</v>
      </c>
      <c r="C157" s="70" t="s">
        <v>198</v>
      </c>
      <c r="D157" s="121">
        <v>1</v>
      </c>
      <c r="E157" s="84">
        <v>90000</v>
      </c>
      <c r="F157" s="215"/>
      <c r="G157" s="84"/>
      <c r="H157" s="84">
        <f t="shared" si="3"/>
        <v>90000</v>
      </c>
    </row>
    <row r="158" spans="2:8" x14ac:dyDescent="0.25">
      <c r="B158" s="188">
        <v>45946</v>
      </c>
      <c r="C158" s="70" t="s">
        <v>183</v>
      </c>
      <c r="D158" s="121">
        <v>1</v>
      </c>
      <c r="E158" s="84">
        <v>90000</v>
      </c>
      <c r="F158" s="215"/>
      <c r="G158" s="84"/>
      <c r="H158" s="84">
        <f t="shared" si="3"/>
        <v>90000</v>
      </c>
    </row>
    <row r="159" spans="2:8" x14ac:dyDescent="0.25">
      <c r="B159" s="188">
        <v>45946</v>
      </c>
      <c r="C159" s="70" t="s">
        <v>259</v>
      </c>
      <c r="D159" s="121">
        <v>0.5</v>
      </c>
      <c r="E159" s="84">
        <v>65000</v>
      </c>
      <c r="F159" s="215">
        <v>0</v>
      </c>
      <c r="G159" s="168">
        <v>633.85</v>
      </c>
      <c r="H159" s="84">
        <f t="shared" si="3"/>
        <v>32500</v>
      </c>
    </row>
    <row r="160" spans="2:8" x14ac:dyDescent="0.25">
      <c r="B160" s="188">
        <v>45946</v>
      </c>
      <c r="C160" s="70" t="s">
        <v>197</v>
      </c>
      <c r="D160" s="121">
        <v>1</v>
      </c>
      <c r="E160" s="84">
        <v>50000</v>
      </c>
      <c r="F160" s="215"/>
      <c r="G160" s="84"/>
      <c r="H160" s="84">
        <f t="shared" si="3"/>
        <v>50000</v>
      </c>
    </row>
    <row r="161" spans="2:8" x14ac:dyDescent="0.25">
      <c r="B161" s="188">
        <v>45947</v>
      </c>
      <c r="C161" s="70" t="s">
        <v>345</v>
      </c>
      <c r="D161" s="121">
        <v>1</v>
      </c>
      <c r="E161" s="84">
        <v>50000</v>
      </c>
      <c r="F161" s="215">
        <v>120</v>
      </c>
      <c r="G161" s="84">
        <v>371.8</v>
      </c>
      <c r="H161" s="84">
        <f t="shared" si="3"/>
        <v>94616</v>
      </c>
    </row>
    <row r="162" spans="2:8" x14ac:dyDescent="0.25">
      <c r="B162" s="188">
        <v>45947</v>
      </c>
      <c r="C162" s="70" t="s">
        <v>274</v>
      </c>
      <c r="D162" s="121">
        <v>1</v>
      </c>
      <c r="E162" s="84">
        <v>50000</v>
      </c>
      <c r="F162" s="215"/>
      <c r="G162" s="84"/>
      <c r="H162" s="84">
        <f t="shared" si="3"/>
        <v>50000</v>
      </c>
    </row>
    <row r="163" spans="2:8" x14ac:dyDescent="0.25">
      <c r="B163" s="188">
        <v>45947</v>
      </c>
      <c r="C163" s="70" t="s">
        <v>260</v>
      </c>
      <c r="D163" s="121">
        <v>1</v>
      </c>
      <c r="E163" s="84">
        <v>50000</v>
      </c>
      <c r="F163" s="215"/>
      <c r="G163" s="84"/>
      <c r="H163" s="84">
        <f t="shared" si="3"/>
        <v>50000</v>
      </c>
    </row>
    <row r="164" spans="2:8" x14ac:dyDescent="0.25">
      <c r="B164" s="188">
        <v>45947</v>
      </c>
      <c r="C164" s="70" t="s">
        <v>169</v>
      </c>
      <c r="D164" s="121">
        <v>1</v>
      </c>
      <c r="E164" s="84">
        <v>65000</v>
      </c>
      <c r="F164" s="215">
        <v>194</v>
      </c>
      <c r="G164" s="83">
        <v>557.70000000000005</v>
      </c>
      <c r="H164" s="84">
        <f>D164*E164+F164*G164</f>
        <v>173193.8</v>
      </c>
    </row>
    <row r="165" spans="2:8" x14ac:dyDescent="0.25">
      <c r="B165" s="188">
        <v>45947</v>
      </c>
      <c r="C165" s="70" t="s">
        <v>310</v>
      </c>
      <c r="D165" s="121">
        <v>1</v>
      </c>
      <c r="E165" s="84">
        <v>50000</v>
      </c>
      <c r="F165" s="215"/>
      <c r="G165" s="168"/>
      <c r="H165" s="84">
        <f t="shared" si="3"/>
        <v>50000</v>
      </c>
    </row>
    <row r="166" spans="2:8" x14ac:dyDescent="0.25">
      <c r="B166" s="188">
        <v>45947</v>
      </c>
      <c r="C166" s="70" t="s">
        <v>197</v>
      </c>
      <c r="D166" s="121">
        <v>1</v>
      </c>
      <c r="E166" s="84">
        <v>50000</v>
      </c>
      <c r="F166" s="215"/>
      <c r="G166" s="84"/>
      <c r="H166" s="84">
        <f t="shared" si="3"/>
        <v>50000</v>
      </c>
    </row>
    <row r="167" spans="2:8" x14ac:dyDescent="0.25">
      <c r="B167" s="188">
        <v>45948</v>
      </c>
      <c r="C167" s="70" t="s">
        <v>274</v>
      </c>
      <c r="D167" s="121">
        <v>1</v>
      </c>
      <c r="E167" s="84">
        <v>50000</v>
      </c>
      <c r="F167" s="215"/>
      <c r="G167" s="84"/>
      <c r="H167" s="84">
        <f t="shared" si="3"/>
        <v>50000</v>
      </c>
    </row>
    <row r="168" spans="2:8" x14ac:dyDescent="0.25">
      <c r="B168" s="188">
        <v>45948</v>
      </c>
      <c r="C168" s="70" t="s">
        <v>197</v>
      </c>
      <c r="D168" s="121">
        <v>1</v>
      </c>
      <c r="E168" s="84">
        <v>50000</v>
      </c>
      <c r="F168" s="215"/>
      <c r="G168" s="84"/>
      <c r="H168" s="84">
        <f t="shared" si="3"/>
        <v>50000</v>
      </c>
    </row>
    <row r="169" spans="2:8" x14ac:dyDescent="0.25">
      <c r="B169" s="188">
        <v>45948</v>
      </c>
      <c r="C169" s="70" t="s">
        <v>310</v>
      </c>
      <c r="D169" s="121">
        <v>1</v>
      </c>
      <c r="E169" s="84">
        <v>65000</v>
      </c>
      <c r="F169" s="215">
        <v>352</v>
      </c>
      <c r="G169" s="168">
        <v>543.29999999999995</v>
      </c>
      <c r="H169" s="84">
        <f t="shared" si="3"/>
        <v>256241.59999999998</v>
      </c>
    </row>
    <row r="170" spans="2:8" x14ac:dyDescent="0.25">
      <c r="B170" s="188">
        <v>45948</v>
      </c>
      <c r="C170" s="70" t="s">
        <v>183</v>
      </c>
      <c r="D170" s="121">
        <v>1</v>
      </c>
      <c r="E170" s="84">
        <v>50000</v>
      </c>
      <c r="F170" s="215"/>
      <c r="G170" s="84"/>
      <c r="H170" s="84">
        <f t="shared" si="3"/>
        <v>50000</v>
      </c>
    </row>
    <row r="171" spans="2:8" x14ac:dyDescent="0.25">
      <c r="B171" s="188">
        <v>45948</v>
      </c>
      <c r="C171" s="70" t="s">
        <v>330</v>
      </c>
      <c r="D171" s="121">
        <v>1</v>
      </c>
      <c r="E171" s="84">
        <v>50000</v>
      </c>
      <c r="F171" s="215"/>
      <c r="G171" s="84"/>
      <c r="H171" s="84">
        <f t="shared" si="3"/>
        <v>50000</v>
      </c>
    </row>
    <row r="172" spans="2:8" x14ac:dyDescent="0.25">
      <c r="B172" s="188">
        <v>45948</v>
      </c>
      <c r="C172" s="70" t="s">
        <v>421</v>
      </c>
      <c r="D172" s="121">
        <v>1</v>
      </c>
      <c r="E172" s="84">
        <v>50000</v>
      </c>
      <c r="F172" s="215"/>
      <c r="G172" s="84"/>
      <c r="H172" s="84">
        <f t="shared" si="3"/>
        <v>50000</v>
      </c>
    </row>
    <row r="173" spans="2:8" x14ac:dyDescent="0.25">
      <c r="B173" s="188">
        <v>45949</v>
      </c>
      <c r="C173" s="70" t="s">
        <v>197</v>
      </c>
      <c r="D173" s="121">
        <v>1</v>
      </c>
      <c r="E173" s="84">
        <v>50000</v>
      </c>
      <c r="F173" s="215"/>
      <c r="G173" s="84"/>
      <c r="H173" s="84">
        <f t="shared" si="3"/>
        <v>50000</v>
      </c>
    </row>
    <row r="174" spans="2:8" x14ac:dyDescent="0.25">
      <c r="B174" s="188">
        <v>45949</v>
      </c>
      <c r="C174" s="70" t="s">
        <v>274</v>
      </c>
      <c r="D174" s="121">
        <v>0.5</v>
      </c>
      <c r="E174" s="84">
        <v>50000</v>
      </c>
      <c r="F174" s="215"/>
      <c r="G174" s="84"/>
      <c r="H174" s="84">
        <f t="shared" si="3"/>
        <v>25000</v>
      </c>
    </row>
    <row r="175" spans="2:8" x14ac:dyDescent="0.25">
      <c r="B175" s="188">
        <v>45950</v>
      </c>
      <c r="C175" s="70" t="s">
        <v>210</v>
      </c>
      <c r="D175" s="121">
        <v>1</v>
      </c>
      <c r="E175" s="84">
        <v>50000</v>
      </c>
      <c r="F175" s="215">
        <v>201</v>
      </c>
      <c r="G175" s="151">
        <v>543.29999999999995</v>
      </c>
      <c r="H175" s="84">
        <f t="shared" si="3"/>
        <v>159203.29999999999</v>
      </c>
    </row>
    <row r="176" spans="2:8" x14ac:dyDescent="0.25">
      <c r="B176" s="188">
        <v>45950</v>
      </c>
      <c r="C176" s="70" t="s">
        <v>259</v>
      </c>
      <c r="D176" s="121">
        <v>1</v>
      </c>
      <c r="E176" s="84">
        <v>65000</v>
      </c>
      <c r="F176" s="215">
        <v>398</v>
      </c>
      <c r="G176" s="168">
        <v>633.85</v>
      </c>
      <c r="H176" s="84">
        <f>D176*E176+F176*G176</f>
        <v>317272.30000000005</v>
      </c>
    </row>
    <row r="177" spans="2:8" x14ac:dyDescent="0.25">
      <c r="B177" s="188">
        <v>45950</v>
      </c>
      <c r="C177" s="70" t="s">
        <v>198</v>
      </c>
      <c r="D177" s="121">
        <v>1</v>
      </c>
      <c r="E177" s="84">
        <v>50000</v>
      </c>
      <c r="F177" s="215"/>
      <c r="G177" s="168"/>
      <c r="H177" s="84">
        <f t="shared" si="3"/>
        <v>50000</v>
      </c>
    </row>
    <row r="178" spans="2:8" x14ac:dyDescent="0.25">
      <c r="B178" s="188">
        <v>45950</v>
      </c>
      <c r="C178" s="70" t="s">
        <v>345</v>
      </c>
      <c r="D178" s="121">
        <v>1</v>
      </c>
      <c r="E178" s="84">
        <v>50000</v>
      </c>
      <c r="F178" s="215">
        <v>90</v>
      </c>
      <c r="G178" s="84">
        <v>371.8</v>
      </c>
      <c r="H178" s="84">
        <f t="shared" si="3"/>
        <v>83462</v>
      </c>
    </row>
    <row r="179" spans="2:8" x14ac:dyDescent="0.25">
      <c r="B179" s="188">
        <v>45950</v>
      </c>
      <c r="C179" s="70" t="s">
        <v>169</v>
      </c>
      <c r="D179" s="121">
        <v>1</v>
      </c>
      <c r="E179" s="84">
        <v>65000</v>
      </c>
      <c r="F179" s="215">
        <v>312</v>
      </c>
      <c r="G179" s="83">
        <v>557.70000000000005</v>
      </c>
      <c r="H179" s="84">
        <f>D179*E179+F179*G179</f>
        <v>239002.40000000002</v>
      </c>
    </row>
    <row r="180" spans="2:8" x14ac:dyDescent="0.25">
      <c r="B180" s="188">
        <v>45950</v>
      </c>
      <c r="C180" s="70" t="s">
        <v>310</v>
      </c>
      <c r="D180" s="121">
        <v>1</v>
      </c>
      <c r="E180" s="84">
        <v>50000</v>
      </c>
      <c r="F180" s="215"/>
      <c r="G180" s="168"/>
      <c r="H180" s="84">
        <f t="shared" si="3"/>
        <v>50000</v>
      </c>
    </row>
    <row r="181" spans="2:8" x14ac:dyDescent="0.25">
      <c r="B181" s="188">
        <v>45950</v>
      </c>
      <c r="C181" s="70" t="s">
        <v>197</v>
      </c>
      <c r="D181" s="121">
        <v>1</v>
      </c>
      <c r="E181" s="84">
        <v>50000</v>
      </c>
      <c r="F181" s="215"/>
      <c r="G181" s="168"/>
      <c r="H181" s="84">
        <f t="shared" si="3"/>
        <v>50000</v>
      </c>
    </row>
    <row r="182" spans="2:8" x14ac:dyDescent="0.25">
      <c r="B182" s="188">
        <v>45950</v>
      </c>
      <c r="C182" s="70" t="s">
        <v>274</v>
      </c>
      <c r="D182" s="121">
        <v>1</v>
      </c>
      <c r="E182" s="84">
        <v>50000</v>
      </c>
      <c r="F182" s="215"/>
      <c r="G182" s="168"/>
      <c r="H182" s="84">
        <f t="shared" si="3"/>
        <v>50000</v>
      </c>
    </row>
    <row r="183" spans="2:8" x14ac:dyDescent="0.25">
      <c r="B183" s="188">
        <v>45951</v>
      </c>
      <c r="C183" s="70" t="s">
        <v>274</v>
      </c>
      <c r="D183" s="121">
        <v>1</v>
      </c>
      <c r="E183" s="84">
        <v>50000</v>
      </c>
      <c r="F183" s="215"/>
      <c r="G183" s="168"/>
      <c r="H183" s="84">
        <f t="shared" si="3"/>
        <v>50000</v>
      </c>
    </row>
    <row r="184" spans="2:8" x14ac:dyDescent="0.25">
      <c r="B184" s="188">
        <v>45951</v>
      </c>
      <c r="C184" s="70" t="s">
        <v>197</v>
      </c>
      <c r="D184" s="121">
        <v>1</v>
      </c>
      <c r="E184" s="84">
        <v>50000</v>
      </c>
      <c r="F184" s="215"/>
      <c r="G184" s="168"/>
      <c r="H184" s="84">
        <f t="shared" si="3"/>
        <v>50000</v>
      </c>
    </row>
    <row r="185" spans="2:8" x14ac:dyDescent="0.25">
      <c r="B185" s="188">
        <v>45951</v>
      </c>
      <c r="C185" s="70" t="s">
        <v>169</v>
      </c>
      <c r="D185" s="121">
        <v>1</v>
      </c>
      <c r="E185" s="84">
        <v>65000</v>
      </c>
      <c r="F185" s="215">
        <v>0</v>
      </c>
      <c r="G185" s="83">
        <v>557.70000000000005</v>
      </c>
      <c r="H185" s="84">
        <f>D185*E185+F185*G185</f>
        <v>65000</v>
      </c>
    </row>
    <row r="186" spans="2:8" x14ac:dyDescent="0.25">
      <c r="B186" s="188">
        <v>45951</v>
      </c>
      <c r="C186" s="70" t="s">
        <v>310</v>
      </c>
      <c r="D186" s="121">
        <v>1</v>
      </c>
      <c r="E186" s="84">
        <v>65000</v>
      </c>
      <c r="F186" s="215">
        <v>281</v>
      </c>
      <c r="G186" s="168">
        <v>543.29999999999995</v>
      </c>
      <c r="H186" s="84">
        <f t="shared" si="3"/>
        <v>217667.3</v>
      </c>
    </row>
    <row r="187" spans="2:8" x14ac:dyDescent="0.25">
      <c r="B187" s="188">
        <v>45951</v>
      </c>
      <c r="C187" s="70" t="s">
        <v>198</v>
      </c>
      <c r="D187" s="121">
        <v>1</v>
      </c>
      <c r="E187" s="84">
        <v>75000</v>
      </c>
      <c r="F187" s="215"/>
      <c r="G187" s="168"/>
      <c r="H187" s="84">
        <f t="shared" si="3"/>
        <v>75000</v>
      </c>
    </row>
    <row r="188" spans="2:8" x14ac:dyDescent="0.25">
      <c r="B188" s="188">
        <v>45951</v>
      </c>
      <c r="C188" s="70" t="s">
        <v>345</v>
      </c>
      <c r="D188" s="121">
        <v>1</v>
      </c>
      <c r="E188" s="84">
        <v>50000</v>
      </c>
      <c r="F188" s="215">
        <v>90</v>
      </c>
      <c r="G188" s="84">
        <v>371.8</v>
      </c>
      <c r="H188" s="84">
        <f t="shared" si="3"/>
        <v>83462</v>
      </c>
    </row>
    <row r="189" spans="2:8" x14ac:dyDescent="0.25">
      <c r="B189" s="188">
        <v>45951</v>
      </c>
      <c r="C189" s="70" t="s">
        <v>297</v>
      </c>
      <c r="D189" s="121">
        <v>1</v>
      </c>
      <c r="E189" s="84">
        <v>50000</v>
      </c>
      <c r="F189" s="215"/>
      <c r="G189" s="168"/>
      <c r="H189" s="84">
        <f t="shared" si="3"/>
        <v>50000</v>
      </c>
    </row>
    <row r="190" spans="2:8" x14ac:dyDescent="0.25">
      <c r="B190" s="188">
        <v>45953</v>
      </c>
      <c r="C190" s="70" t="s">
        <v>310</v>
      </c>
      <c r="D190" s="121">
        <v>1</v>
      </c>
      <c r="E190" s="84">
        <v>65000</v>
      </c>
      <c r="F190" s="215">
        <v>116</v>
      </c>
      <c r="G190" s="168">
        <v>543.29999999999995</v>
      </c>
      <c r="H190" s="84">
        <f t="shared" si="3"/>
        <v>128022.79999999999</v>
      </c>
    </row>
    <row r="191" spans="2:8" x14ac:dyDescent="0.25">
      <c r="B191" s="188">
        <v>45953</v>
      </c>
      <c r="C191" s="70" t="s">
        <v>169</v>
      </c>
      <c r="D191" s="121">
        <v>1</v>
      </c>
      <c r="E191" s="84">
        <v>65000</v>
      </c>
      <c r="F191" s="215">
        <v>0</v>
      </c>
      <c r="G191" s="83">
        <v>557.70000000000005</v>
      </c>
      <c r="H191" s="84">
        <f>D191*E191+F191*G191</f>
        <v>65000</v>
      </c>
    </row>
    <row r="192" spans="2:8" x14ac:dyDescent="0.25">
      <c r="B192" s="188">
        <v>45953</v>
      </c>
      <c r="C192" s="70" t="s">
        <v>198</v>
      </c>
      <c r="D192" s="121">
        <v>1</v>
      </c>
      <c r="E192" s="84">
        <v>50000</v>
      </c>
      <c r="F192" s="215"/>
      <c r="G192" s="168"/>
      <c r="H192" s="84">
        <f t="shared" si="3"/>
        <v>50000</v>
      </c>
    </row>
    <row r="193" spans="2:8" x14ac:dyDescent="0.25">
      <c r="B193" s="188">
        <v>45956</v>
      </c>
      <c r="C193" s="70" t="s">
        <v>169</v>
      </c>
      <c r="D193" s="121">
        <v>1</v>
      </c>
      <c r="E193" s="84">
        <v>65000</v>
      </c>
      <c r="F193" s="215">
        <v>0</v>
      </c>
      <c r="G193" s="83">
        <v>557.70000000000005</v>
      </c>
      <c r="H193" s="84">
        <f>D193*E193+F193*G193</f>
        <v>65000</v>
      </c>
    </row>
    <row r="194" spans="2:8" x14ac:dyDescent="0.25">
      <c r="B194" s="188">
        <v>45956</v>
      </c>
      <c r="C194" s="70" t="s">
        <v>310</v>
      </c>
      <c r="D194" s="121">
        <v>1</v>
      </c>
      <c r="E194" s="84">
        <v>65000</v>
      </c>
      <c r="F194" s="215">
        <v>55</v>
      </c>
      <c r="G194" s="168">
        <v>543.29999999999995</v>
      </c>
      <c r="H194" s="84">
        <f t="shared" si="3"/>
        <v>94881.5</v>
      </c>
    </row>
    <row r="195" spans="2:8" x14ac:dyDescent="0.25">
      <c r="B195" s="188">
        <v>45957</v>
      </c>
      <c r="C195" s="150" t="s">
        <v>274</v>
      </c>
      <c r="D195" s="201">
        <v>1</v>
      </c>
      <c r="E195" s="84">
        <v>50000</v>
      </c>
      <c r="F195" s="215"/>
      <c r="G195" s="168"/>
      <c r="H195" s="168">
        <f t="shared" si="3"/>
        <v>50000</v>
      </c>
    </row>
    <row r="196" spans="2:8" x14ac:dyDescent="0.25">
      <c r="B196" s="188">
        <v>45957</v>
      </c>
      <c r="C196" s="150" t="s">
        <v>197</v>
      </c>
      <c r="D196" s="201">
        <v>1</v>
      </c>
      <c r="E196" s="84">
        <v>50000</v>
      </c>
      <c r="F196" s="215"/>
      <c r="G196" s="168"/>
      <c r="H196" s="168">
        <f t="shared" si="3"/>
        <v>50000</v>
      </c>
    </row>
    <row r="197" spans="2:8" x14ac:dyDescent="0.25">
      <c r="B197" s="188">
        <v>45957</v>
      </c>
      <c r="C197" s="150" t="s">
        <v>169</v>
      </c>
      <c r="D197" s="187">
        <v>1</v>
      </c>
      <c r="E197" s="84">
        <v>65000</v>
      </c>
      <c r="F197" s="215">
        <v>0</v>
      </c>
      <c r="G197" s="83">
        <v>557.70000000000005</v>
      </c>
      <c r="H197" s="84">
        <f>D197*E197+F197*G197</f>
        <v>65000</v>
      </c>
    </row>
    <row r="198" spans="2:8" x14ac:dyDescent="0.25">
      <c r="B198" s="188">
        <v>45957</v>
      </c>
      <c r="C198" s="150" t="s">
        <v>345</v>
      </c>
      <c r="D198" s="201">
        <v>1</v>
      </c>
      <c r="E198" s="84">
        <v>50000</v>
      </c>
      <c r="F198" s="215">
        <v>50</v>
      </c>
      <c r="G198" s="84">
        <v>371.8</v>
      </c>
      <c r="H198" s="84">
        <f t="shared" si="3"/>
        <v>68590</v>
      </c>
    </row>
    <row r="199" spans="2:8" x14ac:dyDescent="0.25">
      <c r="B199" s="188">
        <v>45957</v>
      </c>
      <c r="C199" s="150" t="s">
        <v>362</v>
      </c>
      <c r="D199" s="187">
        <v>1</v>
      </c>
      <c r="E199" s="84">
        <v>50000</v>
      </c>
      <c r="F199" s="215"/>
      <c r="G199" s="168"/>
      <c r="H199" s="84">
        <f t="shared" si="3"/>
        <v>50000</v>
      </c>
    </row>
    <row r="200" spans="2:8" x14ac:dyDescent="0.25">
      <c r="B200" s="188">
        <v>45957</v>
      </c>
      <c r="C200" s="150" t="s">
        <v>310</v>
      </c>
      <c r="D200" s="201">
        <v>1</v>
      </c>
      <c r="E200" s="84">
        <v>65000</v>
      </c>
      <c r="F200" s="215">
        <v>269</v>
      </c>
      <c r="G200" s="168">
        <v>543.29999999999995</v>
      </c>
      <c r="H200" s="84">
        <f t="shared" si="3"/>
        <v>211147.69999999998</v>
      </c>
    </row>
    <row r="201" spans="2:8" x14ac:dyDescent="0.25">
      <c r="B201" s="188">
        <v>45957</v>
      </c>
      <c r="C201" s="150" t="s">
        <v>183</v>
      </c>
      <c r="D201" s="201">
        <v>1</v>
      </c>
      <c r="E201" s="84">
        <v>50000</v>
      </c>
      <c r="F201" s="215"/>
      <c r="G201" s="168"/>
      <c r="H201" s="84">
        <f t="shared" si="3"/>
        <v>50000</v>
      </c>
    </row>
    <row r="202" spans="2:8" x14ac:dyDescent="0.25">
      <c r="B202" s="188">
        <v>45958</v>
      </c>
      <c r="C202" s="150" t="s">
        <v>274</v>
      </c>
      <c r="D202" s="187">
        <v>1</v>
      </c>
      <c r="E202" s="84">
        <v>50000</v>
      </c>
      <c r="F202" s="215"/>
      <c r="G202" s="168"/>
      <c r="H202" s="84">
        <f t="shared" si="3"/>
        <v>50000</v>
      </c>
    </row>
    <row r="203" spans="2:8" x14ac:dyDescent="0.25">
      <c r="B203" s="188">
        <v>45958</v>
      </c>
      <c r="C203" s="150" t="s">
        <v>197</v>
      </c>
      <c r="D203" s="201">
        <v>1</v>
      </c>
      <c r="E203" s="168">
        <v>50000</v>
      </c>
      <c r="F203" s="215"/>
      <c r="G203" s="168"/>
      <c r="H203" s="84">
        <f t="shared" si="3"/>
        <v>50000</v>
      </c>
    </row>
    <row r="204" spans="2:8" x14ac:dyDescent="0.25">
      <c r="B204" s="188">
        <v>45958</v>
      </c>
      <c r="C204" s="150" t="s">
        <v>310</v>
      </c>
      <c r="D204" s="187">
        <v>1</v>
      </c>
      <c r="E204" s="168">
        <v>65000</v>
      </c>
      <c r="F204" s="215">
        <v>116</v>
      </c>
      <c r="G204" s="168">
        <v>543.29999999999995</v>
      </c>
      <c r="H204" s="84">
        <f t="shared" si="3"/>
        <v>128022.79999999999</v>
      </c>
    </row>
    <row r="205" spans="2:8" x14ac:dyDescent="0.25">
      <c r="B205" s="188">
        <v>45958</v>
      </c>
      <c r="C205" s="150" t="s">
        <v>183</v>
      </c>
      <c r="D205" s="187">
        <v>1</v>
      </c>
      <c r="E205" s="168">
        <v>50000</v>
      </c>
      <c r="F205" s="215"/>
      <c r="G205" s="168"/>
      <c r="H205" s="84">
        <f t="shared" si="3"/>
        <v>50000</v>
      </c>
    </row>
    <row r="206" spans="2:8" x14ac:dyDescent="0.25">
      <c r="B206" s="188">
        <v>45958</v>
      </c>
      <c r="C206" s="150" t="s">
        <v>169</v>
      </c>
      <c r="D206" s="187">
        <v>1</v>
      </c>
      <c r="E206" s="168">
        <v>65000</v>
      </c>
      <c r="F206" s="215">
        <v>0</v>
      </c>
      <c r="G206" s="83">
        <v>557.70000000000005</v>
      </c>
      <c r="H206" s="84">
        <f>D206*E206+F206*G206</f>
        <v>65000</v>
      </c>
    </row>
    <row r="207" spans="2:8" x14ac:dyDescent="0.25">
      <c r="B207" s="188">
        <v>45958</v>
      </c>
      <c r="C207" s="150" t="s">
        <v>198</v>
      </c>
      <c r="D207" s="187">
        <v>1</v>
      </c>
      <c r="E207" s="168">
        <v>50000</v>
      </c>
      <c r="F207" s="215"/>
      <c r="G207" s="168"/>
      <c r="H207" s="84">
        <f t="shared" si="3"/>
        <v>50000</v>
      </c>
    </row>
    <row r="208" spans="2:8" x14ac:dyDescent="0.25">
      <c r="B208" s="188">
        <v>45958</v>
      </c>
      <c r="C208" s="150" t="s">
        <v>345</v>
      </c>
      <c r="D208" s="187">
        <v>1</v>
      </c>
      <c r="E208" s="84">
        <v>50000</v>
      </c>
      <c r="F208" s="215">
        <v>140</v>
      </c>
      <c r="G208" s="84">
        <v>371.8</v>
      </c>
      <c r="H208" s="84">
        <f t="shared" si="3"/>
        <v>102052</v>
      </c>
    </row>
    <row r="209" spans="2:8" x14ac:dyDescent="0.25">
      <c r="B209" s="188">
        <v>45959</v>
      </c>
      <c r="C209" s="150" t="s">
        <v>210</v>
      </c>
      <c r="D209" s="201">
        <v>1</v>
      </c>
      <c r="E209" s="84">
        <v>50000</v>
      </c>
      <c r="F209" s="215">
        <v>212</v>
      </c>
      <c r="G209" s="151">
        <v>543.29999999999995</v>
      </c>
      <c r="H209" s="84">
        <f t="shared" si="3"/>
        <v>165179.59999999998</v>
      </c>
    </row>
    <row r="210" spans="2:8" x14ac:dyDescent="0.25">
      <c r="B210" s="188">
        <v>45959</v>
      </c>
      <c r="C210" s="150" t="s">
        <v>274</v>
      </c>
      <c r="D210" s="187">
        <v>1</v>
      </c>
      <c r="E210" s="84">
        <v>50000</v>
      </c>
      <c r="F210" s="215"/>
      <c r="G210" s="168"/>
      <c r="H210" s="84">
        <f t="shared" si="3"/>
        <v>50000</v>
      </c>
    </row>
    <row r="211" spans="2:8" x14ac:dyDescent="0.25">
      <c r="B211" s="188">
        <v>45959</v>
      </c>
      <c r="C211" s="150" t="s">
        <v>260</v>
      </c>
      <c r="D211" s="187">
        <v>1</v>
      </c>
      <c r="E211" s="84">
        <v>50000</v>
      </c>
      <c r="F211" s="215"/>
      <c r="G211" s="168"/>
      <c r="H211" s="84">
        <f t="shared" si="3"/>
        <v>50000</v>
      </c>
    </row>
    <row r="212" spans="2:8" x14ac:dyDescent="0.25">
      <c r="B212" s="188">
        <v>45959</v>
      </c>
      <c r="C212" s="150" t="s">
        <v>345</v>
      </c>
      <c r="D212" s="187">
        <v>1</v>
      </c>
      <c r="E212" s="84">
        <v>50000</v>
      </c>
      <c r="F212" s="215">
        <v>120</v>
      </c>
      <c r="G212" s="84">
        <v>371.8</v>
      </c>
      <c r="H212" s="84">
        <f t="shared" si="3"/>
        <v>94616</v>
      </c>
    </row>
    <row r="213" spans="2:8" x14ac:dyDescent="0.25">
      <c r="B213" s="188">
        <v>45959</v>
      </c>
      <c r="C213" s="150" t="s">
        <v>169</v>
      </c>
      <c r="D213" s="187">
        <v>1</v>
      </c>
      <c r="E213" s="84">
        <v>65000</v>
      </c>
      <c r="F213" s="215">
        <v>0</v>
      </c>
      <c r="G213" s="83">
        <v>557.70000000000005</v>
      </c>
      <c r="H213" s="84">
        <f>D213*E213+F213*G213</f>
        <v>65000</v>
      </c>
    </row>
    <row r="214" spans="2:8" x14ac:dyDescent="0.25">
      <c r="B214" s="188">
        <v>45959</v>
      </c>
      <c r="C214" s="150" t="s">
        <v>310</v>
      </c>
      <c r="D214" s="187">
        <v>1</v>
      </c>
      <c r="E214" s="84">
        <v>65000</v>
      </c>
      <c r="F214" s="215">
        <v>415</v>
      </c>
      <c r="G214" s="168">
        <v>543.29999999999995</v>
      </c>
      <c r="H214" s="84">
        <f t="shared" si="3"/>
        <v>290469.5</v>
      </c>
    </row>
    <row r="215" spans="2:8" x14ac:dyDescent="0.25">
      <c r="B215" s="188">
        <v>45959</v>
      </c>
      <c r="C215" s="150" t="s">
        <v>363</v>
      </c>
      <c r="D215" s="187">
        <v>1</v>
      </c>
      <c r="E215" s="84">
        <v>50000</v>
      </c>
      <c r="F215" s="215"/>
      <c r="G215" s="168"/>
      <c r="H215" s="84">
        <f t="shared" si="3"/>
        <v>50000</v>
      </c>
    </row>
    <row r="216" spans="2:8" x14ac:dyDescent="0.25">
      <c r="B216" s="188">
        <v>45959</v>
      </c>
      <c r="C216" s="150" t="s">
        <v>198</v>
      </c>
      <c r="D216" s="187">
        <v>1</v>
      </c>
      <c r="E216" s="84">
        <v>50000</v>
      </c>
      <c r="F216" s="215"/>
      <c r="G216" s="168"/>
      <c r="H216" s="84">
        <f t="shared" si="3"/>
        <v>50000</v>
      </c>
    </row>
    <row r="217" spans="2:8" x14ac:dyDescent="0.25">
      <c r="B217" s="204">
        <v>45959</v>
      </c>
      <c r="C217" s="150" t="s">
        <v>183</v>
      </c>
      <c r="D217" s="187">
        <v>1</v>
      </c>
      <c r="E217" s="84">
        <v>50000</v>
      </c>
      <c r="F217" s="215"/>
      <c r="G217" s="168"/>
      <c r="H217" s="84">
        <f t="shared" si="3"/>
        <v>50000</v>
      </c>
    </row>
    <row r="218" spans="2:8" x14ac:dyDescent="0.25">
      <c r="B218" s="204">
        <v>45959</v>
      </c>
      <c r="C218" s="150" t="s">
        <v>197</v>
      </c>
      <c r="D218" s="187">
        <v>1</v>
      </c>
      <c r="E218" s="168">
        <v>50000</v>
      </c>
      <c r="F218" s="215"/>
      <c r="G218" s="168"/>
      <c r="H218" s="84">
        <f t="shared" si="3"/>
        <v>50000</v>
      </c>
    </row>
    <row r="219" spans="2:8" x14ac:dyDescent="0.25">
      <c r="B219" s="204">
        <v>45960</v>
      </c>
      <c r="C219" s="150" t="s">
        <v>274</v>
      </c>
      <c r="D219" s="201">
        <v>1</v>
      </c>
      <c r="E219" s="168">
        <v>50000</v>
      </c>
      <c r="F219" s="215"/>
      <c r="G219" s="168"/>
      <c r="H219" s="84">
        <f t="shared" si="3"/>
        <v>50000</v>
      </c>
    </row>
    <row r="220" spans="2:8" x14ac:dyDescent="0.25">
      <c r="B220" s="188">
        <v>45960</v>
      </c>
      <c r="C220" s="150" t="s">
        <v>197</v>
      </c>
      <c r="D220" s="187">
        <v>1</v>
      </c>
      <c r="E220" s="168">
        <v>50000</v>
      </c>
      <c r="F220" s="215"/>
      <c r="G220" s="168"/>
      <c r="H220" s="84">
        <f t="shared" si="3"/>
        <v>50000</v>
      </c>
    </row>
    <row r="221" spans="2:8" x14ac:dyDescent="0.25">
      <c r="B221" s="188">
        <v>45960</v>
      </c>
      <c r="C221" s="150" t="s">
        <v>169</v>
      </c>
      <c r="D221" s="187">
        <v>1</v>
      </c>
      <c r="E221" s="168">
        <v>65000</v>
      </c>
      <c r="F221" s="215">
        <v>94</v>
      </c>
      <c r="G221" s="83">
        <v>557.70000000000005</v>
      </c>
      <c r="H221" s="84">
        <f>D221*E221+F221*G221</f>
        <v>117423.8</v>
      </c>
    </row>
    <row r="222" spans="2:8" x14ac:dyDescent="0.25">
      <c r="B222" s="188">
        <v>45960</v>
      </c>
      <c r="C222" s="150" t="s">
        <v>363</v>
      </c>
      <c r="D222" s="187">
        <v>1</v>
      </c>
      <c r="E222" s="84">
        <v>50000</v>
      </c>
      <c r="F222" s="215"/>
      <c r="G222" s="168"/>
      <c r="H222" s="84">
        <f t="shared" si="3"/>
        <v>50000</v>
      </c>
    </row>
    <row r="223" spans="2:8" x14ac:dyDescent="0.25">
      <c r="B223" s="188">
        <v>45960</v>
      </c>
      <c r="C223" s="150" t="s">
        <v>310</v>
      </c>
      <c r="D223" s="201">
        <v>1</v>
      </c>
      <c r="E223" s="84">
        <v>65000</v>
      </c>
      <c r="F223" s="215">
        <v>224</v>
      </c>
      <c r="G223" s="168">
        <v>543.29999999999995</v>
      </c>
      <c r="H223" s="84">
        <f t="shared" si="3"/>
        <v>186699.19999999998</v>
      </c>
    </row>
    <row r="224" spans="2:8" x14ac:dyDescent="0.25">
      <c r="B224" s="188">
        <v>45960</v>
      </c>
      <c r="C224" s="150" t="s">
        <v>362</v>
      </c>
      <c r="D224" s="187">
        <v>1</v>
      </c>
      <c r="E224" s="84">
        <v>50000</v>
      </c>
      <c r="F224" s="215"/>
      <c r="G224" s="168"/>
      <c r="H224" s="84">
        <f t="shared" si="3"/>
        <v>50000</v>
      </c>
    </row>
    <row r="225" spans="2:8" x14ac:dyDescent="0.25">
      <c r="B225" s="188">
        <v>45960</v>
      </c>
      <c r="C225" s="150" t="s">
        <v>345</v>
      </c>
      <c r="D225" s="201">
        <v>1</v>
      </c>
      <c r="E225" s="84">
        <v>50000</v>
      </c>
      <c r="F225" s="215">
        <v>90</v>
      </c>
      <c r="G225" s="84">
        <v>371.8</v>
      </c>
      <c r="H225" s="84">
        <f t="shared" si="3"/>
        <v>83462</v>
      </c>
    </row>
    <row r="226" spans="2:8" x14ac:dyDescent="0.25">
      <c r="B226" s="188">
        <v>45960</v>
      </c>
      <c r="C226" s="150" t="s">
        <v>198</v>
      </c>
      <c r="D226" s="187">
        <v>1</v>
      </c>
      <c r="E226" s="84">
        <v>50000</v>
      </c>
      <c r="F226" s="215"/>
      <c r="G226" s="168"/>
      <c r="H226" s="84">
        <f t="shared" si="3"/>
        <v>50000</v>
      </c>
    </row>
    <row r="227" spans="2:8" x14ac:dyDescent="0.25">
      <c r="B227" s="188">
        <v>45961</v>
      </c>
      <c r="C227" s="150" t="s">
        <v>274</v>
      </c>
      <c r="D227" s="187">
        <v>1</v>
      </c>
      <c r="E227" s="84">
        <v>50000</v>
      </c>
      <c r="F227" s="215"/>
      <c r="G227" s="168"/>
      <c r="H227" s="84">
        <f t="shared" si="3"/>
        <v>50000</v>
      </c>
    </row>
    <row r="228" spans="2:8" x14ac:dyDescent="0.25">
      <c r="B228" s="188">
        <v>45961</v>
      </c>
      <c r="C228" s="150" t="s">
        <v>197</v>
      </c>
      <c r="D228" s="201">
        <v>1</v>
      </c>
      <c r="E228" s="84">
        <v>50000</v>
      </c>
      <c r="F228" s="215"/>
      <c r="G228" s="168"/>
      <c r="H228" s="84">
        <f t="shared" si="3"/>
        <v>50000</v>
      </c>
    </row>
    <row r="229" spans="2:8" x14ac:dyDescent="0.25">
      <c r="B229" s="188">
        <v>45961</v>
      </c>
      <c r="C229" s="70" t="s">
        <v>310</v>
      </c>
      <c r="D229" s="116">
        <v>1</v>
      </c>
      <c r="E229" s="84">
        <v>65000</v>
      </c>
      <c r="F229" s="215">
        <v>217</v>
      </c>
      <c r="G229" s="168">
        <v>543.29999999999995</v>
      </c>
      <c r="H229" s="84">
        <f t="shared" si="3"/>
        <v>182896.09999999998</v>
      </c>
    </row>
    <row r="230" spans="2:8" x14ac:dyDescent="0.25">
      <c r="B230" s="188">
        <v>45961</v>
      </c>
      <c r="C230" s="70" t="s">
        <v>345</v>
      </c>
      <c r="D230" s="116">
        <v>1</v>
      </c>
      <c r="E230" s="84">
        <v>50000</v>
      </c>
      <c r="F230" s="215">
        <v>90</v>
      </c>
      <c r="G230" s="84">
        <v>371.8</v>
      </c>
      <c r="H230" s="84">
        <f t="shared" si="3"/>
        <v>83462</v>
      </c>
    </row>
    <row r="231" spans="2:8" x14ac:dyDescent="0.25">
      <c r="B231" s="188">
        <v>45961</v>
      </c>
      <c r="C231" s="70" t="s">
        <v>183</v>
      </c>
      <c r="D231" s="116">
        <v>1</v>
      </c>
      <c r="E231" s="84">
        <v>60000</v>
      </c>
      <c r="F231" s="215"/>
      <c r="G231" s="168"/>
      <c r="H231" s="84">
        <f t="shared" si="3"/>
        <v>60000</v>
      </c>
    </row>
    <row r="232" spans="2:8" x14ac:dyDescent="0.25">
      <c r="B232" s="188">
        <v>45961</v>
      </c>
      <c r="C232" s="70" t="s">
        <v>363</v>
      </c>
      <c r="D232" s="116">
        <v>1</v>
      </c>
      <c r="E232" s="84">
        <v>50000</v>
      </c>
      <c r="F232" s="215"/>
      <c r="G232" s="168"/>
      <c r="H232" s="84">
        <f t="shared" si="3"/>
        <v>50000</v>
      </c>
    </row>
    <row r="233" spans="2:8" x14ac:dyDescent="0.25">
      <c r="B233" s="188">
        <v>45962</v>
      </c>
      <c r="C233" s="70" t="s">
        <v>274</v>
      </c>
      <c r="D233" s="116">
        <v>1</v>
      </c>
      <c r="E233" s="84">
        <v>50000</v>
      </c>
      <c r="F233" s="215"/>
      <c r="G233" s="168"/>
      <c r="H233" s="84">
        <f t="shared" si="3"/>
        <v>50000</v>
      </c>
    </row>
    <row r="234" spans="2:8" x14ac:dyDescent="0.25">
      <c r="B234" s="188">
        <v>45962</v>
      </c>
      <c r="C234" s="70" t="s">
        <v>197</v>
      </c>
      <c r="D234" s="187">
        <v>1</v>
      </c>
      <c r="E234" s="168">
        <v>50000</v>
      </c>
      <c r="F234" s="215"/>
      <c r="G234" s="168"/>
      <c r="H234" s="84">
        <f t="shared" si="3"/>
        <v>50000</v>
      </c>
    </row>
    <row r="235" spans="2:8" x14ac:dyDescent="0.25">
      <c r="B235" s="188">
        <v>45962</v>
      </c>
      <c r="C235" s="70" t="s">
        <v>310</v>
      </c>
      <c r="D235" s="116">
        <v>1</v>
      </c>
      <c r="E235" s="84">
        <v>65000</v>
      </c>
      <c r="F235" s="215">
        <v>367</v>
      </c>
      <c r="G235" s="168">
        <v>543.29999999999995</v>
      </c>
      <c r="H235" s="84">
        <f t="shared" si="3"/>
        <v>264391.09999999998</v>
      </c>
    </row>
    <row r="236" spans="2:8" x14ac:dyDescent="0.25">
      <c r="B236" s="188">
        <v>45962</v>
      </c>
      <c r="C236" s="70" t="s">
        <v>362</v>
      </c>
      <c r="D236" s="187">
        <v>1</v>
      </c>
      <c r="E236" s="84">
        <v>50000</v>
      </c>
      <c r="F236" s="215"/>
      <c r="G236" s="168"/>
      <c r="H236" s="84">
        <f t="shared" si="3"/>
        <v>50000</v>
      </c>
    </row>
    <row r="237" spans="2:8" x14ac:dyDescent="0.25">
      <c r="B237" s="188">
        <v>45962</v>
      </c>
      <c r="C237" s="70" t="s">
        <v>363</v>
      </c>
      <c r="D237" s="116">
        <v>1</v>
      </c>
      <c r="E237" s="84">
        <v>50000</v>
      </c>
      <c r="F237" s="215"/>
      <c r="G237" s="168"/>
      <c r="H237" s="84">
        <f t="shared" si="3"/>
        <v>50000</v>
      </c>
    </row>
    <row r="238" spans="2:8" x14ac:dyDescent="0.25">
      <c r="B238" s="188">
        <v>45962</v>
      </c>
      <c r="C238" s="70" t="s">
        <v>330</v>
      </c>
      <c r="D238" s="187">
        <v>1</v>
      </c>
      <c r="E238" s="84">
        <v>50000</v>
      </c>
      <c r="F238" s="215"/>
      <c r="G238" s="168"/>
      <c r="H238" s="84">
        <f t="shared" si="3"/>
        <v>50000</v>
      </c>
    </row>
    <row r="239" spans="2:8" x14ac:dyDescent="0.25">
      <c r="B239" s="191">
        <v>45963</v>
      </c>
      <c r="C239" s="70" t="s">
        <v>274</v>
      </c>
      <c r="D239" s="116">
        <v>1</v>
      </c>
      <c r="E239" s="84">
        <v>50000</v>
      </c>
      <c r="F239" s="215"/>
      <c r="G239" s="168"/>
      <c r="H239" s="84">
        <f t="shared" si="3"/>
        <v>50000</v>
      </c>
    </row>
    <row r="240" spans="2:8" x14ac:dyDescent="0.25">
      <c r="B240" s="191">
        <v>45963</v>
      </c>
      <c r="C240" s="70" t="s">
        <v>197</v>
      </c>
      <c r="D240" s="187">
        <v>1</v>
      </c>
      <c r="E240" s="84">
        <v>50000</v>
      </c>
      <c r="F240" s="215"/>
      <c r="G240" s="168"/>
      <c r="H240" s="84">
        <f t="shared" si="3"/>
        <v>50000</v>
      </c>
    </row>
    <row r="241" spans="2:10" x14ac:dyDescent="0.25">
      <c r="B241" s="191">
        <v>45964</v>
      </c>
      <c r="C241" s="70" t="s">
        <v>274</v>
      </c>
      <c r="D241" s="116">
        <v>1</v>
      </c>
      <c r="E241" s="84">
        <v>50000</v>
      </c>
      <c r="F241" s="215"/>
      <c r="G241" s="168"/>
      <c r="H241" s="84">
        <f t="shared" si="3"/>
        <v>50000</v>
      </c>
    </row>
    <row r="242" spans="2:10" x14ac:dyDescent="0.25">
      <c r="B242" s="191">
        <v>45964</v>
      </c>
      <c r="C242" s="70" t="s">
        <v>169</v>
      </c>
      <c r="D242" s="187">
        <v>1</v>
      </c>
      <c r="E242" s="84">
        <v>65000</v>
      </c>
      <c r="F242" s="215">
        <v>88</v>
      </c>
      <c r="G242" s="83">
        <v>557.70000000000005</v>
      </c>
      <c r="H242" s="84">
        <f>D242*E242+F242*G242</f>
        <v>114077.6</v>
      </c>
    </row>
    <row r="243" spans="2:10" x14ac:dyDescent="0.25">
      <c r="B243" s="191">
        <v>45964</v>
      </c>
      <c r="C243" s="70" t="s">
        <v>364</v>
      </c>
      <c r="D243" s="116">
        <v>1</v>
      </c>
      <c r="E243" s="84">
        <v>50000</v>
      </c>
      <c r="F243" s="215"/>
      <c r="G243" s="168"/>
      <c r="H243" s="84">
        <f t="shared" si="3"/>
        <v>50000</v>
      </c>
    </row>
    <row r="244" spans="2:10" x14ac:dyDescent="0.25">
      <c r="B244" s="191">
        <v>45964</v>
      </c>
      <c r="C244" s="70" t="s">
        <v>363</v>
      </c>
      <c r="D244" s="187">
        <v>1</v>
      </c>
      <c r="E244" s="84">
        <v>50000</v>
      </c>
      <c r="F244" s="215"/>
      <c r="G244" s="168"/>
      <c r="H244" s="84">
        <f t="shared" si="3"/>
        <v>50000</v>
      </c>
    </row>
    <row r="245" spans="2:10" x14ac:dyDescent="0.25">
      <c r="B245" s="191">
        <v>45964</v>
      </c>
      <c r="C245" s="70" t="s">
        <v>310</v>
      </c>
      <c r="D245" s="116">
        <v>1</v>
      </c>
      <c r="E245" s="84">
        <v>65000</v>
      </c>
      <c r="F245" s="215">
        <v>311</v>
      </c>
      <c r="G245" s="168">
        <v>543.29999999999995</v>
      </c>
      <c r="H245" s="84">
        <f t="shared" si="3"/>
        <v>233966.3</v>
      </c>
    </row>
    <row r="246" spans="2:10" x14ac:dyDescent="0.25">
      <c r="B246" s="191">
        <v>45964</v>
      </c>
      <c r="C246" s="70" t="s">
        <v>198</v>
      </c>
      <c r="D246" s="187">
        <v>1</v>
      </c>
      <c r="E246" s="84">
        <v>50000</v>
      </c>
      <c r="F246" s="215"/>
      <c r="G246" s="168"/>
      <c r="H246" s="84">
        <f t="shared" si="3"/>
        <v>50000</v>
      </c>
    </row>
    <row r="247" spans="2:10" x14ac:dyDescent="0.25">
      <c r="B247" s="191">
        <v>45964</v>
      </c>
      <c r="C247" s="70" t="s">
        <v>362</v>
      </c>
      <c r="D247" s="116">
        <v>1</v>
      </c>
      <c r="E247" s="84">
        <v>50000</v>
      </c>
      <c r="F247" s="215"/>
      <c r="G247" s="168"/>
      <c r="H247" s="84">
        <f t="shared" si="3"/>
        <v>50000</v>
      </c>
    </row>
    <row r="248" spans="2:10" x14ac:dyDescent="0.25">
      <c r="B248" s="191">
        <v>45964</v>
      </c>
      <c r="C248" s="70" t="s">
        <v>183</v>
      </c>
      <c r="D248" s="116">
        <v>1</v>
      </c>
      <c r="E248" s="84">
        <v>50000</v>
      </c>
      <c r="F248" s="215"/>
      <c r="G248" s="168"/>
      <c r="H248" s="84">
        <f t="shared" si="3"/>
        <v>50000</v>
      </c>
    </row>
    <row r="249" spans="2:10" x14ac:dyDescent="0.25">
      <c r="B249" s="191">
        <v>45966</v>
      </c>
      <c r="C249" s="70" t="s">
        <v>169</v>
      </c>
      <c r="D249" s="187">
        <v>1</v>
      </c>
      <c r="E249" s="84">
        <v>50000</v>
      </c>
      <c r="F249" s="215">
        <v>150</v>
      </c>
      <c r="G249" s="83">
        <v>557.70000000000005</v>
      </c>
      <c r="H249" s="84">
        <f>D249*E249+F249*G249</f>
        <v>133655</v>
      </c>
    </row>
    <row r="250" spans="2:10" x14ac:dyDescent="0.25">
      <c r="B250" s="191">
        <v>45966</v>
      </c>
      <c r="C250" s="70" t="s">
        <v>364</v>
      </c>
      <c r="D250" s="116">
        <v>1</v>
      </c>
      <c r="E250" s="84">
        <v>75000</v>
      </c>
      <c r="F250" s="215"/>
      <c r="G250" s="168"/>
      <c r="H250" s="84">
        <f t="shared" si="3"/>
        <v>75000</v>
      </c>
    </row>
    <row r="251" spans="2:10" x14ac:dyDescent="0.25">
      <c r="B251" s="191">
        <v>45966</v>
      </c>
      <c r="C251" s="70" t="s">
        <v>363</v>
      </c>
      <c r="D251" s="187">
        <v>1</v>
      </c>
      <c r="E251" s="84">
        <v>50000</v>
      </c>
      <c r="F251" s="215"/>
      <c r="G251" s="168"/>
      <c r="H251" s="84">
        <f t="shared" si="3"/>
        <v>50000</v>
      </c>
    </row>
    <row r="252" spans="2:10" x14ac:dyDescent="0.25">
      <c r="B252" s="191">
        <v>45966</v>
      </c>
      <c r="C252" s="70" t="s">
        <v>183</v>
      </c>
      <c r="D252" s="116">
        <v>1</v>
      </c>
      <c r="E252" s="84">
        <v>50000</v>
      </c>
      <c r="F252" s="215"/>
      <c r="G252" s="168"/>
      <c r="H252" s="84">
        <f t="shared" si="3"/>
        <v>50000</v>
      </c>
    </row>
    <row r="253" spans="2:10" x14ac:dyDescent="0.25">
      <c r="B253" s="191">
        <v>45966</v>
      </c>
      <c r="C253" s="70" t="s">
        <v>310</v>
      </c>
      <c r="D253" s="187">
        <v>1</v>
      </c>
      <c r="E253" s="84">
        <v>65000</v>
      </c>
      <c r="F253" s="215">
        <v>152</v>
      </c>
      <c r="G253" s="168">
        <v>543.29999999999995</v>
      </c>
      <c r="H253" s="84">
        <f t="shared" si="3"/>
        <v>147581.59999999998</v>
      </c>
    </row>
    <row r="254" spans="2:10" x14ac:dyDescent="0.25">
      <c r="B254" s="191">
        <v>45966</v>
      </c>
      <c r="C254" s="70" t="s">
        <v>198</v>
      </c>
      <c r="D254" s="116">
        <v>1</v>
      </c>
      <c r="E254" s="84">
        <v>50000</v>
      </c>
      <c r="F254" s="215"/>
      <c r="G254" s="168"/>
      <c r="H254" s="84">
        <f t="shared" si="3"/>
        <v>50000</v>
      </c>
    </row>
    <row r="255" spans="2:10" x14ac:dyDescent="0.25">
      <c r="B255" s="191">
        <v>45966</v>
      </c>
      <c r="C255" s="70" t="s">
        <v>345</v>
      </c>
      <c r="D255" s="187">
        <v>1</v>
      </c>
      <c r="E255" s="84">
        <v>50000</v>
      </c>
      <c r="F255" s="215">
        <v>132</v>
      </c>
      <c r="G255" s="84">
        <v>371.8</v>
      </c>
      <c r="H255" s="84">
        <f t="shared" si="3"/>
        <v>99077.6</v>
      </c>
      <c r="J255" s="166"/>
    </row>
    <row r="256" spans="2:10" x14ac:dyDescent="0.25">
      <c r="B256" s="191">
        <v>45967</v>
      </c>
      <c r="C256" s="70" t="s">
        <v>274</v>
      </c>
      <c r="D256" s="116">
        <v>1</v>
      </c>
      <c r="E256" s="84">
        <v>50000</v>
      </c>
      <c r="F256" s="215"/>
      <c r="G256" s="168"/>
      <c r="H256" s="84">
        <f t="shared" si="3"/>
        <v>50000</v>
      </c>
      <c r="J256" s="166"/>
    </row>
    <row r="257" spans="2:10" x14ac:dyDescent="0.25">
      <c r="B257" s="191">
        <v>45967</v>
      </c>
      <c r="C257" s="70" t="s">
        <v>310</v>
      </c>
      <c r="D257" s="116">
        <v>1</v>
      </c>
      <c r="E257" s="84">
        <v>65000</v>
      </c>
      <c r="F257" s="215">
        <v>251</v>
      </c>
      <c r="G257" s="168">
        <v>543.29999999999995</v>
      </c>
      <c r="H257" s="84">
        <f t="shared" si="3"/>
        <v>201368.3</v>
      </c>
      <c r="J257" s="166"/>
    </row>
    <row r="258" spans="2:10" x14ac:dyDescent="0.25">
      <c r="B258" s="191">
        <v>45967</v>
      </c>
      <c r="C258" s="70" t="s">
        <v>362</v>
      </c>
      <c r="D258" s="116">
        <v>1</v>
      </c>
      <c r="E258" s="84">
        <v>50000</v>
      </c>
      <c r="F258" s="215"/>
      <c r="G258" s="168"/>
      <c r="H258" s="84">
        <f t="shared" si="3"/>
        <v>50000</v>
      </c>
      <c r="J258" s="166"/>
    </row>
    <row r="259" spans="2:10" x14ac:dyDescent="0.25">
      <c r="B259" s="204">
        <v>45967</v>
      </c>
      <c r="C259" s="70" t="s">
        <v>345</v>
      </c>
      <c r="D259" s="116">
        <v>1</v>
      </c>
      <c r="E259" s="84">
        <v>50000</v>
      </c>
      <c r="F259" s="215">
        <v>200</v>
      </c>
      <c r="G259" s="84">
        <v>371.8</v>
      </c>
      <c r="H259" s="84">
        <f t="shared" si="3"/>
        <v>124360</v>
      </c>
      <c r="J259" s="166"/>
    </row>
    <row r="260" spans="2:10" x14ac:dyDescent="0.25">
      <c r="B260" s="204">
        <v>45967</v>
      </c>
      <c r="C260" s="70" t="s">
        <v>183</v>
      </c>
      <c r="D260" s="116">
        <v>1</v>
      </c>
      <c r="E260" s="84">
        <v>50000</v>
      </c>
      <c r="F260" s="215"/>
      <c r="G260" s="168"/>
      <c r="H260" s="84">
        <f t="shared" si="3"/>
        <v>50000</v>
      </c>
      <c r="J260" s="166"/>
    </row>
    <row r="261" spans="2:10" x14ac:dyDescent="0.25">
      <c r="B261" s="204">
        <v>45967</v>
      </c>
      <c r="C261" s="70" t="s">
        <v>169</v>
      </c>
      <c r="D261" s="116">
        <v>1</v>
      </c>
      <c r="E261" s="84">
        <v>65000</v>
      </c>
      <c r="F261" s="215">
        <v>119</v>
      </c>
      <c r="G261" s="83">
        <v>557.70000000000005</v>
      </c>
      <c r="H261" s="84">
        <f>D261*E261+F261*G261</f>
        <v>131366.29999999999</v>
      </c>
    </row>
    <row r="262" spans="2:10" x14ac:dyDescent="0.25">
      <c r="B262" s="191">
        <v>45967</v>
      </c>
      <c r="C262" s="70" t="s">
        <v>364</v>
      </c>
      <c r="D262" s="116">
        <v>1</v>
      </c>
      <c r="E262" s="84">
        <v>50000</v>
      </c>
      <c r="F262" s="215"/>
      <c r="G262" s="168"/>
      <c r="H262" s="84">
        <f t="shared" si="3"/>
        <v>50000</v>
      </c>
    </row>
    <row r="263" spans="2:10" x14ac:dyDescent="0.25">
      <c r="B263" s="191">
        <v>45967</v>
      </c>
      <c r="C263" s="70" t="s">
        <v>363</v>
      </c>
      <c r="D263" s="116">
        <v>1</v>
      </c>
      <c r="E263" s="84">
        <v>50000</v>
      </c>
      <c r="F263" s="215"/>
      <c r="G263" s="168"/>
      <c r="H263" s="84">
        <f t="shared" si="3"/>
        <v>50000</v>
      </c>
    </row>
    <row r="264" spans="2:10" x14ac:dyDescent="0.25">
      <c r="B264" s="191">
        <v>45968</v>
      </c>
      <c r="C264" s="70" t="s">
        <v>274</v>
      </c>
      <c r="D264" s="116">
        <v>1</v>
      </c>
      <c r="E264" s="84">
        <v>50000</v>
      </c>
      <c r="F264" s="215"/>
      <c r="G264" s="168"/>
      <c r="H264" s="84">
        <f t="shared" si="3"/>
        <v>50000</v>
      </c>
    </row>
    <row r="265" spans="2:10" x14ac:dyDescent="0.25">
      <c r="B265" s="191">
        <v>45968</v>
      </c>
      <c r="C265" s="70" t="s">
        <v>259</v>
      </c>
      <c r="D265" s="116">
        <v>1</v>
      </c>
      <c r="E265" s="84">
        <v>90000</v>
      </c>
      <c r="F265" s="215">
        <v>269</v>
      </c>
      <c r="G265" s="168">
        <v>633.85</v>
      </c>
      <c r="H265" s="84">
        <f t="shared" si="3"/>
        <v>260505.65</v>
      </c>
    </row>
    <row r="266" spans="2:10" x14ac:dyDescent="0.25">
      <c r="B266" s="191">
        <v>45968</v>
      </c>
      <c r="C266" s="70" t="s">
        <v>364</v>
      </c>
      <c r="D266" s="116">
        <v>1</v>
      </c>
      <c r="E266" s="84">
        <v>75000</v>
      </c>
      <c r="F266" s="215"/>
      <c r="G266" s="168"/>
      <c r="H266" s="84">
        <f t="shared" si="3"/>
        <v>75000</v>
      </c>
    </row>
    <row r="267" spans="2:10" x14ac:dyDescent="0.25">
      <c r="B267" s="191">
        <v>45968</v>
      </c>
      <c r="C267" s="70" t="s">
        <v>363</v>
      </c>
      <c r="D267" s="116">
        <v>1</v>
      </c>
      <c r="E267" s="84">
        <v>75000</v>
      </c>
      <c r="F267" s="215"/>
      <c r="G267" s="168"/>
      <c r="H267" s="84">
        <f t="shared" si="3"/>
        <v>75000</v>
      </c>
    </row>
    <row r="268" spans="2:10" x14ac:dyDescent="0.25">
      <c r="B268" s="191">
        <v>45968</v>
      </c>
      <c r="C268" s="70" t="s">
        <v>345</v>
      </c>
      <c r="D268" s="116">
        <v>1</v>
      </c>
      <c r="E268" s="84">
        <v>75000</v>
      </c>
      <c r="F268" s="215">
        <v>190</v>
      </c>
      <c r="G268" s="84">
        <v>371.8</v>
      </c>
      <c r="H268" s="84">
        <f t="shared" si="3"/>
        <v>145642</v>
      </c>
    </row>
    <row r="269" spans="2:10" x14ac:dyDescent="0.25">
      <c r="B269" s="191">
        <v>45968</v>
      </c>
      <c r="C269" s="70" t="s">
        <v>183</v>
      </c>
      <c r="D269" s="116">
        <v>1</v>
      </c>
      <c r="E269" s="84">
        <v>75000</v>
      </c>
      <c r="F269" s="215"/>
      <c r="G269" s="168"/>
      <c r="H269" s="84">
        <f t="shared" si="3"/>
        <v>75000</v>
      </c>
    </row>
    <row r="270" spans="2:10" x14ac:dyDescent="0.25">
      <c r="B270" s="191">
        <v>45968</v>
      </c>
      <c r="C270" s="70" t="s">
        <v>310</v>
      </c>
      <c r="D270" s="116">
        <v>1</v>
      </c>
      <c r="E270" s="84">
        <v>75000</v>
      </c>
      <c r="F270" s="215">
        <v>281</v>
      </c>
      <c r="G270" s="168">
        <v>543.29999999999995</v>
      </c>
      <c r="H270" s="84">
        <f t="shared" si="3"/>
        <v>227667.3</v>
      </c>
    </row>
    <row r="271" spans="2:10" x14ac:dyDescent="0.25">
      <c r="B271" s="191">
        <v>45968</v>
      </c>
      <c r="C271" s="70" t="s">
        <v>169</v>
      </c>
      <c r="D271" s="116">
        <v>1</v>
      </c>
      <c r="E271" s="84">
        <v>75000</v>
      </c>
      <c r="F271" s="215">
        <v>0</v>
      </c>
      <c r="G271" s="83">
        <v>557.70000000000005</v>
      </c>
      <c r="H271" s="84">
        <f>D271*E271+F271*G271</f>
        <v>75000</v>
      </c>
    </row>
    <row r="272" spans="2:10" x14ac:dyDescent="0.25">
      <c r="B272" s="191">
        <v>45968</v>
      </c>
      <c r="C272" s="70" t="s">
        <v>210</v>
      </c>
      <c r="D272" s="121">
        <v>1</v>
      </c>
      <c r="E272" s="84">
        <v>50000</v>
      </c>
      <c r="F272" s="215">
        <v>0</v>
      </c>
      <c r="G272" s="151">
        <v>543.29999999999995</v>
      </c>
      <c r="H272" s="84">
        <f t="shared" si="3"/>
        <v>50000</v>
      </c>
    </row>
    <row r="273" spans="2:8" x14ac:dyDescent="0.25">
      <c r="B273" s="191">
        <v>45968</v>
      </c>
      <c r="C273" s="70" t="s">
        <v>159</v>
      </c>
      <c r="D273" s="121">
        <v>1</v>
      </c>
      <c r="E273" s="84">
        <v>50000</v>
      </c>
      <c r="F273" s="215">
        <v>210</v>
      </c>
      <c r="G273" s="168">
        <v>543.29999999999995</v>
      </c>
      <c r="H273" s="84">
        <f t="shared" si="3"/>
        <v>164093</v>
      </c>
    </row>
    <row r="274" spans="2:8" x14ac:dyDescent="0.25">
      <c r="B274" s="191">
        <v>45968</v>
      </c>
      <c r="C274" s="70" t="s">
        <v>197</v>
      </c>
      <c r="D274" s="116">
        <v>1</v>
      </c>
      <c r="E274" s="84">
        <v>50000</v>
      </c>
      <c r="F274" s="215"/>
      <c r="G274" s="168"/>
      <c r="H274" s="84">
        <f t="shared" si="3"/>
        <v>50000</v>
      </c>
    </row>
    <row r="275" spans="2:8" x14ac:dyDescent="0.25">
      <c r="B275" s="191">
        <v>45969</v>
      </c>
      <c r="C275" s="70" t="s">
        <v>274</v>
      </c>
      <c r="D275" s="116">
        <v>1</v>
      </c>
      <c r="E275" s="84">
        <v>50000</v>
      </c>
      <c r="F275" s="215"/>
      <c r="G275" s="168"/>
      <c r="H275" s="84">
        <f t="shared" si="3"/>
        <v>50000</v>
      </c>
    </row>
    <row r="276" spans="2:8" x14ac:dyDescent="0.25">
      <c r="B276" s="191">
        <v>45969</v>
      </c>
      <c r="C276" s="70" t="s">
        <v>197</v>
      </c>
      <c r="D276" s="116">
        <v>1</v>
      </c>
      <c r="E276" s="84">
        <v>50000</v>
      </c>
      <c r="F276" s="215"/>
      <c r="G276" s="168"/>
      <c r="H276" s="84">
        <f t="shared" si="3"/>
        <v>50000</v>
      </c>
    </row>
    <row r="277" spans="2:8" x14ac:dyDescent="0.25">
      <c r="B277" s="191">
        <v>45969</v>
      </c>
      <c r="C277" s="70" t="s">
        <v>169</v>
      </c>
      <c r="D277" s="116">
        <v>1</v>
      </c>
      <c r="E277" s="84">
        <v>65000</v>
      </c>
      <c r="F277" s="215">
        <v>117</v>
      </c>
      <c r="G277" s="83">
        <v>557.70000000000005</v>
      </c>
      <c r="H277" s="84">
        <f>D277*E277+F277*G277</f>
        <v>130250.90000000001</v>
      </c>
    </row>
    <row r="278" spans="2:8" x14ac:dyDescent="0.25">
      <c r="B278" s="191">
        <v>45969</v>
      </c>
      <c r="C278" s="70" t="s">
        <v>363</v>
      </c>
      <c r="D278" s="116">
        <v>1</v>
      </c>
      <c r="E278" s="84">
        <v>50000</v>
      </c>
      <c r="F278" s="215"/>
      <c r="G278" s="168"/>
      <c r="H278" s="84">
        <f t="shared" si="3"/>
        <v>50000</v>
      </c>
    </row>
    <row r="279" spans="2:8" x14ac:dyDescent="0.25">
      <c r="B279" s="191">
        <v>45969</v>
      </c>
      <c r="C279" s="70" t="s">
        <v>257</v>
      </c>
      <c r="D279" s="116">
        <v>1</v>
      </c>
      <c r="E279" s="84">
        <v>50000</v>
      </c>
      <c r="F279" s="215"/>
      <c r="G279" s="168"/>
      <c r="H279" s="84">
        <f t="shared" si="3"/>
        <v>50000</v>
      </c>
    </row>
    <row r="280" spans="2:8" x14ac:dyDescent="0.25">
      <c r="B280" s="191">
        <v>45969</v>
      </c>
      <c r="C280" s="70" t="s">
        <v>310</v>
      </c>
      <c r="D280" s="116">
        <v>1</v>
      </c>
      <c r="E280" s="84">
        <v>65000</v>
      </c>
      <c r="F280" s="215">
        <v>182</v>
      </c>
      <c r="G280" s="168">
        <v>543.29999999999995</v>
      </c>
      <c r="H280" s="84">
        <f t="shared" si="3"/>
        <v>163880.59999999998</v>
      </c>
    </row>
    <row r="281" spans="2:8" x14ac:dyDescent="0.25">
      <c r="B281" s="191">
        <v>45969</v>
      </c>
      <c r="C281" s="70" t="s">
        <v>330</v>
      </c>
      <c r="D281" s="116">
        <v>1</v>
      </c>
      <c r="E281" s="84">
        <v>50000</v>
      </c>
      <c r="F281" s="215"/>
      <c r="G281" s="168"/>
      <c r="H281" s="84">
        <f t="shared" si="3"/>
        <v>50000</v>
      </c>
    </row>
    <row r="282" spans="2:8" x14ac:dyDescent="0.25">
      <c r="B282" s="191">
        <v>45969</v>
      </c>
      <c r="C282" s="70" t="s">
        <v>183</v>
      </c>
      <c r="D282" s="116">
        <v>1</v>
      </c>
      <c r="E282" s="84">
        <v>50000</v>
      </c>
      <c r="F282" s="215"/>
      <c r="G282" s="168"/>
      <c r="H282" s="84">
        <f t="shared" si="3"/>
        <v>50000</v>
      </c>
    </row>
    <row r="283" spans="2:8" x14ac:dyDescent="0.25">
      <c r="B283" s="191">
        <v>45970</v>
      </c>
      <c r="C283" s="70" t="s">
        <v>274</v>
      </c>
      <c r="D283" s="116">
        <v>1</v>
      </c>
      <c r="E283" s="84">
        <v>50000</v>
      </c>
      <c r="F283" s="215"/>
      <c r="G283" s="168"/>
      <c r="H283" s="84">
        <f t="shared" si="3"/>
        <v>50000</v>
      </c>
    </row>
    <row r="284" spans="2:8" x14ac:dyDescent="0.25">
      <c r="B284" s="191">
        <v>45970</v>
      </c>
      <c r="C284" s="70" t="s">
        <v>197</v>
      </c>
      <c r="D284" s="116">
        <v>1</v>
      </c>
      <c r="E284" s="84">
        <v>50000</v>
      </c>
      <c r="F284" s="215"/>
      <c r="G284" s="168"/>
      <c r="H284" s="84">
        <f t="shared" si="3"/>
        <v>50000</v>
      </c>
    </row>
    <row r="285" spans="2:8" x14ac:dyDescent="0.25">
      <c r="B285" s="191">
        <v>45970</v>
      </c>
      <c r="C285" s="70" t="s">
        <v>310</v>
      </c>
      <c r="D285" s="116">
        <v>1</v>
      </c>
      <c r="E285" s="84">
        <v>65000</v>
      </c>
      <c r="F285" s="215">
        <v>135</v>
      </c>
      <c r="G285" s="168">
        <v>543.29999999999995</v>
      </c>
      <c r="H285" s="84">
        <f t="shared" si="3"/>
        <v>138345.5</v>
      </c>
    </row>
    <row r="286" spans="2:8" x14ac:dyDescent="0.25">
      <c r="B286" s="191">
        <v>45970</v>
      </c>
      <c r="C286" s="70" t="s">
        <v>169</v>
      </c>
      <c r="D286" s="116">
        <v>1</v>
      </c>
      <c r="E286" s="84">
        <v>65000</v>
      </c>
      <c r="F286" s="215">
        <v>0</v>
      </c>
      <c r="G286" s="83">
        <v>557.70000000000005</v>
      </c>
      <c r="H286" s="84">
        <f>D286*E286+F286*G286</f>
        <v>65000</v>
      </c>
    </row>
    <row r="287" spans="2:8" x14ac:dyDescent="0.25">
      <c r="B287" s="191">
        <v>45970</v>
      </c>
      <c r="C287" s="70" t="s">
        <v>330</v>
      </c>
      <c r="D287" s="116">
        <v>1</v>
      </c>
      <c r="E287" s="84">
        <v>50000</v>
      </c>
      <c r="F287" s="215"/>
      <c r="G287" s="168"/>
      <c r="H287" s="84">
        <f t="shared" si="3"/>
        <v>50000</v>
      </c>
    </row>
    <row r="288" spans="2:8" x14ac:dyDescent="0.25">
      <c r="B288" s="191">
        <v>45971</v>
      </c>
      <c r="C288" s="70" t="s">
        <v>274</v>
      </c>
      <c r="D288" s="116">
        <v>1</v>
      </c>
      <c r="E288" s="84">
        <v>50000</v>
      </c>
      <c r="F288" s="215"/>
      <c r="G288" s="168"/>
      <c r="H288" s="84">
        <f t="shared" si="3"/>
        <v>50000</v>
      </c>
    </row>
    <row r="289" spans="2:8" x14ac:dyDescent="0.25">
      <c r="B289" s="191">
        <v>45971</v>
      </c>
      <c r="C289" s="70" t="s">
        <v>197</v>
      </c>
      <c r="D289" s="116">
        <v>1</v>
      </c>
      <c r="E289" s="84">
        <v>50000</v>
      </c>
      <c r="F289" s="215"/>
      <c r="G289" s="168"/>
      <c r="H289" s="84">
        <f t="shared" si="3"/>
        <v>50000</v>
      </c>
    </row>
    <row r="290" spans="2:8" x14ac:dyDescent="0.25">
      <c r="B290" s="191">
        <v>45971</v>
      </c>
      <c r="C290" s="70" t="s">
        <v>310</v>
      </c>
      <c r="D290" s="116">
        <v>1</v>
      </c>
      <c r="E290" s="84">
        <v>65000</v>
      </c>
      <c r="F290" s="215">
        <v>356</v>
      </c>
      <c r="G290" s="168">
        <v>543.29999999999995</v>
      </c>
      <c r="H290" s="84">
        <f t="shared" si="3"/>
        <v>258414.8</v>
      </c>
    </row>
    <row r="291" spans="2:8" x14ac:dyDescent="0.25">
      <c r="B291" s="191">
        <v>45971</v>
      </c>
      <c r="C291" s="70" t="s">
        <v>198</v>
      </c>
      <c r="D291" s="116">
        <v>1</v>
      </c>
      <c r="E291" s="84">
        <v>50000</v>
      </c>
      <c r="F291" s="215"/>
      <c r="G291" s="168"/>
      <c r="H291" s="84">
        <f t="shared" si="3"/>
        <v>50000</v>
      </c>
    </row>
    <row r="292" spans="2:8" x14ac:dyDescent="0.25">
      <c r="B292" s="191">
        <v>45971</v>
      </c>
      <c r="C292" s="70" t="s">
        <v>362</v>
      </c>
      <c r="D292" s="116">
        <v>1</v>
      </c>
      <c r="E292" s="84">
        <v>50000</v>
      </c>
      <c r="F292" s="215"/>
      <c r="G292" s="168"/>
      <c r="H292" s="84">
        <f t="shared" si="3"/>
        <v>50000</v>
      </c>
    </row>
    <row r="293" spans="2:8" x14ac:dyDescent="0.25">
      <c r="B293" s="191">
        <v>45971</v>
      </c>
      <c r="C293" s="70" t="s">
        <v>169</v>
      </c>
      <c r="D293" s="116">
        <v>1</v>
      </c>
      <c r="E293" s="84">
        <v>65000</v>
      </c>
      <c r="F293" s="215">
        <v>372</v>
      </c>
      <c r="G293" s="83">
        <v>557.70000000000005</v>
      </c>
      <c r="H293" s="84">
        <f>D293*E293+F293*G293</f>
        <v>272464.40000000002</v>
      </c>
    </row>
    <row r="294" spans="2:8" x14ac:dyDescent="0.25">
      <c r="B294" s="191">
        <v>45971</v>
      </c>
      <c r="C294" s="70" t="s">
        <v>363</v>
      </c>
      <c r="D294" s="116">
        <v>1</v>
      </c>
      <c r="E294" s="84">
        <v>50000</v>
      </c>
      <c r="F294" s="215"/>
      <c r="G294" s="168"/>
      <c r="H294" s="84">
        <f t="shared" si="3"/>
        <v>50000</v>
      </c>
    </row>
    <row r="295" spans="2:8" x14ac:dyDescent="0.25">
      <c r="B295" s="191">
        <v>45971</v>
      </c>
      <c r="C295" s="70" t="s">
        <v>345</v>
      </c>
      <c r="D295" s="116">
        <v>1</v>
      </c>
      <c r="E295" s="84">
        <v>50000</v>
      </c>
      <c r="F295" s="215">
        <v>180</v>
      </c>
      <c r="G295" s="84">
        <v>371.8</v>
      </c>
      <c r="H295" s="84">
        <f t="shared" si="3"/>
        <v>116924</v>
      </c>
    </row>
    <row r="296" spans="2:8" x14ac:dyDescent="0.25">
      <c r="B296" s="191">
        <v>45941</v>
      </c>
      <c r="C296" s="70" t="s">
        <v>274</v>
      </c>
      <c r="D296" s="116">
        <v>1</v>
      </c>
      <c r="E296" s="84">
        <v>50000</v>
      </c>
      <c r="F296" s="215"/>
      <c r="G296" s="168"/>
      <c r="H296" s="84">
        <f t="shared" si="3"/>
        <v>50000</v>
      </c>
    </row>
    <row r="297" spans="2:8" x14ac:dyDescent="0.25">
      <c r="B297" s="191">
        <v>45941</v>
      </c>
      <c r="C297" s="70" t="s">
        <v>197</v>
      </c>
      <c r="D297" s="116">
        <v>1</v>
      </c>
      <c r="E297" s="84">
        <v>50000</v>
      </c>
      <c r="F297" s="215"/>
      <c r="G297" s="168"/>
      <c r="H297" s="84">
        <f t="shared" si="3"/>
        <v>50000</v>
      </c>
    </row>
    <row r="298" spans="2:8" x14ac:dyDescent="0.25">
      <c r="B298" s="191">
        <v>45941</v>
      </c>
      <c r="C298" s="70" t="s">
        <v>310</v>
      </c>
      <c r="D298" s="116">
        <v>1</v>
      </c>
      <c r="E298" s="84">
        <v>65000</v>
      </c>
      <c r="F298" s="215">
        <v>147</v>
      </c>
      <c r="G298" s="168">
        <v>543.29999999999995</v>
      </c>
      <c r="H298" s="84">
        <f t="shared" si="3"/>
        <v>144865.09999999998</v>
      </c>
    </row>
    <row r="299" spans="2:8" x14ac:dyDescent="0.25">
      <c r="B299" s="191">
        <v>45941</v>
      </c>
      <c r="C299" s="70" t="s">
        <v>169</v>
      </c>
      <c r="D299" s="116">
        <v>1</v>
      </c>
      <c r="E299" s="84">
        <v>65000</v>
      </c>
      <c r="F299" s="215">
        <v>0</v>
      </c>
      <c r="G299" s="83">
        <v>557.70000000000005</v>
      </c>
      <c r="H299" s="84">
        <f>D299*E299+F299*G299</f>
        <v>65000</v>
      </c>
    </row>
    <row r="300" spans="2:8" x14ac:dyDescent="0.25">
      <c r="B300" s="191">
        <v>45941</v>
      </c>
      <c r="C300" s="70" t="s">
        <v>363</v>
      </c>
      <c r="D300" s="116">
        <v>1</v>
      </c>
      <c r="E300" s="84">
        <v>50000</v>
      </c>
      <c r="F300" s="215"/>
      <c r="G300" s="168"/>
      <c r="H300" s="84">
        <f t="shared" si="3"/>
        <v>50000</v>
      </c>
    </row>
    <row r="301" spans="2:8" x14ac:dyDescent="0.25">
      <c r="B301" s="191">
        <v>45941</v>
      </c>
      <c r="C301" s="70" t="s">
        <v>362</v>
      </c>
      <c r="D301" s="116">
        <v>1</v>
      </c>
      <c r="E301" s="84">
        <v>50000</v>
      </c>
      <c r="F301" s="215"/>
      <c r="G301" s="168"/>
      <c r="H301" s="84">
        <f t="shared" si="3"/>
        <v>50000</v>
      </c>
    </row>
    <row r="302" spans="2:8" x14ac:dyDescent="0.25">
      <c r="B302" s="191">
        <v>45973</v>
      </c>
      <c r="C302" s="70" t="s">
        <v>274</v>
      </c>
      <c r="D302" s="116">
        <v>1</v>
      </c>
      <c r="E302" s="84">
        <v>50000</v>
      </c>
      <c r="F302" s="215"/>
      <c r="G302" s="168"/>
      <c r="H302" s="84">
        <f t="shared" si="3"/>
        <v>50000</v>
      </c>
    </row>
    <row r="303" spans="2:8" x14ac:dyDescent="0.25">
      <c r="B303" s="191">
        <v>45973</v>
      </c>
      <c r="C303" s="70" t="s">
        <v>197</v>
      </c>
      <c r="D303" s="116">
        <v>1</v>
      </c>
      <c r="E303" s="84">
        <v>50000</v>
      </c>
      <c r="F303" s="215"/>
      <c r="G303" s="168"/>
      <c r="H303" s="84">
        <f t="shared" si="3"/>
        <v>50000</v>
      </c>
    </row>
    <row r="304" spans="2:8" x14ac:dyDescent="0.25">
      <c r="B304" s="191">
        <v>45973</v>
      </c>
      <c r="C304" s="70" t="s">
        <v>169</v>
      </c>
      <c r="D304" s="116">
        <v>1</v>
      </c>
      <c r="E304" s="84">
        <v>65000</v>
      </c>
      <c r="F304" s="215">
        <v>0</v>
      </c>
      <c r="G304" s="83">
        <v>557.70000000000005</v>
      </c>
      <c r="H304" s="84">
        <f>D304*E304+F304*G304</f>
        <v>65000</v>
      </c>
    </row>
    <row r="305" spans="2:8" x14ac:dyDescent="0.25">
      <c r="B305" s="191">
        <v>45973</v>
      </c>
      <c r="C305" s="70" t="s">
        <v>310</v>
      </c>
      <c r="D305" s="116">
        <v>1</v>
      </c>
      <c r="E305" s="84">
        <v>65000</v>
      </c>
      <c r="F305" s="215">
        <v>277</v>
      </c>
      <c r="G305" s="168">
        <v>543.29999999999995</v>
      </c>
      <c r="H305" s="84">
        <f t="shared" si="3"/>
        <v>215494.09999999998</v>
      </c>
    </row>
    <row r="306" spans="2:8" x14ac:dyDescent="0.25">
      <c r="B306" s="191">
        <v>45973</v>
      </c>
      <c r="C306" s="70" t="s">
        <v>363</v>
      </c>
      <c r="D306" s="116">
        <v>1</v>
      </c>
      <c r="E306" s="84">
        <v>50000</v>
      </c>
      <c r="F306" s="215"/>
      <c r="G306" s="168"/>
      <c r="H306" s="84">
        <f t="shared" si="3"/>
        <v>50000</v>
      </c>
    </row>
    <row r="307" spans="2:8" x14ac:dyDescent="0.25">
      <c r="B307" s="191">
        <v>45974</v>
      </c>
      <c r="C307" s="70" t="s">
        <v>274</v>
      </c>
      <c r="D307" s="116">
        <v>1</v>
      </c>
      <c r="E307" s="84">
        <v>50000</v>
      </c>
      <c r="F307" s="215"/>
      <c r="G307" s="168"/>
      <c r="H307" s="84">
        <f t="shared" si="3"/>
        <v>50000</v>
      </c>
    </row>
    <row r="308" spans="2:8" x14ac:dyDescent="0.25">
      <c r="B308" s="191">
        <v>45974</v>
      </c>
      <c r="C308" s="70" t="s">
        <v>197</v>
      </c>
      <c r="D308" s="116">
        <v>1</v>
      </c>
      <c r="E308" s="84">
        <v>50000</v>
      </c>
      <c r="F308" s="215"/>
      <c r="G308" s="168"/>
      <c r="H308" s="84">
        <f t="shared" si="3"/>
        <v>50000</v>
      </c>
    </row>
    <row r="309" spans="2:8" x14ac:dyDescent="0.25">
      <c r="B309" s="191">
        <v>45974</v>
      </c>
      <c r="C309" s="70" t="s">
        <v>310</v>
      </c>
      <c r="D309" s="116">
        <v>1</v>
      </c>
      <c r="E309" s="84">
        <v>100000</v>
      </c>
      <c r="F309" s="215">
        <v>510</v>
      </c>
      <c r="G309" s="168">
        <v>543.29999999999995</v>
      </c>
      <c r="H309" s="84">
        <f t="shared" si="3"/>
        <v>377083</v>
      </c>
    </row>
    <row r="310" spans="2:8" x14ac:dyDescent="0.25">
      <c r="B310" s="191">
        <v>45974</v>
      </c>
      <c r="C310" s="70" t="s">
        <v>183</v>
      </c>
      <c r="D310" s="116">
        <v>1</v>
      </c>
      <c r="E310" s="84">
        <v>100000</v>
      </c>
      <c r="F310" s="215"/>
      <c r="G310" s="168"/>
      <c r="H310" s="84">
        <f t="shared" si="3"/>
        <v>100000</v>
      </c>
    </row>
    <row r="311" spans="2:8" x14ac:dyDescent="0.25">
      <c r="B311" s="191">
        <v>45974</v>
      </c>
      <c r="C311" s="70" t="s">
        <v>345</v>
      </c>
      <c r="D311" s="116">
        <v>1</v>
      </c>
      <c r="E311" s="84">
        <v>100000</v>
      </c>
      <c r="F311" s="215">
        <v>0</v>
      </c>
      <c r="G311" s="84">
        <v>371.8</v>
      </c>
      <c r="H311" s="84">
        <f t="shared" si="3"/>
        <v>100000</v>
      </c>
    </row>
    <row r="312" spans="2:8" x14ac:dyDescent="0.25">
      <c r="B312" s="191">
        <v>45974</v>
      </c>
      <c r="C312" s="70" t="s">
        <v>169</v>
      </c>
      <c r="D312" s="116">
        <v>1</v>
      </c>
      <c r="E312" s="84">
        <v>65000</v>
      </c>
      <c r="F312" s="215">
        <v>425</v>
      </c>
      <c r="G312" s="83">
        <v>557.70000000000005</v>
      </c>
      <c r="H312" s="84">
        <f>D312*E312+F312*G312</f>
        <v>302022.5</v>
      </c>
    </row>
    <row r="313" spans="2:8" x14ac:dyDescent="0.25">
      <c r="B313" s="191">
        <v>45974</v>
      </c>
      <c r="C313" s="70" t="s">
        <v>362</v>
      </c>
      <c r="D313" s="116">
        <v>1</v>
      </c>
      <c r="E313" s="84">
        <v>50000</v>
      </c>
      <c r="F313" s="215"/>
      <c r="G313" s="168"/>
      <c r="H313" s="84">
        <f t="shared" si="3"/>
        <v>50000</v>
      </c>
    </row>
    <row r="314" spans="2:8" x14ac:dyDescent="0.25">
      <c r="B314" s="191">
        <v>45975</v>
      </c>
      <c r="C314" s="70" t="s">
        <v>274</v>
      </c>
      <c r="D314" s="116">
        <v>1</v>
      </c>
      <c r="E314" s="84">
        <v>50000</v>
      </c>
      <c r="F314" s="215"/>
      <c r="G314" s="168"/>
      <c r="H314" s="84">
        <f t="shared" si="3"/>
        <v>50000</v>
      </c>
    </row>
    <row r="315" spans="2:8" x14ac:dyDescent="0.25">
      <c r="B315" s="191">
        <v>45975</v>
      </c>
      <c r="C315" s="70" t="s">
        <v>197</v>
      </c>
      <c r="D315" s="116">
        <v>1</v>
      </c>
      <c r="E315" s="84">
        <v>50000</v>
      </c>
      <c r="F315" s="215"/>
      <c r="G315" s="168"/>
      <c r="H315" s="84">
        <f t="shared" si="3"/>
        <v>50000</v>
      </c>
    </row>
    <row r="316" spans="2:8" x14ac:dyDescent="0.25">
      <c r="B316" s="191">
        <v>45975</v>
      </c>
      <c r="C316" s="70" t="s">
        <v>210</v>
      </c>
      <c r="D316" s="121">
        <v>1</v>
      </c>
      <c r="E316" s="84">
        <v>50000</v>
      </c>
      <c r="F316" s="215">
        <v>233</v>
      </c>
      <c r="G316" s="151">
        <v>543.29999999999995</v>
      </c>
      <c r="H316" s="84">
        <f t="shared" si="3"/>
        <v>176588.9</v>
      </c>
    </row>
    <row r="317" spans="2:8" x14ac:dyDescent="0.25">
      <c r="B317" s="191">
        <v>45975</v>
      </c>
      <c r="C317" s="70" t="s">
        <v>310</v>
      </c>
      <c r="D317" s="116">
        <v>1</v>
      </c>
      <c r="E317" s="84">
        <v>65000</v>
      </c>
      <c r="F317" s="215">
        <v>304</v>
      </c>
      <c r="G317" s="168">
        <v>543.29999999999995</v>
      </c>
      <c r="H317" s="84">
        <f t="shared" si="3"/>
        <v>230163.19999999998</v>
      </c>
    </row>
    <row r="318" spans="2:8" x14ac:dyDescent="0.25">
      <c r="B318" s="191">
        <v>45975</v>
      </c>
      <c r="C318" s="70" t="s">
        <v>169</v>
      </c>
      <c r="D318" s="116">
        <v>1</v>
      </c>
      <c r="E318" s="84">
        <v>65000</v>
      </c>
      <c r="F318" s="215">
        <v>0</v>
      </c>
      <c r="G318" s="83">
        <v>557.70000000000005</v>
      </c>
      <c r="H318" s="84">
        <f>D318*E318+F318*G318</f>
        <v>65000</v>
      </c>
    </row>
    <row r="319" spans="2:8" x14ac:dyDescent="0.25">
      <c r="B319" s="191">
        <v>45975</v>
      </c>
      <c r="C319" s="70" t="s">
        <v>183</v>
      </c>
      <c r="D319" s="116">
        <v>1</v>
      </c>
      <c r="E319" s="84">
        <v>50000</v>
      </c>
      <c r="F319" s="215"/>
      <c r="G319" s="168"/>
      <c r="H319" s="84">
        <f t="shared" si="3"/>
        <v>50000</v>
      </c>
    </row>
    <row r="320" spans="2:8" x14ac:dyDescent="0.25">
      <c r="B320" s="191">
        <v>45975</v>
      </c>
      <c r="C320" s="70" t="s">
        <v>363</v>
      </c>
      <c r="D320" s="116">
        <v>1</v>
      </c>
      <c r="E320" s="84">
        <v>50000</v>
      </c>
      <c r="F320" s="215"/>
      <c r="G320" s="168"/>
      <c r="H320" s="84">
        <f t="shared" si="3"/>
        <v>50000</v>
      </c>
    </row>
    <row r="321" spans="2:15" x14ac:dyDescent="0.25">
      <c r="B321" s="191">
        <v>45976</v>
      </c>
      <c r="C321" s="70" t="s">
        <v>169</v>
      </c>
      <c r="D321" s="116">
        <v>1</v>
      </c>
      <c r="E321" s="84">
        <v>65000</v>
      </c>
      <c r="F321" s="215">
        <v>434</v>
      </c>
      <c r="G321" s="83">
        <v>557.70000000000005</v>
      </c>
      <c r="H321" s="84">
        <f>D321*E321+F321*G321</f>
        <v>307041.80000000005</v>
      </c>
    </row>
    <row r="322" spans="2:15" x14ac:dyDescent="0.25">
      <c r="B322" s="191">
        <v>45976</v>
      </c>
      <c r="C322" s="70" t="s">
        <v>363</v>
      </c>
      <c r="D322" s="116">
        <v>1</v>
      </c>
      <c r="E322" s="84">
        <v>50000</v>
      </c>
      <c r="F322" s="215"/>
      <c r="G322" s="168"/>
      <c r="H322" s="84">
        <f t="shared" si="3"/>
        <v>50000</v>
      </c>
    </row>
    <row r="323" spans="2:15" x14ac:dyDescent="0.25">
      <c r="B323" s="191">
        <v>45976</v>
      </c>
      <c r="C323" s="70" t="s">
        <v>310</v>
      </c>
      <c r="D323" s="116">
        <v>1</v>
      </c>
      <c r="E323" s="84">
        <v>65000</v>
      </c>
      <c r="F323" s="215">
        <v>361</v>
      </c>
      <c r="G323" s="168">
        <v>543.29999999999995</v>
      </c>
      <c r="H323" s="84">
        <f t="shared" si="3"/>
        <v>261131.3</v>
      </c>
      <c r="M323" s="166"/>
      <c r="O323" s="166"/>
    </row>
    <row r="324" spans="2:15" x14ac:dyDescent="0.25">
      <c r="B324" s="191">
        <v>45976</v>
      </c>
      <c r="C324" s="70" t="s">
        <v>183</v>
      </c>
      <c r="D324" s="116">
        <v>1</v>
      </c>
      <c r="E324" s="84">
        <v>50000</v>
      </c>
      <c r="F324" s="215"/>
      <c r="G324" s="168"/>
      <c r="H324" s="84">
        <f t="shared" si="3"/>
        <v>50000</v>
      </c>
    </row>
    <row r="325" spans="2:15" x14ac:dyDescent="0.25">
      <c r="B325" s="191">
        <v>45976</v>
      </c>
      <c r="C325" s="70" t="s">
        <v>362</v>
      </c>
      <c r="D325" s="116">
        <v>1</v>
      </c>
      <c r="E325" s="84">
        <v>50000</v>
      </c>
      <c r="F325" s="215"/>
      <c r="G325" s="168"/>
      <c r="H325" s="84">
        <f t="shared" si="3"/>
        <v>50000</v>
      </c>
    </row>
    <row r="326" spans="2:15" x14ac:dyDescent="0.25">
      <c r="B326" s="191">
        <v>45979</v>
      </c>
      <c r="C326" s="70" t="s">
        <v>310</v>
      </c>
      <c r="D326" s="116">
        <v>1</v>
      </c>
      <c r="E326" s="84">
        <v>65000</v>
      </c>
      <c r="F326" s="215">
        <v>184</v>
      </c>
      <c r="G326" s="168">
        <v>543.29999999999995</v>
      </c>
      <c r="H326" s="84">
        <f t="shared" si="3"/>
        <v>164967.20000000001</v>
      </c>
    </row>
    <row r="327" spans="2:15" x14ac:dyDescent="0.25">
      <c r="B327" s="191">
        <v>45979</v>
      </c>
      <c r="C327" s="70" t="s">
        <v>169</v>
      </c>
      <c r="D327" s="116">
        <v>1</v>
      </c>
      <c r="E327" s="84">
        <v>65000</v>
      </c>
      <c r="F327" s="215">
        <v>0</v>
      </c>
      <c r="G327" s="83">
        <v>557.70000000000005</v>
      </c>
      <c r="H327" s="84">
        <f>D327*E327+F327*G327</f>
        <v>65000</v>
      </c>
    </row>
    <row r="328" spans="2:15" x14ac:dyDescent="0.25">
      <c r="B328" s="191">
        <v>45979</v>
      </c>
      <c r="C328" s="70" t="s">
        <v>362</v>
      </c>
      <c r="D328" s="116">
        <v>1</v>
      </c>
      <c r="E328" s="84">
        <v>50000</v>
      </c>
      <c r="F328" s="215"/>
      <c r="G328" s="168"/>
      <c r="H328" s="84">
        <f t="shared" si="3"/>
        <v>50000</v>
      </c>
    </row>
    <row r="329" spans="2:15" x14ac:dyDescent="0.25">
      <c r="B329" s="191">
        <v>45979</v>
      </c>
      <c r="C329" s="70" t="s">
        <v>345</v>
      </c>
      <c r="D329" s="116">
        <v>1</v>
      </c>
      <c r="E329" s="84">
        <v>50000</v>
      </c>
      <c r="F329" s="215">
        <v>135</v>
      </c>
      <c r="G329" s="84">
        <v>371.8</v>
      </c>
      <c r="H329" s="84">
        <f t="shared" si="3"/>
        <v>100193</v>
      </c>
    </row>
    <row r="330" spans="2:15" x14ac:dyDescent="0.25">
      <c r="B330" s="191">
        <v>45979</v>
      </c>
      <c r="C330" s="70" t="s">
        <v>197</v>
      </c>
      <c r="D330" s="116">
        <v>1</v>
      </c>
      <c r="E330" s="84">
        <v>50000</v>
      </c>
      <c r="F330" s="215"/>
      <c r="G330" s="168"/>
      <c r="H330" s="84">
        <f t="shared" si="3"/>
        <v>50000</v>
      </c>
    </row>
    <row r="331" spans="2:15" x14ac:dyDescent="0.25">
      <c r="B331" s="191">
        <v>45980</v>
      </c>
      <c r="C331" s="70" t="s">
        <v>310</v>
      </c>
      <c r="D331" s="116">
        <v>1</v>
      </c>
      <c r="E331" s="84">
        <v>50000</v>
      </c>
      <c r="F331" s="215">
        <v>216</v>
      </c>
      <c r="G331" s="168">
        <v>543.29999999999995</v>
      </c>
      <c r="H331" s="84">
        <f t="shared" si="3"/>
        <v>167352.79999999999</v>
      </c>
    </row>
    <row r="332" spans="2:15" x14ac:dyDescent="0.25">
      <c r="B332" s="191">
        <v>45980</v>
      </c>
      <c r="C332" s="70" t="s">
        <v>210</v>
      </c>
      <c r="D332" s="121">
        <v>1</v>
      </c>
      <c r="E332" s="84">
        <v>50000</v>
      </c>
      <c r="F332" s="215">
        <v>133</v>
      </c>
      <c r="G332" s="151">
        <v>543.29999999999995</v>
      </c>
      <c r="H332" s="84">
        <f t="shared" si="3"/>
        <v>122258.9</v>
      </c>
    </row>
    <row r="333" spans="2:15" x14ac:dyDescent="0.25">
      <c r="B333" s="191">
        <v>45981</v>
      </c>
      <c r="C333" s="70" t="s">
        <v>210</v>
      </c>
      <c r="D333" s="121">
        <v>1</v>
      </c>
      <c r="E333" s="84">
        <v>50000</v>
      </c>
      <c r="F333" s="215">
        <v>227</v>
      </c>
      <c r="G333" s="151">
        <v>543.29999999999995</v>
      </c>
      <c r="H333" s="84">
        <f t="shared" si="3"/>
        <v>173329.09999999998</v>
      </c>
    </row>
    <row r="334" spans="2:15" x14ac:dyDescent="0.25">
      <c r="B334" s="191">
        <v>45981</v>
      </c>
      <c r="C334" s="70" t="s">
        <v>310</v>
      </c>
      <c r="D334" s="116">
        <v>1</v>
      </c>
      <c r="E334" s="84">
        <v>65000</v>
      </c>
      <c r="F334" s="215">
        <v>302</v>
      </c>
      <c r="G334" s="168">
        <v>543.29999999999995</v>
      </c>
      <c r="H334" s="84">
        <f t="shared" si="3"/>
        <v>229076.59999999998</v>
      </c>
    </row>
    <row r="335" spans="2:15" x14ac:dyDescent="0.25">
      <c r="B335" s="191">
        <v>45981</v>
      </c>
      <c r="C335" s="70" t="s">
        <v>169</v>
      </c>
      <c r="D335" s="116">
        <v>1</v>
      </c>
      <c r="E335" s="84">
        <v>65000</v>
      </c>
      <c r="F335" s="215">
        <v>0</v>
      </c>
      <c r="G335" s="83">
        <v>557.70000000000005</v>
      </c>
      <c r="H335" s="84">
        <f>D335*E335+F335*G335</f>
        <v>65000</v>
      </c>
    </row>
    <row r="336" spans="2:15" x14ac:dyDescent="0.25">
      <c r="B336" s="191">
        <v>45981</v>
      </c>
      <c r="C336" s="70" t="s">
        <v>198</v>
      </c>
      <c r="D336" s="116">
        <v>1</v>
      </c>
      <c r="E336" s="84">
        <v>50000</v>
      </c>
      <c r="F336" s="215"/>
      <c r="G336" s="168"/>
      <c r="H336" s="84">
        <f t="shared" si="3"/>
        <v>50000</v>
      </c>
    </row>
    <row r="337" spans="2:8" x14ac:dyDescent="0.25">
      <c r="B337" s="191">
        <v>45981</v>
      </c>
      <c r="C337" s="70" t="s">
        <v>362</v>
      </c>
      <c r="D337" s="116">
        <v>1</v>
      </c>
      <c r="E337" s="84">
        <v>50000</v>
      </c>
      <c r="F337" s="215"/>
      <c r="G337" s="168"/>
      <c r="H337" s="84">
        <f t="shared" si="3"/>
        <v>50000</v>
      </c>
    </row>
    <row r="338" spans="2:8" x14ac:dyDescent="0.25">
      <c r="B338" s="191">
        <v>45981</v>
      </c>
      <c r="C338" s="70" t="s">
        <v>197</v>
      </c>
      <c r="D338" s="116">
        <v>1</v>
      </c>
      <c r="E338" s="84">
        <v>50000</v>
      </c>
      <c r="F338" s="215"/>
      <c r="G338" s="168"/>
      <c r="H338" s="84">
        <f t="shared" si="3"/>
        <v>50000</v>
      </c>
    </row>
    <row r="339" spans="2:8" x14ac:dyDescent="0.25">
      <c r="B339" s="191">
        <v>45982</v>
      </c>
      <c r="C339" s="70" t="s">
        <v>197</v>
      </c>
      <c r="D339" s="116">
        <v>1</v>
      </c>
      <c r="E339" s="84">
        <v>50000</v>
      </c>
      <c r="F339" s="215"/>
      <c r="G339" s="168"/>
      <c r="H339" s="84">
        <f t="shared" si="3"/>
        <v>50000</v>
      </c>
    </row>
    <row r="340" spans="2:8" x14ac:dyDescent="0.25">
      <c r="B340" s="191">
        <v>45983</v>
      </c>
      <c r="C340" s="70" t="s">
        <v>197</v>
      </c>
      <c r="D340" s="116">
        <v>1</v>
      </c>
      <c r="E340" s="84">
        <v>50000</v>
      </c>
      <c r="F340" s="215"/>
      <c r="G340" s="168"/>
      <c r="H340" s="84">
        <f t="shared" si="3"/>
        <v>50000</v>
      </c>
    </row>
    <row r="341" spans="2:8" x14ac:dyDescent="0.25">
      <c r="B341" s="191">
        <v>45984</v>
      </c>
      <c r="C341" s="70" t="s">
        <v>197</v>
      </c>
      <c r="D341" s="116">
        <v>1</v>
      </c>
      <c r="E341" s="84">
        <v>50000</v>
      </c>
      <c r="F341" s="215"/>
      <c r="G341" s="168"/>
      <c r="H341" s="84">
        <f t="shared" si="3"/>
        <v>50000</v>
      </c>
    </row>
    <row r="342" spans="2:8" x14ac:dyDescent="0.25">
      <c r="B342" s="191">
        <v>45985</v>
      </c>
      <c r="C342" s="70" t="s">
        <v>310</v>
      </c>
      <c r="D342" s="116">
        <v>1</v>
      </c>
      <c r="E342" s="84">
        <v>65000</v>
      </c>
      <c r="F342" s="215">
        <v>310</v>
      </c>
      <c r="G342" s="168">
        <v>543.29999999999995</v>
      </c>
      <c r="H342" s="84">
        <f t="shared" si="3"/>
        <v>233423</v>
      </c>
    </row>
    <row r="343" spans="2:8" x14ac:dyDescent="0.25">
      <c r="B343" s="191">
        <v>45985</v>
      </c>
      <c r="C343" s="70" t="s">
        <v>169</v>
      </c>
      <c r="D343" s="116">
        <v>1</v>
      </c>
      <c r="E343" s="84">
        <v>65000</v>
      </c>
      <c r="F343" s="215">
        <v>0</v>
      </c>
      <c r="G343" s="83">
        <v>557.70000000000005</v>
      </c>
      <c r="H343" s="84">
        <f>D343*E343+F343*G343</f>
        <v>65000</v>
      </c>
    </row>
    <row r="344" spans="2:8" x14ac:dyDescent="0.25">
      <c r="B344" s="191">
        <v>45985</v>
      </c>
      <c r="C344" s="70" t="s">
        <v>197</v>
      </c>
      <c r="D344" s="116">
        <v>1</v>
      </c>
      <c r="E344" s="84">
        <v>50000</v>
      </c>
      <c r="F344" s="215"/>
      <c r="G344" s="168"/>
      <c r="H344" s="84">
        <f t="shared" si="3"/>
        <v>50000</v>
      </c>
    </row>
    <row r="345" spans="2:8" x14ac:dyDescent="0.25">
      <c r="B345" s="191">
        <v>45986</v>
      </c>
      <c r="C345" s="70" t="s">
        <v>310</v>
      </c>
      <c r="D345" s="116">
        <v>1</v>
      </c>
      <c r="E345" s="84">
        <v>50000</v>
      </c>
      <c r="F345" s="215">
        <v>342</v>
      </c>
      <c r="G345" s="168">
        <v>543.29999999999995</v>
      </c>
      <c r="H345" s="84">
        <f t="shared" si="3"/>
        <v>235808.59999999998</v>
      </c>
    </row>
    <row r="346" spans="2:8" x14ac:dyDescent="0.25">
      <c r="B346" s="191">
        <v>45986</v>
      </c>
      <c r="C346" s="70" t="s">
        <v>197</v>
      </c>
      <c r="D346" s="116">
        <v>1</v>
      </c>
      <c r="E346" s="84">
        <v>50000</v>
      </c>
      <c r="F346" s="215"/>
      <c r="G346" s="168"/>
      <c r="H346" s="84">
        <f t="shared" si="3"/>
        <v>50000</v>
      </c>
    </row>
    <row r="347" spans="2:8" x14ac:dyDescent="0.25">
      <c r="B347" s="191">
        <v>45987</v>
      </c>
      <c r="C347" s="70" t="s">
        <v>310</v>
      </c>
      <c r="D347" s="116">
        <v>1</v>
      </c>
      <c r="E347" s="84">
        <v>65000</v>
      </c>
      <c r="F347" s="215">
        <v>27</v>
      </c>
      <c r="G347" s="168">
        <v>543.29999999999995</v>
      </c>
      <c r="H347" s="84">
        <f t="shared" si="3"/>
        <v>79669.100000000006</v>
      </c>
    </row>
    <row r="348" spans="2:8" x14ac:dyDescent="0.25">
      <c r="B348" s="191">
        <v>45987</v>
      </c>
      <c r="C348" s="70" t="s">
        <v>197</v>
      </c>
      <c r="D348" s="116">
        <v>1</v>
      </c>
      <c r="E348" s="84">
        <v>50000</v>
      </c>
      <c r="F348" s="215"/>
      <c r="G348" s="168"/>
      <c r="H348" s="84">
        <f t="shared" si="3"/>
        <v>50000</v>
      </c>
    </row>
    <row r="349" spans="2:8" x14ac:dyDescent="0.25">
      <c r="B349" s="191">
        <v>45988</v>
      </c>
      <c r="C349" s="70" t="s">
        <v>197</v>
      </c>
      <c r="D349" s="116">
        <v>1</v>
      </c>
      <c r="E349" s="84">
        <v>50000</v>
      </c>
      <c r="F349" s="215"/>
      <c r="G349" s="168"/>
      <c r="H349" s="84">
        <f t="shared" si="3"/>
        <v>50000</v>
      </c>
    </row>
    <row r="350" spans="2:8" x14ac:dyDescent="0.25">
      <c r="B350" s="191">
        <v>45989</v>
      </c>
      <c r="C350" s="70" t="s">
        <v>197</v>
      </c>
      <c r="D350" s="116">
        <v>1</v>
      </c>
      <c r="E350" s="84">
        <v>50000</v>
      </c>
      <c r="F350" s="215"/>
      <c r="G350" s="168"/>
      <c r="H350" s="84">
        <f t="shared" si="3"/>
        <v>50000</v>
      </c>
    </row>
    <row r="351" spans="2:8" x14ac:dyDescent="0.25">
      <c r="B351" s="191">
        <v>45990</v>
      </c>
      <c r="C351" s="70" t="s">
        <v>310</v>
      </c>
      <c r="D351" s="116">
        <v>1</v>
      </c>
      <c r="E351" s="84">
        <v>65000</v>
      </c>
      <c r="F351" s="215">
        <v>147</v>
      </c>
      <c r="G351" s="168">
        <v>543.29999999999995</v>
      </c>
      <c r="H351" s="84">
        <f t="shared" si="3"/>
        <v>144865.09999999998</v>
      </c>
    </row>
    <row r="352" spans="2:8" x14ac:dyDescent="0.25">
      <c r="B352" s="191">
        <v>45990</v>
      </c>
      <c r="C352" s="70" t="s">
        <v>330</v>
      </c>
      <c r="D352" s="116">
        <v>1</v>
      </c>
      <c r="E352" s="84">
        <v>50000</v>
      </c>
      <c r="F352" s="215"/>
      <c r="G352" s="168"/>
      <c r="H352" s="84">
        <f t="shared" si="3"/>
        <v>50000</v>
      </c>
    </row>
    <row r="353" spans="2:8" x14ac:dyDescent="0.25">
      <c r="B353" s="191">
        <v>45994</v>
      </c>
      <c r="C353" s="70" t="s">
        <v>310</v>
      </c>
      <c r="D353" s="116">
        <v>1</v>
      </c>
      <c r="E353" s="84">
        <v>65000</v>
      </c>
      <c r="F353" s="215">
        <v>335</v>
      </c>
      <c r="G353" s="168">
        <v>543.29999999999995</v>
      </c>
      <c r="H353" s="84">
        <f t="shared" si="3"/>
        <v>247005.49999999997</v>
      </c>
    </row>
    <row r="354" spans="2:8" x14ac:dyDescent="0.25">
      <c r="B354" s="191">
        <v>45994</v>
      </c>
      <c r="C354" s="70" t="s">
        <v>345</v>
      </c>
      <c r="D354" s="116">
        <v>1</v>
      </c>
      <c r="E354" s="84">
        <v>50000</v>
      </c>
      <c r="F354" s="215">
        <v>0</v>
      </c>
      <c r="G354" s="84">
        <v>371.8</v>
      </c>
      <c r="H354" s="84">
        <f t="shared" si="3"/>
        <v>50000</v>
      </c>
    </row>
    <row r="355" spans="2:8" x14ac:dyDescent="0.25">
      <c r="B355" s="191">
        <v>45994</v>
      </c>
      <c r="C355" s="70" t="s">
        <v>197</v>
      </c>
      <c r="D355" s="116">
        <v>1</v>
      </c>
      <c r="E355" s="84">
        <v>50000</v>
      </c>
      <c r="F355" s="215"/>
      <c r="G355" s="168"/>
      <c r="H355" s="84">
        <f t="shared" si="3"/>
        <v>50000</v>
      </c>
    </row>
    <row r="356" spans="2:8" x14ac:dyDescent="0.25">
      <c r="B356" s="191">
        <v>45995</v>
      </c>
      <c r="C356" s="70" t="s">
        <v>197</v>
      </c>
      <c r="D356" s="116">
        <v>1</v>
      </c>
      <c r="E356" s="84">
        <v>50000</v>
      </c>
      <c r="F356" s="215"/>
      <c r="G356" s="168"/>
      <c r="H356" s="84">
        <f t="shared" si="3"/>
        <v>50000</v>
      </c>
    </row>
    <row r="357" spans="2:8" x14ac:dyDescent="0.25">
      <c r="B357" s="191">
        <v>46003</v>
      </c>
      <c r="C357" s="70" t="s">
        <v>197</v>
      </c>
      <c r="D357" s="116">
        <v>1</v>
      </c>
      <c r="E357" s="84">
        <v>50000</v>
      </c>
      <c r="F357" s="215"/>
      <c r="G357" s="168"/>
      <c r="H357" s="84">
        <f t="shared" si="3"/>
        <v>50000</v>
      </c>
    </row>
    <row r="358" spans="2:8" x14ac:dyDescent="0.25">
      <c r="B358" s="191">
        <v>46004</v>
      </c>
      <c r="C358" s="70" t="s">
        <v>197</v>
      </c>
      <c r="D358" s="116">
        <v>1</v>
      </c>
      <c r="E358" s="84">
        <v>50000</v>
      </c>
      <c r="F358" s="215"/>
      <c r="G358" s="168"/>
      <c r="H358" s="84">
        <f t="shared" si="3"/>
        <v>50000</v>
      </c>
    </row>
    <row r="359" spans="2:8" x14ac:dyDescent="0.25">
      <c r="B359" s="191">
        <v>45981</v>
      </c>
      <c r="C359" s="70" t="s">
        <v>159</v>
      </c>
      <c r="D359" s="121">
        <v>0.5</v>
      </c>
      <c r="E359" s="84">
        <v>50000</v>
      </c>
      <c r="F359" s="215">
        <v>110</v>
      </c>
      <c r="G359" s="168">
        <v>543.29999999999995</v>
      </c>
      <c r="H359" s="84">
        <f t="shared" si="3"/>
        <v>84763</v>
      </c>
    </row>
    <row r="360" spans="2:8" x14ac:dyDescent="0.25">
      <c r="B360" s="191">
        <v>45998</v>
      </c>
      <c r="C360" s="70" t="s">
        <v>159</v>
      </c>
      <c r="D360" s="121">
        <v>0.5</v>
      </c>
      <c r="E360" s="84">
        <v>50000</v>
      </c>
      <c r="F360" s="215">
        <v>65</v>
      </c>
      <c r="G360" s="168">
        <v>543.29999999999995</v>
      </c>
      <c r="H360" s="84">
        <f>D360*E360+F360*G360</f>
        <v>60314.5</v>
      </c>
    </row>
    <row r="361" spans="2:8" x14ac:dyDescent="0.25">
      <c r="B361" s="191">
        <v>46025</v>
      </c>
      <c r="C361" s="70" t="s">
        <v>310</v>
      </c>
      <c r="D361" s="121">
        <v>1</v>
      </c>
      <c r="E361" s="84">
        <v>100000</v>
      </c>
      <c r="F361" s="215"/>
      <c r="G361" s="168"/>
      <c r="H361" s="84">
        <f t="shared" ref="H361:H415" si="4">D361*E361+F361*G361</f>
        <v>100000</v>
      </c>
    </row>
    <row r="362" spans="2:8" x14ac:dyDescent="0.25">
      <c r="B362" s="191">
        <v>45997</v>
      </c>
      <c r="C362" s="70" t="s">
        <v>310</v>
      </c>
      <c r="D362" s="121">
        <v>1</v>
      </c>
      <c r="E362" s="84">
        <v>70000</v>
      </c>
      <c r="F362" s="143">
        <v>214</v>
      </c>
      <c r="G362" s="168">
        <v>572.70000000000005</v>
      </c>
      <c r="H362" s="84">
        <f t="shared" si="4"/>
        <v>192557.8</v>
      </c>
    </row>
    <row r="363" spans="2:8" x14ac:dyDescent="0.25">
      <c r="B363" s="191">
        <v>45999</v>
      </c>
      <c r="C363" s="70" t="s">
        <v>310</v>
      </c>
      <c r="D363" s="121">
        <v>1</v>
      </c>
      <c r="E363" s="84">
        <v>70000</v>
      </c>
      <c r="F363" s="143">
        <v>224</v>
      </c>
      <c r="G363" s="168">
        <v>572.70000000000005</v>
      </c>
      <c r="H363" s="84">
        <f t="shared" si="4"/>
        <v>198284.80000000002</v>
      </c>
    </row>
    <row r="364" spans="2:8" x14ac:dyDescent="0.25">
      <c r="B364" s="191">
        <v>46008</v>
      </c>
      <c r="C364" s="70" t="s">
        <v>310</v>
      </c>
      <c r="D364" s="121">
        <v>1</v>
      </c>
      <c r="E364" s="84">
        <v>70000</v>
      </c>
      <c r="F364" s="143">
        <v>273</v>
      </c>
      <c r="G364" s="168">
        <v>572.70000000000005</v>
      </c>
      <c r="H364" s="84">
        <f t="shared" si="4"/>
        <v>226347.1</v>
      </c>
    </row>
    <row r="365" spans="2:8" x14ac:dyDescent="0.25">
      <c r="B365" s="191">
        <v>46009</v>
      </c>
      <c r="C365" s="70" t="s">
        <v>310</v>
      </c>
      <c r="D365" s="121">
        <v>1</v>
      </c>
      <c r="E365" s="84">
        <v>70000</v>
      </c>
      <c r="F365" s="143">
        <v>276</v>
      </c>
      <c r="G365" s="168">
        <v>572.70000000000005</v>
      </c>
      <c r="H365" s="84">
        <f t="shared" si="4"/>
        <v>228065.2</v>
      </c>
    </row>
    <row r="366" spans="2:8" x14ac:dyDescent="0.25">
      <c r="B366" s="191">
        <v>46010</v>
      </c>
      <c r="C366" s="70" t="s">
        <v>310</v>
      </c>
      <c r="D366" s="121">
        <v>1</v>
      </c>
      <c r="E366" s="84">
        <v>70000</v>
      </c>
      <c r="F366" s="143">
        <v>295</v>
      </c>
      <c r="G366" s="168">
        <v>572.70000000000005</v>
      </c>
      <c r="H366" s="84">
        <f t="shared" si="4"/>
        <v>238946.5</v>
      </c>
    </row>
    <row r="367" spans="2:8" x14ac:dyDescent="0.25">
      <c r="B367" s="191">
        <v>46012</v>
      </c>
      <c r="C367" s="70" t="s">
        <v>310</v>
      </c>
      <c r="D367" s="121">
        <v>1</v>
      </c>
      <c r="E367" s="84">
        <v>70000</v>
      </c>
      <c r="F367" s="143">
        <v>273</v>
      </c>
      <c r="G367" s="168">
        <v>572.70000000000005</v>
      </c>
      <c r="H367" s="84">
        <f t="shared" si="4"/>
        <v>226347.1</v>
      </c>
    </row>
    <row r="368" spans="2:8" x14ac:dyDescent="0.25">
      <c r="B368" s="191">
        <v>46013</v>
      </c>
      <c r="C368" s="70" t="s">
        <v>310</v>
      </c>
      <c r="D368" s="121">
        <v>1</v>
      </c>
      <c r="E368" s="84">
        <v>70000</v>
      </c>
      <c r="F368" s="143">
        <v>285</v>
      </c>
      <c r="G368" s="168">
        <v>572.70000000000005</v>
      </c>
      <c r="H368" s="84">
        <f t="shared" si="4"/>
        <v>233219.5</v>
      </c>
    </row>
    <row r="369" spans="2:8" x14ac:dyDescent="0.25">
      <c r="B369" s="191">
        <v>46014</v>
      </c>
      <c r="C369" s="70" t="s">
        <v>310</v>
      </c>
      <c r="D369" s="121">
        <v>1</v>
      </c>
      <c r="E369" s="84">
        <v>70000</v>
      </c>
      <c r="F369" s="143">
        <v>280</v>
      </c>
      <c r="G369" s="168">
        <v>572.70000000000005</v>
      </c>
      <c r="H369" s="84">
        <f t="shared" si="4"/>
        <v>230356</v>
      </c>
    </row>
    <row r="370" spans="2:8" x14ac:dyDescent="0.25">
      <c r="B370" s="191">
        <v>46015</v>
      </c>
      <c r="C370" s="70" t="s">
        <v>310</v>
      </c>
      <c r="D370" s="121">
        <v>1</v>
      </c>
      <c r="E370" s="84">
        <v>70000</v>
      </c>
      <c r="F370" s="143">
        <v>315</v>
      </c>
      <c r="G370" s="168">
        <v>572.70000000000005</v>
      </c>
      <c r="H370" s="84">
        <f t="shared" si="4"/>
        <v>250400.5</v>
      </c>
    </row>
    <row r="371" spans="2:8" x14ac:dyDescent="0.25">
      <c r="B371" s="191">
        <v>46016</v>
      </c>
      <c r="C371" s="70" t="s">
        <v>310</v>
      </c>
      <c r="D371" s="121">
        <v>1</v>
      </c>
      <c r="E371" s="84">
        <v>70000</v>
      </c>
      <c r="F371" s="143">
        <v>274</v>
      </c>
      <c r="G371" s="168">
        <v>572.70000000000005</v>
      </c>
      <c r="H371" s="84">
        <f t="shared" si="4"/>
        <v>226919.80000000002</v>
      </c>
    </row>
    <row r="372" spans="2:8" x14ac:dyDescent="0.25">
      <c r="B372" s="191">
        <v>46017</v>
      </c>
      <c r="C372" s="70" t="s">
        <v>310</v>
      </c>
      <c r="D372" s="121">
        <v>1</v>
      </c>
      <c r="E372" s="84">
        <v>70000</v>
      </c>
      <c r="F372" s="143">
        <v>292</v>
      </c>
      <c r="G372" s="168">
        <v>572.70000000000005</v>
      </c>
      <c r="H372" s="84">
        <f t="shared" si="4"/>
        <v>237228.40000000002</v>
      </c>
    </row>
    <row r="373" spans="2:8" x14ac:dyDescent="0.25">
      <c r="B373" s="191">
        <v>46018</v>
      </c>
      <c r="C373" s="70" t="s">
        <v>310</v>
      </c>
      <c r="D373" s="121">
        <v>1</v>
      </c>
      <c r="E373" s="84">
        <v>70000</v>
      </c>
      <c r="F373" s="143">
        <v>280</v>
      </c>
      <c r="G373" s="168">
        <v>572.70000000000005</v>
      </c>
      <c r="H373" s="84">
        <f t="shared" si="4"/>
        <v>230356</v>
      </c>
    </row>
    <row r="374" spans="2:8" x14ac:dyDescent="0.25">
      <c r="B374" s="191">
        <v>46019</v>
      </c>
      <c r="C374" s="70" t="s">
        <v>310</v>
      </c>
      <c r="D374" s="121">
        <v>1</v>
      </c>
      <c r="E374" s="84">
        <v>70000</v>
      </c>
      <c r="F374" s="143">
        <v>282</v>
      </c>
      <c r="G374" s="168">
        <v>572.70000000000005</v>
      </c>
      <c r="H374" s="84">
        <f t="shared" si="4"/>
        <v>231501.40000000002</v>
      </c>
    </row>
    <row r="375" spans="2:8" x14ac:dyDescent="0.25">
      <c r="B375" s="191">
        <v>46020</v>
      </c>
      <c r="C375" s="70" t="s">
        <v>310</v>
      </c>
      <c r="D375" s="121">
        <v>1</v>
      </c>
      <c r="E375" s="84">
        <v>70000</v>
      </c>
      <c r="F375" s="120">
        <v>278</v>
      </c>
      <c r="G375" s="168">
        <v>572.70000000000005</v>
      </c>
      <c r="H375" s="84">
        <f t="shared" si="4"/>
        <v>229210.6</v>
      </c>
    </row>
    <row r="376" spans="2:8" x14ac:dyDescent="0.25">
      <c r="B376" s="191">
        <v>46032</v>
      </c>
      <c r="C376" s="70" t="s">
        <v>310</v>
      </c>
      <c r="D376" s="121">
        <v>1</v>
      </c>
      <c r="E376" s="84">
        <v>100000</v>
      </c>
      <c r="F376" s="215">
        <v>170</v>
      </c>
      <c r="G376" s="168">
        <v>670</v>
      </c>
      <c r="H376" s="84">
        <f t="shared" si="4"/>
        <v>213900</v>
      </c>
    </row>
    <row r="377" spans="2:8" x14ac:dyDescent="0.25">
      <c r="B377" s="191">
        <v>46041</v>
      </c>
      <c r="C377" s="70" t="s">
        <v>310</v>
      </c>
      <c r="D377" s="121">
        <v>1</v>
      </c>
      <c r="E377" s="84">
        <v>100000</v>
      </c>
      <c r="F377" s="215">
        <v>170</v>
      </c>
      <c r="G377" s="168">
        <v>670</v>
      </c>
      <c r="H377" s="84">
        <f t="shared" si="4"/>
        <v>213900</v>
      </c>
    </row>
    <row r="378" spans="2:8" x14ac:dyDescent="0.25">
      <c r="B378" s="191">
        <v>46049</v>
      </c>
      <c r="C378" s="70" t="s">
        <v>310</v>
      </c>
      <c r="D378" s="121">
        <v>1</v>
      </c>
      <c r="E378" s="84">
        <v>100000</v>
      </c>
      <c r="F378" s="215">
        <v>170</v>
      </c>
      <c r="G378" s="168">
        <v>670</v>
      </c>
      <c r="H378" s="84">
        <f t="shared" si="4"/>
        <v>213900</v>
      </c>
    </row>
    <row r="379" spans="2:8" x14ac:dyDescent="0.25">
      <c r="B379" s="191">
        <v>46055</v>
      </c>
      <c r="C379" s="70" t="s">
        <v>310</v>
      </c>
      <c r="D379" s="121">
        <v>1</v>
      </c>
      <c r="E379" s="84">
        <v>100000</v>
      </c>
      <c r="F379" s="215">
        <v>170</v>
      </c>
      <c r="G379" s="168">
        <v>670</v>
      </c>
      <c r="H379" s="84">
        <f t="shared" si="4"/>
        <v>213900</v>
      </c>
    </row>
    <row r="380" spans="2:8" x14ac:dyDescent="0.25">
      <c r="B380" s="191">
        <v>46064</v>
      </c>
      <c r="C380" s="70" t="s">
        <v>310</v>
      </c>
      <c r="D380" s="121">
        <v>1</v>
      </c>
      <c r="E380" s="84">
        <v>100000</v>
      </c>
      <c r="F380" s="215">
        <v>170</v>
      </c>
      <c r="G380" s="168">
        <v>670</v>
      </c>
      <c r="H380" s="84">
        <f t="shared" si="4"/>
        <v>213900</v>
      </c>
    </row>
    <row r="381" spans="2:8" x14ac:dyDescent="0.25">
      <c r="B381" s="191">
        <v>46075</v>
      </c>
      <c r="C381" s="70" t="s">
        <v>310</v>
      </c>
      <c r="D381" s="121">
        <v>1</v>
      </c>
      <c r="E381" s="84">
        <v>100000</v>
      </c>
      <c r="F381" s="215">
        <v>170</v>
      </c>
      <c r="G381" s="168">
        <v>670</v>
      </c>
      <c r="H381" s="84">
        <f t="shared" si="4"/>
        <v>213900</v>
      </c>
    </row>
    <row r="382" spans="2:8" x14ac:dyDescent="0.25">
      <c r="B382" s="191">
        <v>46082</v>
      </c>
      <c r="C382" s="70" t="s">
        <v>310</v>
      </c>
      <c r="D382" s="121">
        <v>1</v>
      </c>
      <c r="E382" s="84">
        <v>100000</v>
      </c>
      <c r="F382" s="215">
        <v>170</v>
      </c>
      <c r="G382" s="168">
        <v>670</v>
      </c>
      <c r="H382" s="84">
        <f t="shared" si="4"/>
        <v>213900</v>
      </c>
    </row>
    <row r="383" spans="2:8" x14ac:dyDescent="0.25">
      <c r="B383" s="191">
        <v>46089</v>
      </c>
      <c r="C383" s="70" t="s">
        <v>310</v>
      </c>
      <c r="D383" s="121">
        <v>1</v>
      </c>
      <c r="E383" s="84">
        <v>100000</v>
      </c>
      <c r="F383" s="215">
        <v>170</v>
      </c>
      <c r="G383" s="168">
        <v>670</v>
      </c>
      <c r="H383" s="84">
        <f t="shared" si="4"/>
        <v>213900</v>
      </c>
    </row>
    <row r="384" spans="2:8" x14ac:dyDescent="0.25">
      <c r="B384" s="191">
        <v>46101</v>
      </c>
      <c r="C384" s="70" t="s">
        <v>310</v>
      </c>
      <c r="D384" s="121">
        <v>1</v>
      </c>
      <c r="E384" s="84">
        <v>70000</v>
      </c>
      <c r="F384" s="215">
        <v>170</v>
      </c>
      <c r="G384" s="168">
        <v>800</v>
      </c>
      <c r="H384" s="84">
        <f t="shared" si="4"/>
        <v>206000</v>
      </c>
    </row>
    <row r="385" spans="2:8" x14ac:dyDescent="0.25">
      <c r="B385" s="191">
        <v>46111</v>
      </c>
      <c r="C385" s="70" t="s">
        <v>310</v>
      </c>
      <c r="D385" s="121">
        <v>1</v>
      </c>
      <c r="E385" s="84">
        <v>70000</v>
      </c>
      <c r="F385" s="215">
        <v>170</v>
      </c>
      <c r="G385" s="168">
        <v>800</v>
      </c>
      <c r="H385" s="84">
        <f t="shared" si="4"/>
        <v>206000</v>
      </c>
    </row>
    <row r="386" spans="2:8" x14ac:dyDescent="0.25">
      <c r="B386" s="191">
        <v>46130</v>
      </c>
      <c r="C386" s="70" t="s">
        <v>310</v>
      </c>
      <c r="D386" s="121">
        <v>1</v>
      </c>
      <c r="E386" s="84">
        <v>70000</v>
      </c>
      <c r="F386" s="215">
        <v>170</v>
      </c>
      <c r="G386" s="168">
        <v>800</v>
      </c>
      <c r="H386" s="84">
        <f t="shared" si="4"/>
        <v>206000</v>
      </c>
    </row>
    <row r="387" spans="2:8" x14ac:dyDescent="0.25">
      <c r="B387" s="191">
        <v>46141</v>
      </c>
      <c r="C387" s="70" t="s">
        <v>310</v>
      </c>
      <c r="D387" s="121">
        <v>1</v>
      </c>
      <c r="E387" s="84">
        <v>70000</v>
      </c>
      <c r="F387" s="215">
        <v>170</v>
      </c>
      <c r="G387" s="168">
        <v>800</v>
      </c>
      <c r="H387" s="84">
        <f t="shared" si="4"/>
        <v>206000</v>
      </c>
    </row>
    <row r="388" spans="2:8" x14ac:dyDescent="0.25">
      <c r="B388" s="191">
        <v>46142</v>
      </c>
      <c r="C388" s="70" t="s">
        <v>169</v>
      </c>
      <c r="D388" s="121">
        <v>1</v>
      </c>
      <c r="E388" s="84">
        <v>90000</v>
      </c>
      <c r="F388" s="215">
        <v>223</v>
      </c>
      <c r="G388" s="168">
        <v>711.6</v>
      </c>
      <c r="H388" s="84">
        <f t="shared" si="4"/>
        <v>248686.80000000002</v>
      </c>
    </row>
    <row r="389" spans="2:8" x14ac:dyDescent="0.25">
      <c r="B389" s="191">
        <v>46143</v>
      </c>
      <c r="C389" s="70" t="s">
        <v>169</v>
      </c>
      <c r="D389" s="121">
        <v>1</v>
      </c>
      <c r="E389" s="84">
        <v>90000</v>
      </c>
      <c r="F389" s="215">
        <v>223</v>
      </c>
      <c r="G389" s="168">
        <v>711.6</v>
      </c>
      <c r="H389" s="84">
        <f t="shared" si="4"/>
        <v>248686.80000000002</v>
      </c>
    </row>
    <row r="390" spans="2:8" x14ac:dyDescent="0.25">
      <c r="B390" s="191">
        <v>46144</v>
      </c>
      <c r="C390" s="70" t="s">
        <v>169</v>
      </c>
      <c r="D390" s="121">
        <v>1</v>
      </c>
      <c r="E390" s="84">
        <v>90000</v>
      </c>
      <c r="F390" s="215">
        <v>238</v>
      </c>
      <c r="G390" s="168">
        <v>711.6</v>
      </c>
      <c r="H390" s="84">
        <f t="shared" si="4"/>
        <v>259360.80000000002</v>
      </c>
    </row>
    <row r="391" spans="2:8" x14ac:dyDescent="0.25">
      <c r="B391" s="191">
        <v>46145</v>
      </c>
      <c r="C391" s="70" t="s">
        <v>169</v>
      </c>
      <c r="D391" s="121">
        <v>1</v>
      </c>
      <c r="E391" s="84">
        <v>90000</v>
      </c>
      <c r="F391" s="215">
        <v>223</v>
      </c>
      <c r="G391" s="168">
        <v>711.6</v>
      </c>
      <c r="H391" s="84">
        <f t="shared" si="4"/>
        <v>248686.80000000002</v>
      </c>
    </row>
    <row r="392" spans="2:8" x14ac:dyDescent="0.25">
      <c r="B392" s="191">
        <v>46158</v>
      </c>
      <c r="C392" s="70" t="s">
        <v>197</v>
      </c>
      <c r="D392" s="121">
        <v>1</v>
      </c>
      <c r="E392" s="84">
        <v>50000</v>
      </c>
      <c r="F392" s="215"/>
      <c r="G392" s="168"/>
      <c r="H392" s="84">
        <f t="shared" si="4"/>
        <v>50000</v>
      </c>
    </row>
    <row r="393" spans="2:8" x14ac:dyDescent="0.25">
      <c r="B393" s="191">
        <v>46164</v>
      </c>
      <c r="C393" s="70" t="s">
        <v>310</v>
      </c>
      <c r="D393" s="121">
        <v>1</v>
      </c>
      <c r="E393" s="84">
        <v>25000</v>
      </c>
      <c r="F393" s="215">
        <v>30</v>
      </c>
      <c r="G393" s="168">
        <v>800</v>
      </c>
      <c r="H393" s="84">
        <f t="shared" si="4"/>
        <v>49000</v>
      </c>
    </row>
    <row r="394" spans="2:8" x14ac:dyDescent="0.25">
      <c r="B394" s="191">
        <v>46168</v>
      </c>
      <c r="C394" s="70" t="s">
        <v>197</v>
      </c>
      <c r="D394" s="121">
        <v>1</v>
      </c>
      <c r="E394" s="84">
        <v>75000</v>
      </c>
      <c r="F394" s="215"/>
      <c r="G394" s="168"/>
      <c r="H394" s="84">
        <f t="shared" si="4"/>
        <v>75000</v>
      </c>
    </row>
    <row r="395" spans="2:8" x14ac:dyDescent="0.25">
      <c r="B395" s="191">
        <v>46169</v>
      </c>
      <c r="C395" s="70" t="s">
        <v>197</v>
      </c>
      <c r="D395" s="121">
        <v>1</v>
      </c>
      <c r="E395" s="84">
        <v>75000</v>
      </c>
      <c r="F395" s="215"/>
      <c r="G395" s="168"/>
      <c r="H395" s="84">
        <f t="shared" si="4"/>
        <v>75000</v>
      </c>
    </row>
    <row r="396" spans="2:8" x14ac:dyDescent="0.25">
      <c r="B396" s="191">
        <v>46170</v>
      </c>
      <c r="C396" s="70" t="s">
        <v>197</v>
      </c>
      <c r="D396" s="121">
        <v>1</v>
      </c>
      <c r="E396" s="84">
        <v>75000</v>
      </c>
      <c r="F396" s="215"/>
      <c r="G396" s="168"/>
      <c r="H396" s="84">
        <f t="shared" si="4"/>
        <v>75000</v>
      </c>
    </row>
    <row r="397" spans="2:8" x14ac:dyDescent="0.25">
      <c r="B397" s="191">
        <v>46171</v>
      </c>
      <c r="C397" s="70" t="s">
        <v>197</v>
      </c>
      <c r="D397" s="121">
        <v>1</v>
      </c>
      <c r="E397" s="84">
        <v>75000</v>
      </c>
      <c r="F397" s="215"/>
      <c r="G397" s="168"/>
      <c r="H397" s="84">
        <f t="shared" si="4"/>
        <v>75000</v>
      </c>
    </row>
    <row r="398" spans="2:8" x14ac:dyDescent="0.25">
      <c r="B398" s="191">
        <v>46167</v>
      </c>
      <c r="C398" s="70" t="s">
        <v>502</v>
      </c>
      <c r="D398" s="121">
        <v>1</v>
      </c>
      <c r="E398" s="84">
        <v>50000</v>
      </c>
      <c r="F398" s="215"/>
      <c r="G398" s="168"/>
      <c r="H398" s="84">
        <f t="shared" si="4"/>
        <v>50000</v>
      </c>
    </row>
    <row r="399" spans="2:8" x14ac:dyDescent="0.25">
      <c r="B399" s="191">
        <v>46175</v>
      </c>
      <c r="C399" s="70" t="s">
        <v>502</v>
      </c>
      <c r="D399" s="121">
        <v>1</v>
      </c>
      <c r="E399" s="84">
        <v>75000</v>
      </c>
      <c r="F399" s="215"/>
      <c r="G399" s="168"/>
      <c r="H399" s="84">
        <f t="shared" si="4"/>
        <v>75000</v>
      </c>
    </row>
    <row r="400" spans="2:8" x14ac:dyDescent="0.25">
      <c r="B400" s="191">
        <v>46176</v>
      </c>
      <c r="C400" s="70" t="s">
        <v>502</v>
      </c>
      <c r="D400" s="121">
        <v>1</v>
      </c>
      <c r="E400" s="84">
        <v>75000</v>
      </c>
      <c r="F400" s="215"/>
      <c r="G400" s="168"/>
      <c r="H400" s="84">
        <f t="shared" si="4"/>
        <v>75000</v>
      </c>
    </row>
    <row r="401" spans="2:8" x14ac:dyDescent="0.25">
      <c r="B401" s="191">
        <v>46175</v>
      </c>
      <c r="C401" s="70" t="s">
        <v>197</v>
      </c>
      <c r="D401" s="121">
        <v>1</v>
      </c>
      <c r="E401" s="84">
        <v>75000</v>
      </c>
      <c r="F401" s="215"/>
      <c r="G401" s="168"/>
      <c r="H401" s="84">
        <f t="shared" si="4"/>
        <v>75000</v>
      </c>
    </row>
    <row r="402" spans="2:8" x14ac:dyDescent="0.25">
      <c r="B402" s="191">
        <v>46176</v>
      </c>
      <c r="C402" s="70" t="s">
        <v>197</v>
      </c>
      <c r="D402" s="121">
        <v>0.5</v>
      </c>
      <c r="E402" s="84">
        <v>75000</v>
      </c>
      <c r="F402" s="215"/>
      <c r="G402" s="168"/>
      <c r="H402" s="84">
        <f t="shared" si="4"/>
        <v>37500</v>
      </c>
    </row>
    <row r="403" spans="2:8" x14ac:dyDescent="0.25">
      <c r="B403" s="191">
        <v>46185</v>
      </c>
      <c r="C403" s="70" t="s">
        <v>197</v>
      </c>
      <c r="D403" s="121">
        <v>1</v>
      </c>
      <c r="E403" s="84">
        <v>100000</v>
      </c>
      <c r="F403" s="215"/>
      <c r="G403" s="168"/>
      <c r="H403" s="84">
        <f t="shared" si="4"/>
        <v>100000</v>
      </c>
    </row>
    <row r="404" spans="2:8" x14ac:dyDescent="0.25">
      <c r="B404" s="191">
        <v>46185</v>
      </c>
      <c r="C404" s="70" t="s">
        <v>502</v>
      </c>
      <c r="D404" s="121">
        <v>1</v>
      </c>
      <c r="E404" s="84">
        <v>100000</v>
      </c>
      <c r="F404" s="215"/>
      <c r="G404" s="168"/>
      <c r="H404" s="84">
        <f t="shared" si="4"/>
        <v>100000</v>
      </c>
    </row>
    <row r="405" spans="2:8" x14ac:dyDescent="0.25">
      <c r="B405" s="191">
        <v>46196</v>
      </c>
      <c r="C405" s="70" t="s">
        <v>197</v>
      </c>
      <c r="D405" s="121">
        <v>1</v>
      </c>
      <c r="E405" s="84">
        <v>100000</v>
      </c>
      <c r="F405" s="215"/>
      <c r="G405" s="168"/>
      <c r="H405" s="84">
        <f t="shared" si="4"/>
        <v>100000</v>
      </c>
    </row>
    <row r="406" spans="2:8" x14ac:dyDescent="0.25">
      <c r="B406" s="191">
        <v>46204</v>
      </c>
      <c r="C406" s="70" t="s">
        <v>197</v>
      </c>
      <c r="D406" s="121">
        <v>1</v>
      </c>
      <c r="E406" s="84">
        <v>100000</v>
      </c>
      <c r="F406" s="215"/>
      <c r="G406" s="168"/>
      <c r="H406" s="84">
        <f t="shared" si="4"/>
        <v>100000</v>
      </c>
    </row>
    <row r="407" spans="2:8" x14ac:dyDescent="0.25">
      <c r="B407" s="191">
        <v>46205</v>
      </c>
      <c r="C407" s="70" t="s">
        <v>197</v>
      </c>
      <c r="D407" s="121">
        <v>1</v>
      </c>
      <c r="E407" s="84">
        <v>100000</v>
      </c>
      <c r="F407" s="215"/>
      <c r="G407" s="168"/>
      <c r="H407" s="84">
        <f t="shared" si="4"/>
        <v>100000</v>
      </c>
    </row>
    <row r="408" spans="2:8" x14ac:dyDescent="0.25">
      <c r="B408" s="191">
        <v>46206</v>
      </c>
      <c r="C408" s="70" t="s">
        <v>197</v>
      </c>
      <c r="D408" s="121">
        <v>1</v>
      </c>
      <c r="E408" s="84">
        <v>100000</v>
      </c>
      <c r="F408" s="215"/>
      <c r="G408" s="168"/>
      <c r="H408" s="84">
        <f t="shared" si="4"/>
        <v>100000</v>
      </c>
    </row>
    <row r="409" spans="2:8" x14ac:dyDescent="0.25">
      <c r="B409" s="191">
        <v>46212</v>
      </c>
      <c r="C409" s="70" t="s">
        <v>197</v>
      </c>
      <c r="D409" s="121">
        <v>1</v>
      </c>
      <c r="E409" s="84">
        <v>100000</v>
      </c>
      <c r="F409" s="215"/>
      <c r="G409" s="168"/>
      <c r="H409" s="84">
        <f t="shared" si="4"/>
        <v>100000</v>
      </c>
    </row>
    <row r="410" spans="2:8" x14ac:dyDescent="0.25">
      <c r="B410" s="191">
        <v>46213</v>
      </c>
      <c r="C410" s="70" t="s">
        <v>197</v>
      </c>
      <c r="D410" s="121">
        <v>1</v>
      </c>
      <c r="E410" s="84">
        <v>80000</v>
      </c>
      <c r="F410" s="215"/>
      <c r="G410" s="168"/>
      <c r="H410" s="84">
        <f t="shared" si="4"/>
        <v>80000</v>
      </c>
    </row>
    <row r="411" spans="2:8" x14ac:dyDescent="0.25">
      <c r="B411" s="191">
        <v>46226</v>
      </c>
      <c r="C411" s="70" t="s">
        <v>197</v>
      </c>
      <c r="D411" s="121">
        <v>1</v>
      </c>
      <c r="E411" s="84">
        <v>100000</v>
      </c>
      <c r="F411" s="215"/>
      <c r="G411" s="168"/>
      <c r="H411" s="84">
        <f t="shared" si="4"/>
        <v>100000</v>
      </c>
    </row>
    <row r="412" spans="2:8" x14ac:dyDescent="0.25">
      <c r="B412" s="191"/>
      <c r="C412" s="70"/>
      <c r="D412" s="121"/>
      <c r="E412" s="84"/>
      <c r="F412" s="215"/>
      <c r="G412" s="168"/>
      <c r="H412" s="84">
        <f t="shared" si="4"/>
        <v>0</v>
      </c>
    </row>
    <row r="413" spans="2:8" x14ac:dyDescent="0.25">
      <c r="B413" s="191"/>
      <c r="C413" s="70"/>
      <c r="D413" s="121"/>
      <c r="E413" s="84"/>
      <c r="F413" s="215"/>
      <c r="G413" s="168"/>
      <c r="H413" s="84">
        <f t="shared" si="4"/>
        <v>0</v>
      </c>
    </row>
    <row r="414" spans="2:8" x14ac:dyDescent="0.25">
      <c r="B414" s="191"/>
      <c r="C414" s="70"/>
      <c r="D414" s="121"/>
      <c r="E414" s="84"/>
      <c r="F414" s="215"/>
      <c r="G414" s="168"/>
      <c r="H414" s="84">
        <f t="shared" si="4"/>
        <v>0</v>
      </c>
    </row>
    <row r="415" spans="2:8" x14ac:dyDescent="0.25">
      <c r="B415" s="191"/>
      <c r="C415" s="70"/>
      <c r="D415" s="116"/>
      <c r="E415" s="84"/>
      <c r="F415" s="215"/>
      <c r="G415" s="84"/>
      <c r="H415" s="84">
        <f t="shared" si="4"/>
        <v>0</v>
      </c>
    </row>
    <row r="416" spans="2:8" x14ac:dyDescent="0.25">
      <c r="B416" s="1"/>
      <c r="C416" s="1"/>
      <c r="D416" s="115"/>
      <c r="E416" s="84">
        <f>SUM(E5:E415)</f>
        <v>23792500</v>
      </c>
      <c r="F416" s="134"/>
      <c r="G416" s="84"/>
      <c r="H416" s="84">
        <f>SUM(H5:H415)</f>
        <v>38775952.100000009</v>
      </c>
    </row>
    <row r="419" spans="5:8" x14ac:dyDescent="0.25">
      <c r="H419" s="166"/>
    </row>
    <row r="422" spans="5:8" x14ac:dyDescent="0.25">
      <c r="E422" t="s">
        <v>4</v>
      </c>
    </row>
    <row r="425" spans="5:8" x14ac:dyDescent="0.25">
      <c r="H425" t="s">
        <v>4</v>
      </c>
    </row>
  </sheetData>
  <autoFilter ref="B4:K416" xr:uid="{00000000-0009-0000-0000-000006000000}"/>
  <pageMargins left="0.7" right="0.7" top="0.75" bottom="0.75" header="0.3" footer="0.3"/>
  <pageSetup orientation="portrait" r:id="rId1"/>
  <ignoredErrors>
    <ignoredError sqref="K17 K26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M301"/>
  <sheetViews>
    <sheetView showGridLines="0" topLeftCell="A48" workbookViewId="0">
      <selection activeCell="F6" sqref="F6:F70"/>
    </sheetView>
  </sheetViews>
  <sheetFormatPr baseColWidth="10" defaultRowHeight="15" x14ac:dyDescent="0.25"/>
  <cols>
    <col min="1" max="1" width="7.140625" customWidth="1"/>
    <col min="3" max="3" width="19.28515625" bestFit="1" customWidth="1"/>
    <col min="4" max="4" width="19.28515625" customWidth="1"/>
    <col min="5" max="5" width="21.28515625" bestFit="1" customWidth="1"/>
    <col min="7" max="7" width="14.140625" bestFit="1" customWidth="1"/>
    <col min="9" max="9" width="12.5703125" bestFit="1" customWidth="1"/>
    <col min="10" max="10" width="14.140625" bestFit="1" customWidth="1"/>
    <col min="12" max="12" width="17.140625" customWidth="1"/>
    <col min="13" max="13" width="14.140625" style="147" bestFit="1" customWidth="1"/>
  </cols>
  <sheetData>
    <row r="1" spans="2:13" ht="5.25" customHeight="1" x14ac:dyDescent="0.25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46"/>
    </row>
    <row r="2" spans="2:13" ht="27" thickBot="1" x14ac:dyDescent="0.45">
      <c r="B2" s="35" t="s">
        <v>336</v>
      </c>
      <c r="C2" s="35"/>
      <c r="D2" s="35"/>
      <c r="E2" s="35"/>
    </row>
    <row r="3" spans="2:13" ht="15.75" thickBot="1" x14ac:dyDescent="0.3">
      <c r="J3" s="155">
        <f>SUBTOTAL(9,J5:J291)</f>
        <v>623218.90000000014</v>
      </c>
    </row>
    <row r="4" spans="2:13" x14ac:dyDescent="0.25">
      <c r="B4" s="117" t="s">
        <v>0</v>
      </c>
      <c r="C4" s="117" t="s">
        <v>72</v>
      </c>
      <c r="D4" s="117" t="s">
        <v>8</v>
      </c>
      <c r="E4" s="117" t="s">
        <v>338</v>
      </c>
      <c r="F4" s="117" t="s">
        <v>337</v>
      </c>
      <c r="G4" s="117" t="s">
        <v>70</v>
      </c>
      <c r="H4" s="117" t="s">
        <v>117</v>
      </c>
      <c r="I4" s="117" t="s">
        <v>70</v>
      </c>
      <c r="J4" s="117" t="s">
        <v>9</v>
      </c>
      <c r="L4" s="72" t="s">
        <v>335</v>
      </c>
      <c r="M4" s="148" t="s">
        <v>68</v>
      </c>
    </row>
    <row r="5" spans="2:13" hidden="1" x14ac:dyDescent="0.25">
      <c r="B5" s="188">
        <v>45940</v>
      </c>
      <c r="C5" s="70" t="s">
        <v>339</v>
      </c>
      <c r="D5" s="70" t="s">
        <v>327</v>
      </c>
      <c r="E5" s="70" t="s">
        <v>32</v>
      </c>
      <c r="F5" s="119">
        <v>93</v>
      </c>
      <c r="G5" s="84">
        <v>2.5</v>
      </c>
      <c r="H5" s="225">
        <v>72</v>
      </c>
      <c r="I5" s="222">
        <v>650</v>
      </c>
      <c r="J5" s="84">
        <f>F5*G5+H5*I5</f>
        <v>47032.5</v>
      </c>
      <c r="L5" s="70" t="s">
        <v>339</v>
      </c>
      <c r="M5" s="84">
        <f>SUMIF(C5:C291,L5,J5:J291)</f>
        <v>788637.5</v>
      </c>
    </row>
    <row r="6" spans="2:13" x14ac:dyDescent="0.25">
      <c r="B6" s="188">
        <v>45941</v>
      </c>
      <c r="C6" s="70" t="s">
        <v>259</v>
      </c>
      <c r="D6" s="70" t="s">
        <v>312</v>
      </c>
      <c r="E6" s="70" t="s">
        <v>341</v>
      </c>
      <c r="F6" s="119">
        <v>137</v>
      </c>
      <c r="G6" s="84">
        <v>4</v>
      </c>
      <c r="H6" s="215">
        <v>90</v>
      </c>
      <c r="I6" s="222">
        <v>0.35</v>
      </c>
      <c r="J6" s="84">
        <f t="shared" ref="J6:J73" si="0">F6*G6+H6*I6</f>
        <v>579.5</v>
      </c>
      <c r="L6" s="70" t="s">
        <v>259</v>
      </c>
      <c r="M6" s="84">
        <f>SUMIF(C5:C291,L6,J5:J291)</f>
        <v>1433140.85</v>
      </c>
    </row>
    <row r="7" spans="2:13" x14ac:dyDescent="0.25">
      <c r="B7" s="188">
        <v>45945</v>
      </c>
      <c r="C7" s="70" t="s">
        <v>259</v>
      </c>
      <c r="D7" s="70" t="s">
        <v>245</v>
      </c>
      <c r="E7" s="70" t="s">
        <v>341</v>
      </c>
      <c r="F7" s="119">
        <v>77</v>
      </c>
      <c r="G7" s="84">
        <v>4</v>
      </c>
      <c r="H7" s="215">
        <v>370</v>
      </c>
      <c r="I7" s="222">
        <v>0.35</v>
      </c>
      <c r="J7" s="84">
        <f t="shared" si="0"/>
        <v>437.5</v>
      </c>
      <c r="K7" t="s">
        <v>4</v>
      </c>
      <c r="L7" s="70" t="s">
        <v>340</v>
      </c>
      <c r="M7" s="84">
        <f>SUMIF(C5:C291,L7,J5:J291)</f>
        <v>3102</v>
      </c>
    </row>
    <row r="8" spans="2:13" x14ac:dyDescent="0.25">
      <c r="B8" s="188">
        <v>45945</v>
      </c>
      <c r="C8" s="70" t="s">
        <v>259</v>
      </c>
      <c r="D8" s="70" t="s">
        <v>248</v>
      </c>
      <c r="E8" s="70" t="s">
        <v>341</v>
      </c>
      <c r="F8" s="119">
        <v>36</v>
      </c>
      <c r="G8" s="84">
        <v>4</v>
      </c>
      <c r="H8" s="215">
        <v>0</v>
      </c>
      <c r="I8" s="222">
        <v>0.35</v>
      </c>
      <c r="J8" s="84">
        <f t="shared" si="0"/>
        <v>144</v>
      </c>
      <c r="K8" t="s">
        <v>4</v>
      </c>
      <c r="L8" s="70"/>
      <c r="M8" s="84">
        <f>SUMIF(C5:C291,L8,J5:J291)</f>
        <v>0</v>
      </c>
    </row>
    <row r="9" spans="2:13" x14ac:dyDescent="0.25">
      <c r="B9" s="188">
        <v>45946</v>
      </c>
      <c r="C9" s="70" t="s">
        <v>259</v>
      </c>
      <c r="D9" s="70" t="s">
        <v>324</v>
      </c>
      <c r="E9" s="70" t="s">
        <v>341</v>
      </c>
      <c r="F9" s="119">
        <v>52</v>
      </c>
      <c r="G9" s="84">
        <v>4</v>
      </c>
      <c r="H9" s="215">
        <v>350</v>
      </c>
      <c r="I9" s="222">
        <v>0.35</v>
      </c>
      <c r="J9" s="84">
        <f t="shared" si="0"/>
        <v>330.5</v>
      </c>
      <c r="L9" s="70"/>
      <c r="M9" s="84">
        <f>SUMIF(C5:C291,L9,J5:J291)</f>
        <v>0</v>
      </c>
    </row>
    <row r="10" spans="2:13" x14ac:dyDescent="0.25">
      <c r="B10" s="188">
        <v>45949</v>
      </c>
      <c r="C10" s="70" t="s">
        <v>259</v>
      </c>
      <c r="D10" s="70" t="s">
        <v>302</v>
      </c>
      <c r="E10" s="70" t="s">
        <v>341</v>
      </c>
      <c r="F10" s="119">
        <v>107</v>
      </c>
      <c r="G10" s="84">
        <v>4</v>
      </c>
      <c r="H10" s="215">
        <v>150</v>
      </c>
      <c r="I10" s="222">
        <v>0.35</v>
      </c>
      <c r="J10" s="84">
        <f t="shared" si="0"/>
        <v>480.5</v>
      </c>
      <c r="L10" s="70"/>
      <c r="M10" s="84">
        <f>SUMIF(C5:C291,L10,J5:J291)</f>
        <v>0</v>
      </c>
    </row>
    <row r="11" spans="2:13" x14ac:dyDescent="0.25">
      <c r="B11" s="188">
        <v>45951</v>
      </c>
      <c r="C11" s="70" t="s">
        <v>259</v>
      </c>
      <c r="D11" s="70" t="s">
        <v>289</v>
      </c>
      <c r="E11" s="70" t="s">
        <v>341</v>
      </c>
      <c r="F11" s="119">
        <v>107</v>
      </c>
      <c r="G11" s="84">
        <v>4</v>
      </c>
      <c r="H11" s="215">
        <v>260</v>
      </c>
      <c r="I11" s="168">
        <v>0.35</v>
      </c>
      <c r="J11" s="84">
        <f t="shared" si="0"/>
        <v>519</v>
      </c>
      <c r="L11" s="70"/>
      <c r="M11" s="84">
        <f>SUMIF(C5:C291,L11,J5:J291)</f>
        <v>0</v>
      </c>
    </row>
    <row r="12" spans="2:13" x14ac:dyDescent="0.25">
      <c r="B12" s="188">
        <v>45953</v>
      </c>
      <c r="C12" s="70" t="s">
        <v>259</v>
      </c>
      <c r="D12" s="70" t="s">
        <v>326</v>
      </c>
      <c r="E12" s="70" t="s">
        <v>341</v>
      </c>
      <c r="F12" s="119">
        <v>113</v>
      </c>
      <c r="G12" s="84">
        <v>4</v>
      </c>
      <c r="H12" s="215">
        <v>160</v>
      </c>
      <c r="I12" s="151">
        <v>0.35</v>
      </c>
      <c r="J12" s="84">
        <f t="shared" si="0"/>
        <v>508</v>
      </c>
      <c r="L12" s="70"/>
      <c r="M12" s="84">
        <f>SUMIF(C5:C291,L12,J5:J291)</f>
        <v>0</v>
      </c>
    </row>
    <row r="13" spans="2:13" x14ac:dyDescent="0.25">
      <c r="B13" s="188">
        <v>45957</v>
      </c>
      <c r="C13" s="70" t="s">
        <v>259</v>
      </c>
      <c r="D13" s="70" t="s">
        <v>250</v>
      </c>
      <c r="E13" s="70" t="s">
        <v>341</v>
      </c>
      <c r="F13" s="119">
        <v>65</v>
      </c>
      <c r="G13" s="84">
        <v>4</v>
      </c>
      <c r="H13" s="215">
        <v>212</v>
      </c>
      <c r="I13" s="151">
        <v>0.35</v>
      </c>
      <c r="J13" s="84">
        <f t="shared" si="0"/>
        <v>334.2</v>
      </c>
      <c r="L13" s="70"/>
      <c r="M13" s="84">
        <f>SUMIF(C5:C291,L13,J5:J291)</f>
        <v>0</v>
      </c>
    </row>
    <row r="14" spans="2:13" x14ac:dyDescent="0.25">
      <c r="B14" s="188">
        <v>45958</v>
      </c>
      <c r="C14" s="70" t="s">
        <v>259</v>
      </c>
      <c r="D14" s="70" t="s">
        <v>256</v>
      </c>
      <c r="E14" s="70" t="s">
        <v>341</v>
      </c>
      <c r="F14" s="119">
        <v>57</v>
      </c>
      <c r="G14" s="84">
        <v>4</v>
      </c>
      <c r="H14" s="215">
        <v>156</v>
      </c>
      <c r="I14" s="168">
        <v>0.35</v>
      </c>
      <c r="J14" s="84">
        <f t="shared" si="0"/>
        <v>282.60000000000002</v>
      </c>
      <c r="L14" s="70"/>
      <c r="M14" s="84">
        <f>SUMIF(C5:C291,L14,J5:J291)</f>
        <v>0</v>
      </c>
    </row>
    <row r="15" spans="2:13" x14ac:dyDescent="0.25">
      <c r="B15" s="188">
        <v>45959</v>
      </c>
      <c r="C15" s="70" t="s">
        <v>259</v>
      </c>
      <c r="D15" s="70" t="s">
        <v>289</v>
      </c>
      <c r="E15" s="70" t="s">
        <v>341</v>
      </c>
      <c r="F15" s="119">
        <v>137</v>
      </c>
      <c r="G15" s="84">
        <v>4</v>
      </c>
      <c r="H15" s="215">
        <v>260</v>
      </c>
      <c r="I15" s="168">
        <v>0.35</v>
      </c>
      <c r="J15" s="84">
        <f t="shared" si="0"/>
        <v>639</v>
      </c>
      <c r="L15" s="70"/>
      <c r="M15" s="84">
        <f>SUMIF(C5:C291,L15,J5:J291)</f>
        <v>0</v>
      </c>
    </row>
    <row r="16" spans="2:13" x14ac:dyDescent="0.25">
      <c r="B16" s="188">
        <v>45960</v>
      </c>
      <c r="C16" s="70" t="s">
        <v>259</v>
      </c>
      <c r="D16" s="70" t="s">
        <v>235</v>
      </c>
      <c r="E16" s="70" t="s">
        <v>341</v>
      </c>
      <c r="F16" s="119">
        <v>91</v>
      </c>
      <c r="G16" s="84">
        <v>4</v>
      </c>
      <c r="H16" s="215">
        <v>180</v>
      </c>
      <c r="I16" s="168">
        <v>0.35</v>
      </c>
      <c r="J16" s="84">
        <f t="shared" si="0"/>
        <v>427</v>
      </c>
      <c r="L16" s="70"/>
      <c r="M16" s="84">
        <f>SUMIF(C5:C291,L16,J5:J291)</f>
        <v>0</v>
      </c>
    </row>
    <row r="17" spans="2:13" x14ac:dyDescent="0.25">
      <c r="B17" s="188">
        <v>45960</v>
      </c>
      <c r="C17" s="70" t="s">
        <v>259</v>
      </c>
      <c r="D17" s="70" t="s">
        <v>170</v>
      </c>
      <c r="E17" s="70" t="s">
        <v>341</v>
      </c>
      <c r="F17" s="119">
        <v>75</v>
      </c>
      <c r="G17" s="84">
        <v>4</v>
      </c>
      <c r="H17" s="215">
        <v>40</v>
      </c>
      <c r="I17" s="168">
        <v>0.35</v>
      </c>
      <c r="J17" s="84">
        <f t="shared" si="0"/>
        <v>314</v>
      </c>
      <c r="L17" s="70"/>
      <c r="M17" s="84">
        <f>SUMIF(C5:C291,L17,J5:J291)</f>
        <v>0</v>
      </c>
    </row>
    <row r="18" spans="2:13" x14ac:dyDescent="0.25">
      <c r="B18" s="188">
        <v>45963</v>
      </c>
      <c r="C18" s="70" t="s">
        <v>259</v>
      </c>
      <c r="D18" s="70" t="s">
        <v>380</v>
      </c>
      <c r="E18" s="70" t="s">
        <v>341</v>
      </c>
      <c r="F18" s="119">
        <v>100</v>
      </c>
      <c r="G18" s="84">
        <v>4</v>
      </c>
      <c r="H18" s="215">
        <v>240</v>
      </c>
      <c r="I18" s="168">
        <v>0.35</v>
      </c>
      <c r="J18" s="84">
        <f t="shared" si="0"/>
        <v>484</v>
      </c>
      <c r="L18" s="70"/>
      <c r="M18" s="84">
        <f>SUMIF(C5:C291,L18,J5:J291)</f>
        <v>0</v>
      </c>
    </row>
    <row r="19" spans="2:13" x14ac:dyDescent="0.25">
      <c r="B19" s="188">
        <v>45966</v>
      </c>
      <c r="C19" s="70" t="s">
        <v>259</v>
      </c>
      <c r="D19" s="70" t="s">
        <v>233</v>
      </c>
      <c r="E19" s="70" t="s">
        <v>341</v>
      </c>
      <c r="F19" s="119">
        <v>118</v>
      </c>
      <c r="G19" s="84">
        <v>4</v>
      </c>
      <c r="H19" s="215">
        <v>176</v>
      </c>
      <c r="I19" s="168">
        <v>0.35</v>
      </c>
      <c r="J19" s="84">
        <f t="shared" si="0"/>
        <v>533.6</v>
      </c>
      <c r="K19" t="s">
        <v>4</v>
      </c>
      <c r="L19" s="70"/>
      <c r="M19" s="84">
        <f>SUMIF(C5:C291,L19,J5:J291)</f>
        <v>0</v>
      </c>
    </row>
    <row r="20" spans="2:13" hidden="1" x14ac:dyDescent="0.25">
      <c r="B20" s="188">
        <v>45966</v>
      </c>
      <c r="C20" s="70" t="s">
        <v>339</v>
      </c>
      <c r="D20" s="70" t="s">
        <v>230</v>
      </c>
      <c r="E20" s="70" t="s">
        <v>32</v>
      </c>
      <c r="F20" s="119">
        <v>188</v>
      </c>
      <c r="G20" s="84">
        <v>2.5</v>
      </c>
      <c r="H20" s="225">
        <v>118</v>
      </c>
      <c r="I20" s="222">
        <v>650</v>
      </c>
      <c r="J20" s="84">
        <f t="shared" si="0"/>
        <v>77170</v>
      </c>
      <c r="L20" s="70"/>
      <c r="M20" s="84">
        <f>SUMIF(C5:C291,L20,J5:J291)</f>
        <v>0</v>
      </c>
    </row>
    <row r="21" spans="2:13" x14ac:dyDescent="0.25">
      <c r="B21" s="188">
        <v>45967</v>
      </c>
      <c r="C21" s="70" t="s">
        <v>259</v>
      </c>
      <c r="D21" s="70" t="s">
        <v>289</v>
      </c>
      <c r="E21" s="70" t="s">
        <v>341</v>
      </c>
      <c r="F21" s="119">
        <v>169</v>
      </c>
      <c r="G21" s="84">
        <v>4</v>
      </c>
      <c r="H21" s="215">
        <v>260</v>
      </c>
      <c r="I21" s="168">
        <v>0.35</v>
      </c>
      <c r="J21" s="84">
        <f t="shared" si="0"/>
        <v>767</v>
      </c>
      <c r="L21" s="70"/>
      <c r="M21" s="84">
        <f>SUMIF(C5:C291,L21,J5:J291)</f>
        <v>0</v>
      </c>
    </row>
    <row r="22" spans="2:13" x14ac:dyDescent="0.25">
      <c r="B22" s="188">
        <v>45967</v>
      </c>
      <c r="C22" s="70" t="s">
        <v>339</v>
      </c>
      <c r="D22" s="70" t="s">
        <v>328</v>
      </c>
      <c r="E22" s="70" t="s">
        <v>341</v>
      </c>
      <c r="F22" s="119">
        <v>98</v>
      </c>
      <c r="G22" s="84">
        <v>5</v>
      </c>
      <c r="H22" s="225">
        <v>340</v>
      </c>
      <c r="I22" s="222">
        <v>650</v>
      </c>
      <c r="J22" s="84">
        <f t="shared" si="0"/>
        <v>221490</v>
      </c>
      <c r="L22" s="73" t="s">
        <v>4</v>
      </c>
    </row>
    <row r="23" spans="2:13" x14ac:dyDescent="0.25">
      <c r="B23" s="188">
        <v>45955</v>
      </c>
      <c r="C23" s="70" t="s">
        <v>385</v>
      </c>
      <c r="D23" s="91" t="s">
        <v>267</v>
      </c>
      <c r="E23" s="119" t="s">
        <v>341</v>
      </c>
      <c r="F23" s="119">
        <v>45</v>
      </c>
      <c r="G23" s="84">
        <v>4</v>
      </c>
      <c r="H23" s="215">
        <v>95</v>
      </c>
      <c r="I23" s="168">
        <v>0.35</v>
      </c>
      <c r="J23" s="84">
        <f t="shared" si="0"/>
        <v>213.25</v>
      </c>
    </row>
    <row r="24" spans="2:13" x14ac:dyDescent="0.25">
      <c r="B24" s="188">
        <v>45957</v>
      </c>
      <c r="C24" s="70" t="s">
        <v>385</v>
      </c>
      <c r="D24" s="91" t="s">
        <v>267</v>
      </c>
      <c r="E24" s="119" t="s">
        <v>341</v>
      </c>
      <c r="F24" s="119">
        <v>41</v>
      </c>
      <c r="G24" s="84">
        <v>4</v>
      </c>
      <c r="H24" s="215">
        <v>125</v>
      </c>
      <c r="I24" s="168">
        <v>0.35</v>
      </c>
      <c r="J24" s="84">
        <f t="shared" si="0"/>
        <v>207.75</v>
      </c>
    </row>
    <row r="25" spans="2:13" hidden="1" x14ac:dyDescent="0.25">
      <c r="B25" s="188">
        <v>45958</v>
      </c>
      <c r="C25" s="70" t="s">
        <v>385</v>
      </c>
      <c r="D25" s="91" t="s">
        <v>242</v>
      </c>
      <c r="E25" s="119" t="s">
        <v>32</v>
      </c>
      <c r="F25" s="119">
        <v>90</v>
      </c>
      <c r="G25" s="84">
        <v>2.5</v>
      </c>
      <c r="H25" s="215">
        <v>128</v>
      </c>
      <c r="I25" s="168">
        <v>0.35</v>
      </c>
      <c r="J25" s="84">
        <f t="shared" si="0"/>
        <v>269.8</v>
      </c>
    </row>
    <row r="26" spans="2:13" x14ac:dyDescent="0.25">
      <c r="B26" s="188">
        <v>45959</v>
      </c>
      <c r="C26" s="70" t="s">
        <v>385</v>
      </c>
      <c r="D26" s="91" t="s">
        <v>291</v>
      </c>
      <c r="E26" s="119" t="s">
        <v>341</v>
      </c>
      <c r="F26" s="119">
        <v>79</v>
      </c>
      <c r="G26" s="84">
        <v>4</v>
      </c>
      <c r="H26" s="215">
        <v>194</v>
      </c>
      <c r="I26" s="168">
        <v>0.35</v>
      </c>
      <c r="J26" s="84">
        <f t="shared" si="0"/>
        <v>383.9</v>
      </c>
    </row>
    <row r="27" spans="2:13" x14ac:dyDescent="0.25">
      <c r="B27" s="188">
        <v>45964</v>
      </c>
      <c r="C27" s="70" t="s">
        <v>385</v>
      </c>
      <c r="D27" s="91" t="s">
        <v>252</v>
      </c>
      <c r="E27" s="119" t="s">
        <v>341</v>
      </c>
      <c r="F27" s="119">
        <v>130</v>
      </c>
      <c r="G27" s="84">
        <v>4</v>
      </c>
      <c r="H27" s="215">
        <v>146</v>
      </c>
      <c r="I27" s="168">
        <v>0.35</v>
      </c>
      <c r="J27" s="84">
        <f t="shared" si="0"/>
        <v>571.1</v>
      </c>
    </row>
    <row r="28" spans="2:13" x14ac:dyDescent="0.25">
      <c r="B28" s="233">
        <v>45962</v>
      </c>
      <c r="C28" s="70" t="s">
        <v>340</v>
      </c>
      <c r="D28" s="91" t="s">
        <v>307</v>
      </c>
      <c r="E28" s="119" t="s">
        <v>341</v>
      </c>
      <c r="F28" s="119">
        <v>225</v>
      </c>
      <c r="G28" s="218">
        <v>3</v>
      </c>
      <c r="H28" s="216">
        <v>0</v>
      </c>
      <c r="I28" s="218">
        <v>0.35</v>
      </c>
      <c r="J28" s="84">
        <f t="shared" si="0"/>
        <v>675</v>
      </c>
      <c r="L28" t="s">
        <v>4</v>
      </c>
    </row>
    <row r="29" spans="2:13" x14ac:dyDescent="0.25">
      <c r="B29" s="233">
        <v>45962</v>
      </c>
      <c r="C29" s="70" t="s">
        <v>340</v>
      </c>
      <c r="D29" s="91" t="s">
        <v>308</v>
      </c>
      <c r="E29" s="119" t="s">
        <v>341</v>
      </c>
      <c r="F29" s="211">
        <v>128</v>
      </c>
      <c r="G29" s="218">
        <v>3</v>
      </c>
      <c r="H29" s="216">
        <v>0</v>
      </c>
      <c r="I29" s="218">
        <v>0.35</v>
      </c>
      <c r="J29" s="84">
        <f t="shared" si="0"/>
        <v>384</v>
      </c>
    </row>
    <row r="30" spans="2:13" x14ac:dyDescent="0.25">
      <c r="B30" s="233">
        <v>45962</v>
      </c>
      <c r="C30" s="70" t="s">
        <v>340</v>
      </c>
      <c r="D30" s="91" t="s">
        <v>366</v>
      </c>
      <c r="E30" s="119" t="s">
        <v>341</v>
      </c>
      <c r="F30" s="119">
        <v>174</v>
      </c>
      <c r="G30" s="218">
        <v>3</v>
      </c>
      <c r="H30" s="216">
        <v>0</v>
      </c>
      <c r="I30" s="218">
        <v>0.35</v>
      </c>
      <c r="J30" s="84">
        <f t="shared" si="0"/>
        <v>522</v>
      </c>
      <c r="M30" s="147" t="s">
        <v>4</v>
      </c>
    </row>
    <row r="31" spans="2:13" x14ac:dyDescent="0.25">
      <c r="B31" s="188">
        <v>45975</v>
      </c>
      <c r="C31" s="70" t="s">
        <v>340</v>
      </c>
      <c r="D31" s="91" t="s">
        <v>387</v>
      </c>
      <c r="E31" s="119" t="s">
        <v>341</v>
      </c>
      <c r="F31" s="212">
        <v>108</v>
      </c>
      <c r="G31" s="218">
        <v>3</v>
      </c>
      <c r="H31" s="216">
        <v>0</v>
      </c>
      <c r="I31" s="218">
        <v>0.35</v>
      </c>
      <c r="J31" s="84">
        <f t="shared" si="0"/>
        <v>324</v>
      </c>
      <c r="L31" t="s">
        <v>4</v>
      </c>
    </row>
    <row r="32" spans="2:13" x14ac:dyDescent="0.25">
      <c r="B32" s="188">
        <v>45968</v>
      </c>
      <c r="C32" s="70" t="s">
        <v>339</v>
      </c>
      <c r="D32" s="70" t="s">
        <v>382</v>
      </c>
      <c r="E32" s="70" t="s">
        <v>341</v>
      </c>
      <c r="F32" s="119">
        <v>115</v>
      </c>
      <c r="G32" s="168">
        <v>4</v>
      </c>
      <c r="H32" s="225">
        <v>396</v>
      </c>
      <c r="I32" s="222">
        <v>650</v>
      </c>
      <c r="J32" s="84">
        <f t="shared" si="0"/>
        <v>257860</v>
      </c>
      <c r="L32" t="s">
        <v>4</v>
      </c>
    </row>
    <row r="33" spans="2:13" x14ac:dyDescent="0.25">
      <c r="B33" s="188">
        <v>45969</v>
      </c>
      <c r="C33" s="70" t="s">
        <v>339</v>
      </c>
      <c r="D33" s="70" t="s">
        <v>375</v>
      </c>
      <c r="E33" s="70" t="s">
        <v>341</v>
      </c>
      <c r="F33" s="119">
        <v>35</v>
      </c>
      <c r="G33" s="168">
        <v>5</v>
      </c>
      <c r="H33" s="225">
        <v>0</v>
      </c>
      <c r="I33" s="222">
        <v>650</v>
      </c>
      <c r="J33" s="84">
        <f t="shared" si="0"/>
        <v>175</v>
      </c>
    </row>
    <row r="34" spans="2:13" hidden="1" x14ac:dyDescent="0.25">
      <c r="B34" s="188">
        <v>45969</v>
      </c>
      <c r="C34" s="70" t="s">
        <v>339</v>
      </c>
      <c r="D34" s="70" t="s">
        <v>375</v>
      </c>
      <c r="E34" s="70" t="s">
        <v>32</v>
      </c>
      <c r="F34" s="119">
        <v>50</v>
      </c>
      <c r="G34" s="168">
        <v>2.5</v>
      </c>
      <c r="H34" s="225">
        <v>96</v>
      </c>
      <c r="I34" s="222">
        <v>650</v>
      </c>
      <c r="J34" s="84">
        <f t="shared" si="0"/>
        <v>62525</v>
      </c>
    </row>
    <row r="35" spans="2:13" x14ac:dyDescent="0.25">
      <c r="B35" s="188">
        <v>45969</v>
      </c>
      <c r="C35" s="70" t="s">
        <v>385</v>
      </c>
      <c r="D35" s="70" t="s">
        <v>393</v>
      </c>
      <c r="E35" s="70" t="s">
        <v>341</v>
      </c>
      <c r="F35" s="142">
        <v>231</v>
      </c>
      <c r="G35" s="168">
        <v>4</v>
      </c>
      <c r="H35" s="215">
        <v>267</v>
      </c>
      <c r="I35" s="168">
        <v>0.35</v>
      </c>
      <c r="J35" s="84">
        <f t="shared" si="0"/>
        <v>1017.45</v>
      </c>
      <c r="L35" t="s">
        <v>4</v>
      </c>
    </row>
    <row r="36" spans="2:13" x14ac:dyDescent="0.25">
      <c r="B36" s="188">
        <v>45969</v>
      </c>
      <c r="C36" s="70" t="s">
        <v>385</v>
      </c>
      <c r="D36" s="70" t="s">
        <v>349</v>
      </c>
      <c r="E36" s="70" t="s">
        <v>341</v>
      </c>
      <c r="F36" s="119">
        <v>37</v>
      </c>
      <c r="G36" s="168">
        <v>4</v>
      </c>
      <c r="H36" s="215">
        <v>0</v>
      </c>
      <c r="I36" s="168">
        <v>0.35</v>
      </c>
      <c r="J36" s="84">
        <f t="shared" si="0"/>
        <v>148</v>
      </c>
      <c r="L36" t="s">
        <v>4</v>
      </c>
    </row>
    <row r="37" spans="2:13" x14ac:dyDescent="0.25">
      <c r="B37" s="188">
        <v>45969</v>
      </c>
      <c r="C37" s="70" t="s">
        <v>259</v>
      </c>
      <c r="D37" s="70" t="s">
        <v>170</v>
      </c>
      <c r="E37" s="70" t="s">
        <v>341</v>
      </c>
      <c r="F37" s="119">
        <v>54</v>
      </c>
      <c r="G37" s="168">
        <v>4</v>
      </c>
      <c r="H37" s="215">
        <v>228</v>
      </c>
      <c r="I37" s="168">
        <v>0.35</v>
      </c>
      <c r="J37" s="84">
        <f t="shared" si="0"/>
        <v>295.8</v>
      </c>
    </row>
    <row r="38" spans="2:13" x14ac:dyDescent="0.25">
      <c r="B38" s="188">
        <v>45969</v>
      </c>
      <c r="C38" s="70" t="s">
        <v>259</v>
      </c>
      <c r="D38" s="70" t="s">
        <v>290</v>
      </c>
      <c r="E38" s="70" t="s">
        <v>341</v>
      </c>
      <c r="F38" s="119">
        <v>160</v>
      </c>
      <c r="G38" s="168">
        <v>4</v>
      </c>
      <c r="H38" s="215">
        <v>0</v>
      </c>
      <c r="I38" s="168">
        <v>0.35</v>
      </c>
      <c r="J38" s="84">
        <f t="shared" si="0"/>
        <v>640</v>
      </c>
    </row>
    <row r="39" spans="2:13" x14ac:dyDescent="0.25">
      <c r="B39" s="188">
        <v>45970</v>
      </c>
      <c r="C39" s="70" t="s">
        <v>259</v>
      </c>
      <c r="D39" s="70" t="s">
        <v>296</v>
      </c>
      <c r="E39" s="70" t="s">
        <v>341</v>
      </c>
      <c r="F39" s="119">
        <v>40</v>
      </c>
      <c r="G39" s="168">
        <v>4</v>
      </c>
      <c r="H39" s="215">
        <v>50</v>
      </c>
      <c r="I39" s="168">
        <v>0.35</v>
      </c>
      <c r="J39" s="84">
        <f t="shared" si="0"/>
        <v>177.5</v>
      </c>
    </row>
    <row r="40" spans="2:13" x14ac:dyDescent="0.25">
      <c r="B40" s="188">
        <v>45970</v>
      </c>
      <c r="C40" s="70" t="s">
        <v>259</v>
      </c>
      <c r="D40" s="70" t="s">
        <v>252</v>
      </c>
      <c r="E40" s="70" t="s">
        <v>341</v>
      </c>
      <c r="F40" s="119">
        <v>120</v>
      </c>
      <c r="G40" s="168">
        <v>4</v>
      </c>
      <c r="H40" s="215">
        <v>208</v>
      </c>
      <c r="I40" s="168">
        <v>0.35</v>
      </c>
      <c r="J40" s="84">
        <f t="shared" si="0"/>
        <v>552.79999999999995</v>
      </c>
    </row>
    <row r="41" spans="2:13" x14ac:dyDescent="0.25">
      <c r="B41" s="188">
        <v>45973</v>
      </c>
      <c r="C41" s="70" t="s">
        <v>385</v>
      </c>
      <c r="D41" s="70" t="s">
        <v>405</v>
      </c>
      <c r="E41" s="70" t="s">
        <v>341</v>
      </c>
      <c r="F41" s="119">
        <v>55</v>
      </c>
      <c r="G41" s="168">
        <v>4</v>
      </c>
      <c r="H41" s="215">
        <v>130</v>
      </c>
      <c r="I41" s="168">
        <v>0.35</v>
      </c>
      <c r="J41" s="84">
        <f t="shared" si="0"/>
        <v>265.5</v>
      </c>
    </row>
    <row r="42" spans="2:13" x14ac:dyDescent="0.25">
      <c r="B42" s="188">
        <v>45973</v>
      </c>
      <c r="C42" s="70" t="s">
        <v>385</v>
      </c>
      <c r="D42" s="70" t="s">
        <v>317</v>
      </c>
      <c r="E42" s="70" t="s">
        <v>341</v>
      </c>
      <c r="F42" s="119">
        <v>105</v>
      </c>
      <c r="G42" s="168">
        <v>4</v>
      </c>
      <c r="H42" s="215">
        <v>102</v>
      </c>
      <c r="I42" s="168">
        <v>0.35</v>
      </c>
      <c r="J42" s="84">
        <f t="shared" si="0"/>
        <v>455.7</v>
      </c>
    </row>
    <row r="43" spans="2:13" x14ac:dyDescent="0.25">
      <c r="B43" s="188">
        <v>45973</v>
      </c>
      <c r="C43" s="70" t="s">
        <v>259</v>
      </c>
      <c r="D43" s="70" t="s">
        <v>383</v>
      </c>
      <c r="E43" s="70" t="s">
        <v>341</v>
      </c>
      <c r="F43" s="119">
        <v>147</v>
      </c>
      <c r="G43" s="168">
        <v>4</v>
      </c>
      <c r="H43" s="215">
        <v>117</v>
      </c>
      <c r="I43" s="168">
        <v>0.35</v>
      </c>
      <c r="J43" s="84">
        <f t="shared" si="0"/>
        <v>628.95000000000005</v>
      </c>
      <c r="M43" s="147" t="s">
        <v>4</v>
      </c>
    </row>
    <row r="44" spans="2:13" x14ac:dyDescent="0.25">
      <c r="B44" s="188">
        <v>45974</v>
      </c>
      <c r="C44" s="70" t="s">
        <v>259</v>
      </c>
      <c r="D44" s="70" t="s">
        <v>289</v>
      </c>
      <c r="E44" s="70" t="s">
        <v>341</v>
      </c>
      <c r="F44" s="119">
        <v>120</v>
      </c>
      <c r="G44" s="168">
        <v>4</v>
      </c>
      <c r="H44" s="215">
        <v>260</v>
      </c>
      <c r="I44" s="168">
        <v>0.35</v>
      </c>
      <c r="J44" s="84">
        <f t="shared" si="0"/>
        <v>571</v>
      </c>
    </row>
    <row r="45" spans="2:13" x14ac:dyDescent="0.25">
      <c r="B45" s="188">
        <v>45974</v>
      </c>
      <c r="C45" s="70" t="s">
        <v>339</v>
      </c>
      <c r="D45" s="70" t="s">
        <v>323</v>
      </c>
      <c r="E45" s="70" t="s">
        <v>341</v>
      </c>
      <c r="F45" s="119">
        <v>37</v>
      </c>
      <c r="G45" s="168">
        <v>5</v>
      </c>
      <c r="H45" s="225">
        <v>188</v>
      </c>
      <c r="I45" s="222">
        <v>650</v>
      </c>
      <c r="J45" s="84">
        <f t="shared" si="0"/>
        <v>122385</v>
      </c>
    </row>
    <row r="46" spans="2:13" x14ac:dyDescent="0.25">
      <c r="B46" s="188">
        <v>45975</v>
      </c>
      <c r="C46" s="70" t="s">
        <v>385</v>
      </c>
      <c r="D46" s="70" t="s">
        <v>299</v>
      </c>
      <c r="E46" s="70" t="s">
        <v>341</v>
      </c>
      <c r="F46" s="119">
        <v>134</v>
      </c>
      <c r="G46" s="168">
        <v>4</v>
      </c>
      <c r="H46" s="215">
        <v>330</v>
      </c>
      <c r="I46" s="168">
        <v>0.35</v>
      </c>
      <c r="J46" s="84">
        <f t="shared" si="0"/>
        <v>651.5</v>
      </c>
    </row>
    <row r="47" spans="2:13" x14ac:dyDescent="0.25">
      <c r="B47" s="188">
        <v>45975</v>
      </c>
      <c r="C47" s="70" t="s">
        <v>385</v>
      </c>
      <c r="D47" s="70" t="s">
        <v>414</v>
      </c>
      <c r="E47" s="70" t="s">
        <v>341</v>
      </c>
      <c r="F47" s="119">
        <v>108</v>
      </c>
      <c r="G47" s="168">
        <v>4</v>
      </c>
      <c r="H47" s="215">
        <v>0</v>
      </c>
      <c r="I47" s="168">
        <v>0.35</v>
      </c>
      <c r="J47" s="84">
        <f t="shared" si="0"/>
        <v>432</v>
      </c>
    </row>
    <row r="48" spans="2:13" x14ac:dyDescent="0.25">
      <c r="B48" s="188">
        <v>45975</v>
      </c>
      <c r="C48" s="70" t="s">
        <v>259</v>
      </c>
      <c r="D48" s="91" t="s">
        <v>247</v>
      </c>
      <c r="E48" s="70" t="s">
        <v>341</v>
      </c>
      <c r="F48" s="119">
        <v>41</v>
      </c>
      <c r="G48" s="168">
        <v>4</v>
      </c>
      <c r="H48" s="215">
        <v>160</v>
      </c>
      <c r="I48" s="168">
        <v>0.35</v>
      </c>
      <c r="J48" s="84">
        <f t="shared" si="0"/>
        <v>220</v>
      </c>
    </row>
    <row r="49" spans="2:11" x14ac:dyDescent="0.25">
      <c r="B49" s="188">
        <v>45975</v>
      </c>
      <c r="C49" s="70" t="s">
        <v>259</v>
      </c>
      <c r="D49" s="91" t="s">
        <v>232</v>
      </c>
      <c r="E49" s="70" t="s">
        <v>341</v>
      </c>
      <c r="F49" s="119">
        <v>54</v>
      </c>
      <c r="G49" s="168">
        <v>4</v>
      </c>
      <c r="H49" s="215">
        <v>0</v>
      </c>
      <c r="I49" s="168">
        <v>0.35</v>
      </c>
      <c r="J49" s="84">
        <f t="shared" si="0"/>
        <v>216</v>
      </c>
    </row>
    <row r="50" spans="2:11" x14ac:dyDescent="0.25">
      <c r="B50" s="188">
        <v>45976</v>
      </c>
      <c r="C50" s="70" t="s">
        <v>259</v>
      </c>
      <c r="D50" s="70" t="s">
        <v>252</v>
      </c>
      <c r="E50" s="70" t="s">
        <v>341</v>
      </c>
      <c r="F50" s="119">
        <v>180</v>
      </c>
      <c r="G50" s="168">
        <v>4</v>
      </c>
      <c r="H50" s="215">
        <v>208</v>
      </c>
      <c r="I50" s="168">
        <v>0.35</v>
      </c>
      <c r="J50" s="84">
        <f t="shared" si="0"/>
        <v>792.8</v>
      </c>
    </row>
    <row r="51" spans="2:11" x14ac:dyDescent="0.25">
      <c r="B51" s="188">
        <v>45978</v>
      </c>
      <c r="C51" s="70" t="s">
        <v>259</v>
      </c>
      <c r="D51" s="70" t="s">
        <v>289</v>
      </c>
      <c r="E51" s="70" t="s">
        <v>341</v>
      </c>
      <c r="F51" s="119">
        <v>66</v>
      </c>
      <c r="G51" s="168">
        <v>4</v>
      </c>
      <c r="H51" s="215">
        <v>260</v>
      </c>
      <c r="I51" s="168">
        <v>0.35</v>
      </c>
      <c r="J51" s="84">
        <f t="shared" si="0"/>
        <v>355</v>
      </c>
      <c r="K51" t="s">
        <v>4</v>
      </c>
    </row>
    <row r="52" spans="2:11" x14ac:dyDescent="0.25">
      <c r="B52" s="188">
        <v>45979</v>
      </c>
      <c r="C52" s="70" t="s">
        <v>259</v>
      </c>
      <c r="D52" s="70" t="s">
        <v>400</v>
      </c>
      <c r="E52" s="70" t="s">
        <v>341</v>
      </c>
      <c r="F52" s="119">
        <v>91</v>
      </c>
      <c r="G52" s="168">
        <v>4</v>
      </c>
      <c r="H52" s="215">
        <v>72</v>
      </c>
      <c r="I52" s="168">
        <v>0.35</v>
      </c>
      <c r="J52" s="84">
        <f t="shared" si="0"/>
        <v>389.2</v>
      </c>
    </row>
    <row r="53" spans="2:11" x14ac:dyDescent="0.25">
      <c r="B53" s="188">
        <v>45979</v>
      </c>
      <c r="C53" s="70" t="s">
        <v>385</v>
      </c>
      <c r="D53" s="70" t="s">
        <v>268</v>
      </c>
      <c r="E53" s="70" t="s">
        <v>341</v>
      </c>
      <c r="F53" s="119">
        <v>97</v>
      </c>
      <c r="G53" s="168">
        <v>4</v>
      </c>
      <c r="H53" s="215">
        <v>155</v>
      </c>
      <c r="I53" s="168">
        <v>0.35</v>
      </c>
      <c r="J53" s="84">
        <f t="shared" si="0"/>
        <v>442.25</v>
      </c>
    </row>
    <row r="54" spans="2:11" x14ac:dyDescent="0.25">
      <c r="B54" s="188">
        <v>45980</v>
      </c>
      <c r="C54" s="70" t="s">
        <v>259</v>
      </c>
      <c r="D54" s="70" t="s">
        <v>425</v>
      </c>
      <c r="E54" s="70" t="s">
        <v>341</v>
      </c>
      <c r="F54" s="119">
        <v>25</v>
      </c>
      <c r="G54" s="168">
        <v>4</v>
      </c>
      <c r="H54" s="215">
        <v>20</v>
      </c>
      <c r="I54" s="168">
        <v>0.35</v>
      </c>
      <c r="J54" s="84">
        <f t="shared" si="0"/>
        <v>107</v>
      </c>
    </row>
    <row r="55" spans="2:11" x14ac:dyDescent="0.25">
      <c r="B55" s="188">
        <v>45982</v>
      </c>
      <c r="C55" s="70" t="s">
        <v>259</v>
      </c>
      <c r="D55" s="70" t="s">
        <v>360</v>
      </c>
      <c r="E55" s="70" t="s">
        <v>341</v>
      </c>
      <c r="F55" s="119">
        <v>158</v>
      </c>
      <c r="G55" s="168">
        <v>4</v>
      </c>
      <c r="H55" s="215">
        <v>50</v>
      </c>
      <c r="I55" s="168">
        <v>0.35</v>
      </c>
      <c r="J55" s="84">
        <f t="shared" si="0"/>
        <v>649.5</v>
      </c>
    </row>
    <row r="56" spans="2:11" x14ac:dyDescent="0.25">
      <c r="B56" s="188">
        <v>45982</v>
      </c>
      <c r="C56" s="70" t="s">
        <v>259</v>
      </c>
      <c r="D56" s="70" t="s">
        <v>295</v>
      </c>
      <c r="E56" s="70" t="s">
        <v>341</v>
      </c>
      <c r="F56" s="119">
        <v>43</v>
      </c>
      <c r="G56" s="168">
        <v>4</v>
      </c>
      <c r="H56" s="215">
        <v>165</v>
      </c>
      <c r="I56" s="168">
        <v>0.35</v>
      </c>
      <c r="J56" s="84">
        <f t="shared" si="0"/>
        <v>229.75</v>
      </c>
    </row>
    <row r="57" spans="2:11" x14ac:dyDescent="0.25">
      <c r="B57" s="188">
        <v>45982</v>
      </c>
      <c r="C57" s="70" t="s">
        <v>385</v>
      </c>
      <c r="D57" s="70" t="s">
        <v>396</v>
      </c>
      <c r="E57" s="70" t="s">
        <v>341</v>
      </c>
      <c r="F57" s="119">
        <v>115</v>
      </c>
      <c r="G57" s="168">
        <v>4</v>
      </c>
      <c r="H57" s="215">
        <v>220</v>
      </c>
      <c r="I57" s="168">
        <v>0.35</v>
      </c>
      <c r="J57" s="84">
        <f t="shared" si="0"/>
        <v>537</v>
      </c>
    </row>
    <row r="58" spans="2:11" x14ac:dyDescent="0.25">
      <c r="B58" s="188">
        <v>45989</v>
      </c>
      <c r="C58" s="70" t="s">
        <v>259</v>
      </c>
      <c r="D58" s="70" t="s">
        <v>443</v>
      </c>
      <c r="E58" s="70" t="s">
        <v>341</v>
      </c>
      <c r="F58" s="119">
        <v>19</v>
      </c>
      <c r="G58" s="168">
        <v>4</v>
      </c>
      <c r="H58" s="215">
        <v>120</v>
      </c>
      <c r="I58" s="168">
        <v>0.35</v>
      </c>
      <c r="J58" s="84">
        <f t="shared" si="0"/>
        <v>118</v>
      </c>
    </row>
    <row r="59" spans="2:11" x14ac:dyDescent="0.25">
      <c r="B59" s="188">
        <v>46002</v>
      </c>
      <c r="C59" s="70" t="s">
        <v>259</v>
      </c>
      <c r="D59" s="70" t="s">
        <v>375</v>
      </c>
      <c r="E59" s="70" t="s">
        <v>341</v>
      </c>
      <c r="F59" s="119">
        <v>30</v>
      </c>
      <c r="G59" s="218">
        <v>4</v>
      </c>
      <c r="H59" s="216">
        <v>108</v>
      </c>
      <c r="I59" s="168">
        <v>0.35</v>
      </c>
      <c r="J59" s="84">
        <f t="shared" si="0"/>
        <v>157.80000000000001</v>
      </c>
    </row>
    <row r="60" spans="2:11" hidden="1" x14ac:dyDescent="0.25">
      <c r="B60" s="188">
        <v>46008</v>
      </c>
      <c r="C60" s="70" t="s">
        <v>259</v>
      </c>
      <c r="D60" s="70" t="s">
        <v>426</v>
      </c>
      <c r="E60" s="70" t="s">
        <v>455</v>
      </c>
      <c r="F60" s="119">
        <v>11</v>
      </c>
      <c r="G60" s="218">
        <v>30000</v>
      </c>
      <c r="H60" s="216">
        <v>200</v>
      </c>
      <c r="I60" s="168">
        <v>0.35</v>
      </c>
      <c r="J60" s="84">
        <f t="shared" si="0"/>
        <v>330070</v>
      </c>
    </row>
    <row r="61" spans="2:11" hidden="1" x14ac:dyDescent="0.25">
      <c r="B61" s="188">
        <v>46009</v>
      </c>
      <c r="C61" s="70" t="s">
        <v>259</v>
      </c>
      <c r="D61" s="70" t="s">
        <v>454</v>
      </c>
      <c r="E61" s="70" t="s">
        <v>455</v>
      </c>
      <c r="F61" s="119">
        <v>1</v>
      </c>
      <c r="G61" s="218">
        <v>35000</v>
      </c>
      <c r="H61" s="216">
        <v>25</v>
      </c>
      <c r="I61" s="168">
        <v>0.35</v>
      </c>
      <c r="J61" s="84">
        <f t="shared" si="0"/>
        <v>35008.75</v>
      </c>
    </row>
    <row r="62" spans="2:11" x14ac:dyDescent="0.25">
      <c r="B62" s="188">
        <v>45993</v>
      </c>
      <c r="C62" s="70" t="s">
        <v>340</v>
      </c>
      <c r="D62" s="70" t="s">
        <v>412</v>
      </c>
      <c r="E62" s="70" t="s">
        <v>341</v>
      </c>
      <c r="F62" s="119">
        <v>51</v>
      </c>
      <c r="G62" s="218">
        <v>3</v>
      </c>
      <c r="H62" s="216">
        <v>0</v>
      </c>
      <c r="I62" s="218">
        <v>0.35</v>
      </c>
      <c r="J62" s="84">
        <f t="shared" si="0"/>
        <v>153</v>
      </c>
    </row>
    <row r="63" spans="2:11" hidden="1" x14ac:dyDescent="0.25">
      <c r="B63" s="188">
        <v>46010</v>
      </c>
      <c r="C63" s="70" t="s">
        <v>259</v>
      </c>
      <c r="D63" s="70" t="s">
        <v>460</v>
      </c>
      <c r="E63" s="70" t="s">
        <v>455</v>
      </c>
      <c r="F63" s="119">
        <v>2</v>
      </c>
      <c r="G63" s="218">
        <v>35000</v>
      </c>
      <c r="H63" s="216">
        <v>190</v>
      </c>
      <c r="I63" s="168">
        <v>0.35</v>
      </c>
      <c r="J63" s="84">
        <f t="shared" si="0"/>
        <v>70066.5</v>
      </c>
    </row>
    <row r="64" spans="2:11" hidden="1" x14ac:dyDescent="0.25">
      <c r="B64" s="188">
        <v>46017</v>
      </c>
      <c r="C64" s="70" t="s">
        <v>259</v>
      </c>
      <c r="D64" s="70" t="s">
        <v>459</v>
      </c>
      <c r="E64" s="70" t="s">
        <v>455</v>
      </c>
      <c r="F64" s="119">
        <v>7</v>
      </c>
      <c r="G64" s="218">
        <v>35000</v>
      </c>
      <c r="H64" s="216">
        <v>140</v>
      </c>
      <c r="I64" s="168">
        <v>0.35</v>
      </c>
      <c r="J64" s="84">
        <f t="shared" si="0"/>
        <v>245049</v>
      </c>
    </row>
    <row r="65" spans="2:10" hidden="1" x14ac:dyDescent="0.25">
      <c r="B65" s="188">
        <v>46018</v>
      </c>
      <c r="C65" s="70" t="s">
        <v>259</v>
      </c>
      <c r="D65" s="70" t="s">
        <v>459</v>
      </c>
      <c r="E65" s="70" t="s">
        <v>455</v>
      </c>
      <c r="F65" s="119">
        <v>8</v>
      </c>
      <c r="G65" s="218">
        <v>35000</v>
      </c>
      <c r="H65" s="216">
        <v>120</v>
      </c>
      <c r="I65" s="168">
        <v>0.35</v>
      </c>
      <c r="J65" s="84">
        <f t="shared" si="0"/>
        <v>280042</v>
      </c>
    </row>
    <row r="66" spans="2:10" hidden="1" x14ac:dyDescent="0.25">
      <c r="B66" s="188">
        <v>46012</v>
      </c>
      <c r="C66" s="70" t="s">
        <v>259</v>
      </c>
      <c r="D66" s="70" t="s">
        <v>292</v>
      </c>
      <c r="E66" s="70" t="s">
        <v>455</v>
      </c>
      <c r="F66" s="119">
        <v>1</v>
      </c>
      <c r="G66" s="218">
        <v>35000</v>
      </c>
      <c r="H66" s="216">
        <v>66</v>
      </c>
      <c r="I66" s="168">
        <v>0.35</v>
      </c>
      <c r="J66" s="84">
        <f t="shared" si="0"/>
        <v>35023.1</v>
      </c>
    </row>
    <row r="67" spans="2:10" x14ac:dyDescent="0.25">
      <c r="B67" s="188">
        <v>45992</v>
      </c>
      <c r="C67" s="70" t="s">
        <v>340</v>
      </c>
      <c r="D67" s="70" t="s">
        <v>457</v>
      </c>
      <c r="E67" s="70" t="s">
        <v>341</v>
      </c>
      <c r="F67" s="119">
        <v>298</v>
      </c>
      <c r="G67" s="218">
        <v>3</v>
      </c>
      <c r="H67" s="216">
        <v>0</v>
      </c>
      <c r="I67" s="218">
        <v>0.35</v>
      </c>
      <c r="J67" s="84">
        <f t="shared" si="0"/>
        <v>894</v>
      </c>
    </row>
    <row r="68" spans="2:10" hidden="1" x14ac:dyDescent="0.25">
      <c r="B68" s="188">
        <v>46037</v>
      </c>
      <c r="C68" s="70" t="s">
        <v>259</v>
      </c>
      <c r="D68" s="70" t="s">
        <v>459</v>
      </c>
      <c r="E68" s="70" t="s">
        <v>455</v>
      </c>
      <c r="F68" s="119">
        <v>7</v>
      </c>
      <c r="G68" s="218">
        <v>25000</v>
      </c>
      <c r="H68" s="216"/>
      <c r="I68" s="168">
        <v>0.35</v>
      </c>
      <c r="J68" s="84">
        <f t="shared" si="0"/>
        <v>175000</v>
      </c>
    </row>
    <row r="69" spans="2:10" hidden="1" x14ac:dyDescent="0.25">
      <c r="B69" s="188">
        <v>46038</v>
      </c>
      <c r="C69" s="70" t="s">
        <v>259</v>
      </c>
      <c r="D69" s="70" t="s">
        <v>459</v>
      </c>
      <c r="E69" s="70" t="s">
        <v>455</v>
      </c>
      <c r="F69" s="119">
        <v>10</v>
      </c>
      <c r="G69" s="218">
        <v>25000</v>
      </c>
      <c r="H69" s="216"/>
      <c r="I69" s="168">
        <v>0.35</v>
      </c>
      <c r="J69" s="84">
        <f t="shared" si="0"/>
        <v>250000</v>
      </c>
    </row>
    <row r="70" spans="2:10" x14ac:dyDescent="0.25">
      <c r="B70" s="188">
        <v>46039</v>
      </c>
      <c r="C70" s="70" t="s">
        <v>340</v>
      </c>
      <c r="D70" s="70" t="s">
        <v>387</v>
      </c>
      <c r="E70" s="70" t="s">
        <v>341</v>
      </c>
      <c r="F70" s="119">
        <v>50</v>
      </c>
      <c r="G70" s="218">
        <v>3</v>
      </c>
      <c r="H70" s="216">
        <v>0</v>
      </c>
      <c r="I70" s="218">
        <v>0.35</v>
      </c>
      <c r="J70" s="84">
        <f t="shared" si="0"/>
        <v>150</v>
      </c>
    </row>
    <row r="71" spans="2:10" hidden="1" x14ac:dyDescent="0.25">
      <c r="B71" s="188"/>
      <c r="C71" s="70"/>
      <c r="D71" s="70"/>
      <c r="E71" s="70"/>
      <c r="F71" s="119"/>
      <c r="G71" s="84"/>
      <c r="H71" s="215"/>
      <c r="I71" s="168"/>
      <c r="J71" s="84">
        <f t="shared" si="0"/>
        <v>0</v>
      </c>
    </row>
    <row r="72" spans="2:10" hidden="1" x14ac:dyDescent="0.25">
      <c r="B72" s="188"/>
      <c r="C72" s="70"/>
      <c r="D72" s="70"/>
      <c r="E72" s="70"/>
      <c r="F72" s="119"/>
      <c r="G72" s="84"/>
      <c r="H72" s="215"/>
      <c r="I72" s="168"/>
      <c r="J72" s="84">
        <f t="shared" si="0"/>
        <v>0</v>
      </c>
    </row>
    <row r="73" spans="2:10" hidden="1" x14ac:dyDescent="0.25">
      <c r="B73" s="188"/>
      <c r="C73" s="70"/>
      <c r="D73" s="70"/>
      <c r="E73" s="70"/>
      <c r="F73" s="119"/>
      <c r="G73" s="84"/>
      <c r="H73" s="215"/>
      <c r="I73" s="168"/>
      <c r="J73" s="84">
        <f t="shared" si="0"/>
        <v>0</v>
      </c>
    </row>
    <row r="74" spans="2:10" hidden="1" x14ac:dyDescent="0.25">
      <c r="B74" s="188"/>
      <c r="C74" s="70"/>
      <c r="D74" s="70"/>
      <c r="E74" s="70"/>
      <c r="F74" s="119"/>
      <c r="G74" s="84"/>
      <c r="H74" s="215"/>
      <c r="I74" s="168"/>
      <c r="J74" s="84">
        <f t="shared" ref="J74:J137" si="1">F74*G74+H74*I74</f>
        <v>0</v>
      </c>
    </row>
    <row r="75" spans="2:10" hidden="1" x14ac:dyDescent="0.25">
      <c r="B75" s="188"/>
      <c r="C75" s="70"/>
      <c r="D75" s="70"/>
      <c r="E75" s="70"/>
      <c r="F75" s="119"/>
      <c r="G75" s="84"/>
      <c r="H75" s="215"/>
      <c r="I75" s="168"/>
      <c r="J75" s="84">
        <f t="shared" si="1"/>
        <v>0</v>
      </c>
    </row>
    <row r="76" spans="2:10" hidden="1" x14ac:dyDescent="0.25">
      <c r="B76" s="188"/>
      <c r="C76" s="70"/>
      <c r="D76" s="70"/>
      <c r="E76" s="70"/>
      <c r="F76" s="119"/>
      <c r="G76" s="84"/>
      <c r="H76" s="215"/>
      <c r="I76" s="168"/>
      <c r="J76" s="84">
        <f t="shared" si="1"/>
        <v>0</v>
      </c>
    </row>
    <row r="77" spans="2:10" hidden="1" x14ac:dyDescent="0.25">
      <c r="B77" s="188"/>
      <c r="C77" s="70"/>
      <c r="D77" s="70"/>
      <c r="E77" s="70"/>
      <c r="F77" s="119"/>
      <c r="G77" s="84"/>
      <c r="H77" s="215"/>
      <c r="I77" s="168"/>
      <c r="J77" s="84">
        <f t="shared" si="1"/>
        <v>0</v>
      </c>
    </row>
    <row r="78" spans="2:10" hidden="1" x14ac:dyDescent="0.25">
      <c r="B78" s="188"/>
      <c r="C78" s="70"/>
      <c r="D78" s="70"/>
      <c r="E78" s="70"/>
      <c r="F78" s="119"/>
      <c r="G78" s="84"/>
      <c r="H78" s="215"/>
      <c r="I78" s="168"/>
      <c r="J78" s="84">
        <f t="shared" si="1"/>
        <v>0</v>
      </c>
    </row>
    <row r="79" spans="2:10" hidden="1" x14ac:dyDescent="0.25">
      <c r="B79" s="188"/>
      <c r="C79" s="70"/>
      <c r="D79" s="70"/>
      <c r="E79" s="70"/>
      <c r="F79" s="119"/>
      <c r="G79" s="84"/>
      <c r="H79" s="215"/>
      <c r="I79" s="168"/>
      <c r="J79" s="84">
        <f t="shared" si="1"/>
        <v>0</v>
      </c>
    </row>
    <row r="80" spans="2:10" hidden="1" x14ac:dyDescent="0.25">
      <c r="B80" s="188"/>
      <c r="C80" s="70"/>
      <c r="D80" s="70"/>
      <c r="E80" s="70"/>
      <c r="F80" s="119"/>
      <c r="G80" s="84"/>
      <c r="H80" s="215"/>
      <c r="I80" s="168"/>
      <c r="J80" s="84">
        <f t="shared" si="1"/>
        <v>0</v>
      </c>
    </row>
    <row r="81" spans="2:12" hidden="1" x14ac:dyDescent="0.25">
      <c r="B81" s="188"/>
      <c r="C81" s="70"/>
      <c r="D81" s="70"/>
      <c r="E81" s="70"/>
      <c r="F81" s="119"/>
      <c r="G81" s="84"/>
      <c r="H81" s="215"/>
      <c r="I81" s="168"/>
      <c r="J81" s="84">
        <f t="shared" si="1"/>
        <v>0</v>
      </c>
    </row>
    <row r="82" spans="2:12" hidden="1" x14ac:dyDescent="0.25">
      <c r="B82" s="188"/>
      <c r="C82" s="70"/>
      <c r="D82" s="70"/>
      <c r="E82" s="70"/>
      <c r="F82" s="119"/>
      <c r="G82" s="84"/>
      <c r="H82" s="215"/>
      <c r="I82" s="168"/>
      <c r="J82" s="84">
        <f t="shared" si="1"/>
        <v>0</v>
      </c>
    </row>
    <row r="83" spans="2:12" hidden="1" x14ac:dyDescent="0.25">
      <c r="B83" s="188"/>
      <c r="C83" s="70"/>
      <c r="D83" s="70"/>
      <c r="E83" s="70"/>
      <c r="F83" s="119"/>
      <c r="G83" s="84"/>
      <c r="H83" s="215"/>
      <c r="I83" s="168"/>
      <c r="J83" s="84">
        <f t="shared" si="1"/>
        <v>0</v>
      </c>
    </row>
    <row r="84" spans="2:12" hidden="1" x14ac:dyDescent="0.25">
      <c r="B84" s="188"/>
      <c r="C84" s="70"/>
      <c r="D84" s="70"/>
      <c r="E84" s="70"/>
      <c r="F84" s="119"/>
      <c r="G84" s="84"/>
      <c r="H84" s="215"/>
      <c r="I84" s="168"/>
      <c r="J84" s="84">
        <f t="shared" si="1"/>
        <v>0</v>
      </c>
    </row>
    <row r="85" spans="2:12" hidden="1" x14ac:dyDescent="0.25">
      <c r="B85" s="188"/>
      <c r="C85" s="70"/>
      <c r="D85" s="70"/>
      <c r="E85" s="70"/>
      <c r="F85" s="119"/>
      <c r="G85" s="84"/>
      <c r="H85" s="215"/>
      <c r="I85" s="168"/>
      <c r="J85" s="84">
        <f t="shared" si="1"/>
        <v>0</v>
      </c>
      <c r="L85" t="s">
        <v>4</v>
      </c>
    </row>
    <row r="86" spans="2:12" hidden="1" x14ac:dyDescent="0.25">
      <c r="B86" s="188"/>
      <c r="C86" s="70"/>
      <c r="D86" s="70"/>
      <c r="E86" s="70"/>
      <c r="F86" s="119"/>
      <c r="G86" s="84"/>
      <c r="H86" s="215"/>
      <c r="I86" s="168"/>
      <c r="J86" s="84">
        <f t="shared" si="1"/>
        <v>0</v>
      </c>
    </row>
    <row r="87" spans="2:12" hidden="1" x14ac:dyDescent="0.25">
      <c r="B87" s="188"/>
      <c r="C87" s="70"/>
      <c r="D87" s="70"/>
      <c r="E87" s="70"/>
      <c r="F87" s="119"/>
      <c r="G87" s="84"/>
      <c r="H87" s="215"/>
      <c r="I87" s="168"/>
      <c r="J87" s="84">
        <f t="shared" si="1"/>
        <v>0</v>
      </c>
    </row>
    <row r="88" spans="2:12" hidden="1" x14ac:dyDescent="0.25">
      <c r="B88" s="188"/>
      <c r="C88" s="70"/>
      <c r="D88" s="70"/>
      <c r="E88" s="70"/>
      <c r="F88" s="119"/>
      <c r="G88" s="84"/>
      <c r="H88" s="215"/>
      <c r="I88" s="168"/>
      <c r="J88" s="84">
        <f t="shared" si="1"/>
        <v>0</v>
      </c>
    </row>
    <row r="89" spans="2:12" hidden="1" x14ac:dyDescent="0.25">
      <c r="B89" s="188"/>
      <c r="C89" s="70"/>
      <c r="D89" s="70"/>
      <c r="E89" s="70"/>
      <c r="F89" s="119"/>
      <c r="G89" s="84"/>
      <c r="H89" s="215"/>
      <c r="I89" s="168"/>
      <c r="J89" s="84">
        <f t="shared" si="1"/>
        <v>0</v>
      </c>
    </row>
    <row r="90" spans="2:12" hidden="1" x14ac:dyDescent="0.25">
      <c r="B90" s="188"/>
      <c r="C90" s="70"/>
      <c r="D90" s="70"/>
      <c r="E90" s="70"/>
      <c r="F90" s="119"/>
      <c r="G90" s="84"/>
      <c r="H90" s="215"/>
      <c r="I90" s="168"/>
      <c r="J90" s="84">
        <f t="shared" si="1"/>
        <v>0</v>
      </c>
    </row>
    <row r="91" spans="2:12" hidden="1" x14ac:dyDescent="0.25">
      <c r="B91" s="188"/>
      <c r="C91" s="70"/>
      <c r="D91" s="70"/>
      <c r="E91" s="70"/>
      <c r="F91" s="119"/>
      <c r="G91" s="84"/>
      <c r="H91" s="215"/>
      <c r="I91" s="168"/>
      <c r="J91" s="84">
        <f t="shared" si="1"/>
        <v>0</v>
      </c>
    </row>
    <row r="92" spans="2:12" hidden="1" x14ac:dyDescent="0.25">
      <c r="B92" s="188"/>
      <c r="C92" s="70"/>
      <c r="D92" s="70"/>
      <c r="E92" s="70"/>
      <c r="F92" s="119"/>
      <c r="G92" s="84"/>
      <c r="H92" s="215"/>
      <c r="I92" s="168"/>
      <c r="J92" s="84">
        <f t="shared" si="1"/>
        <v>0</v>
      </c>
    </row>
    <row r="93" spans="2:12" hidden="1" x14ac:dyDescent="0.25">
      <c r="B93" s="188"/>
      <c r="C93" s="70"/>
      <c r="D93" s="70"/>
      <c r="E93" s="70"/>
      <c r="F93" s="119"/>
      <c r="G93" s="84"/>
      <c r="H93" s="215"/>
      <c r="I93" s="168"/>
      <c r="J93" s="84">
        <f t="shared" si="1"/>
        <v>0</v>
      </c>
    </row>
    <row r="94" spans="2:12" hidden="1" x14ac:dyDescent="0.25">
      <c r="B94" s="188"/>
      <c r="C94" s="70"/>
      <c r="D94" s="70"/>
      <c r="E94" s="70"/>
      <c r="F94" s="119"/>
      <c r="G94" s="84"/>
      <c r="H94" s="215"/>
      <c r="I94" s="168"/>
      <c r="J94" s="84">
        <f t="shared" si="1"/>
        <v>0</v>
      </c>
      <c r="L94" t="s">
        <v>4</v>
      </c>
    </row>
    <row r="95" spans="2:12" hidden="1" x14ac:dyDescent="0.25">
      <c r="B95" s="188"/>
      <c r="C95" s="70"/>
      <c r="D95" s="70"/>
      <c r="E95" s="70"/>
      <c r="F95" s="119"/>
      <c r="G95" s="84"/>
      <c r="H95" s="215"/>
      <c r="I95" s="168"/>
      <c r="J95" s="84">
        <f t="shared" si="1"/>
        <v>0</v>
      </c>
    </row>
    <row r="96" spans="2:12" hidden="1" x14ac:dyDescent="0.25">
      <c r="B96" s="188"/>
      <c r="C96" s="70"/>
      <c r="D96" s="70"/>
      <c r="E96" s="70"/>
      <c r="F96" s="119"/>
      <c r="G96" s="84"/>
      <c r="H96" s="215"/>
      <c r="I96" s="168"/>
      <c r="J96" s="84">
        <f t="shared" si="1"/>
        <v>0</v>
      </c>
    </row>
    <row r="97" spans="2:12" hidden="1" x14ac:dyDescent="0.25">
      <c r="B97" s="188"/>
      <c r="C97" s="70"/>
      <c r="D97" s="70"/>
      <c r="E97" s="70"/>
      <c r="F97" s="119"/>
      <c r="G97" s="84"/>
      <c r="H97" s="215"/>
      <c r="I97" s="168"/>
      <c r="J97" s="84">
        <f t="shared" si="1"/>
        <v>0</v>
      </c>
    </row>
    <row r="98" spans="2:12" hidden="1" x14ac:dyDescent="0.25">
      <c r="B98" s="188"/>
      <c r="C98" s="70"/>
      <c r="D98" s="70"/>
      <c r="E98" s="70"/>
      <c r="F98" s="119"/>
      <c r="G98" s="84"/>
      <c r="H98" s="215"/>
      <c r="I98" s="168"/>
      <c r="J98" s="84">
        <f t="shared" si="1"/>
        <v>0</v>
      </c>
    </row>
    <row r="99" spans="2:12" hidden="1" x14ac:dyDescent="0.25">
      <c r="B99" s="188"/>
      <c r="C99" s="70"/>
      <c r="D99" s="70"/>
      <c r="E99" s="70"/>
      <c r="F99" s="119"/>
      <c r="G99" s="84"/>
      <c r="H99" s="215"/>
      <c r="I99" s="168"/>
      <c r="J99" s="84">
        <f t="shared" si="1"/>
        <v>0</v>
      </c>
    </row>
    <row r="100" spans="2:12" hidden="1" x14ac:dyDescent="0.25">
      <c r="B100" s="188"/>
      <c r="C100" s="70"/>
      <c r="D100" s="70"/>
      <c r="E100" s="70"/>
      <c r="F100" s="119"/>
      <c r="G100" s="84"/>
      <c r="H100" s="215"/>
      <c r="I100" s="168"/>
      <c r="J100" s="84">
        <f t="shared" si="1"/>
        <v>0</v>
      </c>
    </row>
    <row r="101" spans="2:12" hidden="1" x14ac:dyDescent="0.25">
      <c r="B101" s="188"/>
      <c r="C101" s="70"/>
      <c r="D101" s="70"/>
      <c r="E101" s="70"/>
      <c r="F101" s="119"/>
      <c r="G101" s="84"/>
      <c r="H101" s="215"/>
      <c r="I101" s="168"/>
      <c r="J101" s="84">
        <f t="shared" si="1"/>
        <v>0</v>
      </c>
    </row>
    <row r="102" spans="2:12" hidden="1" x14ac:dyDescent="0.25">
      <c r="B102" s="188"/>
      <c r="C102" s="70"/>
      <c r="D102" s="70"/>
      <c r="E102" s="70"/>
      <c r="F102" s="119"/>
      <c r="G102" s="84"/>
      <c r="H102" s="215"/>
      <c r="I102" s="168"/>
      <c r="J102" s="84">
        <f t="shared" si="1"/>
        <v>0</v>
      </c>
      <c r="L102" t="s">
        <v>4</v>
      </c>
    </row>
    <row r="103" spans="2:12" hidden="1" x14ac:dyDescent="0.25">
      <c r="B103" s="188"/>
      <c r="C103" s="70"/>
      <c r="D103" s="70"/>
      <c r="E103" s="70"/>
      <c r="F103" s="119"/>
      <c r="G103" s="84"/>
      <c r="H103" s="215"/>
      <c r="I103" s="168"/>
      <c r="J103" s="84">
        <f t="shared" si="1"/>
        <v>0</v>
      </c>
    </row>
    <row r="104" spans="2:12" hidden="1" x14ac:dyDescent="0.25">
      <c r="B104" s="188"/>
      <c r="C104" s="70"/>
      <c r="D104" s="70"/>
      <c r="E104" s="70"/>
      <c r="F104" s="119"/>
      <c r="G104" s="84"/>
      <c r="H104" s="215"/>
      <c r="I104" s="168"/>
      <c r="J104" s="84">
        <f t="shared" si="1"/>
        <v>0</v>
      </c>
    </row>
    <row r="105" spans="2:12" hidden="1" x14ac:dyDescent="0.25">
      <c r="B105" s="188"/>
      <c r="C105" s="70"/>
      <c r="D105" s="70"/>
      <c r="E105" s="70"/>
      <c r="F105" s="119"/>
      <c r="G105" s="84"/>
      <c r="H105" s="215"/>
      <c r="I105" s="168"/>
      <c r="J105" s="84">
        <f t="shared" si="1"/>
        <v>0</v>
      </c>
    </row>
    <row r="106" spans="2:12" hidden="1" x14ac:dyDescent="0.25">
      <c r="B106" s="188"/>
      <c r="C106" s="70"/>
      <c r="D106" s="70"/>
      <c r="E106" s="70"/>
      <c r="F106" s="119"/>
      <c r="G106" s="84"/>
      <c r="H106" s="215"/>
      <c r="I106" s="168"/>
      <c r="J106" s="84">
        <f t="shared" si="1"/>
        <v>0</v>
      </c>
    </row>
    <row r="107" spans="2:12" hidden="1" x14ac:dyDescent="0.25">
      <c r="B107" s="188"/>
      <c r="C107" s="70"/>
      <c r="D107" s="70"/>
      <c r="E107" s="70"/>
      <c r="F107" s="119"/>
      <c r="G107" s="84"/>
      <c r="H107" s="215"/>
      <c r="I107" s="168"/>
      <c r="J107" s="84">
        <f t="shared" si="1"/>
        <v>0</v>
      </c>
    </row>
    <row r="108" spans="2:12" hidden="1" x14ac:dyDescent="0.25">
      <c r="B108" s="188"/>
      <c r="C108" s="70"/>
      <c r="D108" s="70"/>
      <c r="E108" s="70"/>
      <c r="F108" s="119"/>
      <c r="G108" s="84"/>
      <c r="H108" s="215"/>
      <c r="I108" s="168"/>
      <c r="J108" s="84">
        <f t="shared" si="1"/>
        <v>0</v>
      </c>
    </row>
    <row r="109" spans="2:12" hidden="1" x14ac:dyDescent="0.25">
      <c r="B109" s="188"/>
      <c r="C109" s="70"/>
      <c r="D109" s="70"/>
      <c r="E109" s="70"/>
      <c r="F109" s="119"/>
      <c r="G109" s="84"/>
      <c r="H109" s="215"/>
      <c r="I109" s="168"/>
      <c r="J109" s="84">
        <f t="shared" si="1"/>
        <v>0</v>
      </c>
    </row>
    <row r="110" spans="2:12" hidden="1" x14ac:dyDescent="0.25">
      <c r="B110" s="188"/>
      <c r="C110" s="70"/>
      <c r="D110" s="70"/>
      <c r="E110" s="70"/>
      <c r="F110" s="119"/>
      <c r="G110" s="84"/>
      <c r="H110" s="215"/>
      <c r="I110" s="168"/>
      <c r="J110" s="84">
        <f t="shared" si="1"/>
        <v>0</v>
      </c>
    </row>
    <row r="111" spans="2:12" hidden="1" x14ac:dyDescent="0.25">
      <c r="B111" s="188"/>
      <c r="C111" s="70"/>
      <c r="D111" s="70"/>
      <c r="E111" s="70"/>
      <c r="F111" s="119"/>
      <c r="G111" s="84"/>
      <c r="H111" s="215"/>
      <c r="I111" s="168"/>
      <c r="J111" s="84">
        <f t="shared" si="1"/>
        <v>0</v>
      </c>
    </row>
    <row r="112" spans="2:12" hidden="1" x14ac:dyDescent="0.25">
      <c r="B112" s="188"/>
      <c r="C112" s="70"/>
      <c r="D112" s="70"/>
      <c r="E112" s="70"/>
      <c r="F112" s="119"/>
      <c r="G112" s="84"/>
      <c r="H112" s="215"/>
      <c r="I112" s="168"/>
      <c r="J112" s="84">
        <f t="shared" si="1"/>
        <v>0</v>
      </c>
    </row>
    <row r="113" spans="2:10" hidden="1" x14ac:dyDescent="0.25">
      <c r="B113" s="188"/>
      <c r="C113" s="70"/>
      <c r="D113" s="70"/>
      <c r="E113" s="70"/>
      <c r="F113" s="119"/>
      <c r="G113" s="84"/>
      <c r="H113" s="215"/>
      <c r="I113" s="168"/>
      <c r="J113" s="84">
        <f t="shared" si="1"/>
        <v>0</v>
      </c>
    </row>
    <row r="114" spans="2:10" hidden="1" x14ac:dyDescent="0.25">
      <c r="B114" s="188"/>
      <c r="C114" s="70"/>
      <c r="D114" s="70"/>
      <c r="E114" s="70"/>
      <c r="F114" s="119"/>
      <c r="G114" s="84"/>
      <c r="H114" s="215"/>
      <c r="I114" s="168"/>
      <c r="J114" s="84">
        <f t="shared" si="1"/>
        <v>0</v>
      </c>
    </row>
    <row r="115" spans="2:10" hidden="1" x14ac:dyDescent="0.25">
      <c r="B115" s="188"/>
      <c r="C115" s="70"/>
      <c r="D115" s="70"/>
      <c r="E115" s="70"/>
      <c r="F115" s="119"/>
      <c r="G115" s="84"/>
      <c r="H115" s="215"/>
      <c r="I115" s="168"/>
      <c r="J115" s="84">
        <f t="shared" si="1"/>
        <v>0</v>
      </c>
    </row>
    <row r="116" spans="2:10" hidden="1" x14ac:dyDescent="0.25">
      <c r="B116" s="188"/>
      <c r="C116" s="70"/>
      <c r="D116" s="70"/>
      <c r="E116" s="70"/>
      <c r="F116" s="119"/>
      <c r="G116" s="84"/>
      <c r="H116" s="215"/>
      <c r="I116" s="168"/>
      <c r="J116" s="84">
        <f t="shared" si="1"/>
        <v>0</v>
      </c>
    </row>
    <row r="117" spans="2:10" hidden="1" x14ac:dyDescent="0.25">
      <c r="B117" s="188"/>
      <c r="C117" s="70"/>
      <c r="D117" s="70"/>
      <c r="E117" s="70"/>
      <c r="F117" s="119"/>
      <c r="G117" s="84"/>
      <c r="H117" s="215"/>
      <c r="I117" s="168"/>
      <c r="J117" s="84">
        <f t="shared" si="1"/>
        <v>0</v>
      </c>
    </row>
    <row r="118" spans="2:10" hidden="1" x14ac:dyDescent="0.25">
      <c r="B118" s="188"/>
      <c r="C118" s="70"/>
      <c r="D118" s="70"/>
      <c r="E118" s="70"/>
      <c r="F118" s="119"/>
      <c r="G118" s="84"/>
      <c r="H118" s="215"/>
      <c r="I118" s="168"/>
      <c r="J118" s="84">
        <f t="shared" si="1"/>
        <v>0</v>
      </c>
    </row>
    <row r="119" spans="2:10" hidden="1" x14ac:dyDescent="0.25">
      <c r="B119" s="188"/>
      <c r="C119" s="70"/>
      <c r="D119" s="70"/>
      <c r="E119" s="70"/>
      <c r="F119" s="119"/>
      <c r="G119" s="84"/>
      <c r="H119" s="215"/>
      <c r="I119" s="168"/>
      <c r="J119" s="84">
        <f t="shared" si="1"/>
        <v>0</v>
      </c>
    </row>
    <row r="120" spans="2:10" hidden="1" x14ac:dyDescent="0.25">
      <c r="B120" s="188"/>
      <c r="C120" s="70"/>
      <c r="D120" s="70"/>
      <c r="E120" s="70"/>
      <c r="F120" s="119"/>
      <c r="G120" s="84"/>
      <c r="H120" s="215"/>
      <c r="I120" s="168"/>
      <c r="J120" s="84">
        <f t="shared" si="1"/>
        <v>0</v>
      </c>
    </row>
    <row r="121" spans="2:10" hidden="1" x14ac:dyDescent="0.25">
      <c r="B121" s="188"/>
      <c r="C121" s="70"/>
      <c r="D121" s="70"/>
      <c r="E121" s="70"/>
      <c r="F121" s="119"/>
      <c r="G121" s="84"/>
      <c r="H121" s="215"/>
      <c r="I121" s="168"/>
      <c r="J121" s="84">
        <f t="shared" si="1"/>
        <v>0</v>
      </c>
    </row>
    <row r="122" spans="2:10" hidden="1" x14ac:dyDescent="0.25">
      <c r="B122" s="188"/>
      <c r="C122" s="70"/>
      <c r="D122" s="70"/>
      <c r="E122" s="70"/>
      <c r="F122" s="119"/>
      <c r="G122" s="84"/>
      <c r="H122" s="215"/>
      <c r="I122" s="168"/>
      <c r="J122" s="84">
        <f t="shared" si="1"/>
        <v>0</v>
      </c>
    </row>
    <row r="123" spans="2:10" hidden="1" x14ac:dyDescent="0.25">
      <c r="B123" s="188"/>
      <c r="C123" s="70"/>
      <c r="D123" s="70"/>
      <c r="E123" s="70"/>
      <c r="F123" s="119"/>
      <c r="G123" s="84"/>
      <c r="H123" s="215"/>
      <c r="I123" s="168"/>
      <c r="J123" s="84">
        <f t="shared" si="1"/>
        <v>0</v>
      </c>
    </row>
    <row r="124" spans="2:10" hidden="1" x14ac:dyDescent="0.25">
      <c r="B124" s="188"/>
      <c r="C124" s="70"/>
      <c r="D124" s="70"/>
      <c r="E124" s="70"/>
      <c r="F124" s="119"/>
      <c r="G124" s="84"/>
      <c r="H124" s="215"/>
      <c r="I124" s="168"/>
      <c r="J124" s="84">
        <f t="shared" si="1"/>
        <v>0</v>
      </c>
    </row>
    <row r="125" spans="2:10" hidden="1" x14ac:dyDescent="0.25">
      <c r="B125" s="188"/>
      <c r="C125" s="70"/>
      <c r="D125" s="70"/>
      <c r="E125" s="70"/>
      <c r="F125" s="119"/>
      <c r="G125" s="84"/>
      <c r="H125" s="215"/>
      <c r="I125" s="168"/>
      <c r="J125" s="84">
        <f t="shared" si="1"/>
        <v>0</v>
      </c>
    </row>
    <row r="126" spans="2:10" hidden="1" x14ac:dyDescent="0.25">
      <c r="B126" s="188"/>
      <c r="C126" s="70"/>
      <c r="D126" s="70"/>
      <c r="E126" s="70"/>
      <c r="F126" s="119"/>
      <c r="G126" s="84"/>
      <c r="H126" s="215"/>
      <c r="I126" s="168"/>
      <c r="J126" s="84">
        <f t="shared" si="1"/>
        <v>0</v>
      </c>
    </row>
    <row r="127" spans="2:10" hidden="1" x14ac:dyDescent="0.25">
      <c r="B127" s="188"/>
      <c r="C127" s="70"/>
      <c r="D127" s="70"/>
      <c r="E127" s="70"/>
      <c r="F127" s="119"/>
      <c r="G127" s="84"/>
      <c r="H127" s="215"/>
      <c r="I127" s="168"/>
      <c r="J127" s="84">
        <f t="shared" si="1"/>
        <v>0</v>
      </c>
    </row>
    <row r="128" spans="2:10" hidden="1" x14ac:dyDescent="0.25">
      <c r="B128" s="188"/>
      <c r="C128" s="70"/>
      <c r="D128" s="70"/>
      <c r="E128" s="70"/>
      <c r="F128" s="119"/>
      <c r="G128" s="84"/>
      <c r="H128" s="215"/>
      <c r="I128" s="168"/>
      <c r="J128" s="84">
        <f t="shared" si="1"/>
        <v>0</v>
      </c>
    </row>
    <row r="129" spans="2:10" hidden="1" x14ac:dyDescent="0.25">
      <c r="B129" s="188"/>
      <c r="C129" s="70"/>
      <c r="D129" s="70"/>
      <c r="E129" s="70"/>
      <c r="F129" s="119"/>
      <c r="G129" s="84"/>
      <c r="H129" s="215"/>
      <c r="I129" s="168"/>
      <c r="J129" s="84">
        <f t="shared" si="1"/>
        <v>0</v>
      </c>
    </row>
    <row r="130" spans="2:10" hidden="1" x14ac:dyDescent="0.25">
      <c r="B130" s="188"/>
      <c r="C130" s="70"/>
      <c r="D130" s="70"/>
      <c r="E130" s="70"/>
      <c r="F130" s="119"/>
      <c r="G130" s="84"/>
      <c r="H130" s="215"/>
      <c r="I130" s="168"/>
      <c r="J130" s="84">
        <f t="shared" si="1"/>
        <v>0</v>
      </c>
    </row>
    <row r="131" spans="2:10" hidden="1" x14ac:dyDescent="0.25">
      <c r="B131" s="188"/>
      <c r="C131" s="70"/>
      <c r="D131" s="70"/>
      <c r="E131" s="70"/>
      <c r="F131" s="119"/>
      <c r="G131" s="84"/>
      <c r="H131" s="215"/>
      <c r="I131" s="168"/>
      <c r="J131" s="168">
        <f t="shared" si="1"/>
        <v>0</v>
      </c>
    </row>
    <row r="132" spans="2:10" hidden="1" x14ac:dyDescent="0.25">
      <c r="B132" s="188"/>
      <c r="C132" s="70"/>
      <c r="D132" s="70"/>
      <c r="E132" s="70"/>
      <c r="F132" s="119"/>
      <c r="G132" s="84"/>
      <c r="H132" s="215"/>
      <c r="I132" s="168"/>
      <c r="J132" s="168">
        <f t="shared" si="1"/>
        <v>0</v>
      </c>
    </row>
    <row r="133" spans="2:10" hidden="1" x14ac:dyDescent="0.25">
      <c r="B133" s="188"/>
      <c r="C133" s="70"/>
      <c r="D133" s="70"/>
      <c r="E133" s="70"/>
      <c r="F133" s="119"/>
      <c r="G133" s="84"/>
      <c r="H133" s="215"/>
      <c r="I133" s="168"/>
      <c r="J133" s="84">
        <f t="shared" si="1"/>
        <v>0</v>
      </c>
    </row>
    <row r="134" spans="2:10" hidden="1" x14ac:dyDescent="0.25">
      <c r="B134" s="188"/>
      <c r="C134" s="70"/>
      <c r="D134" s="70"/>
      <c r="E134" s="70"/>
      <c r="F134" s="119"/>
      <c r="G134" s="84"/>
      <c r="H134" s="215"/>
      <c r="I134" s="168"/>
      <c r="J134" s="84">
        <f t="shared" si="1"/>
        <v>0</v>
      </c>
    </row>
    <row r="135" spans="2:10" hidden="1" x14ac:dyDescent="0.25">
      <c r="B135" s="188"/>
      <c r="C135" s="70"/>
      <c r="D135" s="70"/>
      <c r="E135" s="70"/>
      <c r="F135" s="119"/>
      <c r="G135" s="84"/>
      <c r="H135" s="215"/>
      <c r="I135" s="168"/>
      <c r="J135" s="84">
        <f t="shared" si="1"/>
        <v>0</v>
      </c>
    </row>
    <row r="136" spans="2:10" hidden="1" x14ac:dyDescent="0.25">
      <c r="B136" s="188"/>
      <c r="C136" s="70"/>
      <c r="D136" s="70"/>
      <c r="E136" s="70"/>
      <c r="F136" s="119"/>
      <c r="G136" s="84"/>
      <c r="H136" s="215"/>
      <c r="I136" s="168"/>
      <c r="J136" s="84">
        <f t="shared" si="1"/>
        <v>0</v>
      </c>
    </row>
    <row r="137" spans="2:10" hidden="1" x14ac:dyDescent="0.25">
      <c r="B137" s="188"/>
      <c r="C137" s="70"/>
      <c r="D137" s="70"/>
      <c r="E137" s="70"/>
      <c r="F137" s="119"/>
      <c r="G137" s="84"/>
      <c r="H137" s="215"/>
      <c r="I137" s="168"/>
      <c r="J137" s="84">
        <f t="shared" si="1"/>
        <v>0</v>
      </c>
    </row>
    <row r="138" spans="2:10" hidden="1" x14ac:dyDescent="0.25">
      <c r="B138" s="188"/>
      <c r="C138" s="70"/>
      <c r="D138" s="70"/>
      <c r="E138" s="70"/>
      <c r="F138" s="119"/>
      <c r="G138" s="84"/>
      <c r="H138" s="215"/>
      <c r="I138" s="168"/>
      <c r="J138" s="84">
        <f t="shared" ref="J138:J291" si="2">F138*G138+H138*I138</f>
        <v>0</v>
      </c>
    </row>
    <row r="139" spans="2:10" hidden="1" x14ac:dyDescent="0.25">
      <c r="B139" s="188"/>
      <c r="C139" s="70"/>
      <c r="D139" s="70"/>
      <c r="E139" s="70"/>
      <c r="F139" s="119"/>
      <c r="G139" s="84"/>
      <c r="H139" s="215"/>
      <c r="I139" s="168"/>
      <c r="J139" s="84">
        <f t="shared" si="2"/>
        <v>0</v>
      </c>
    </row>
    <row r="140" spans="2:10" hidden="1" x14ac:dyDescent="0.25">
      <c r="B140" s="188"/>
      <c r="C140" s="70"/>
      <c r="D140" s="70"/>
      <c r="E140" s="70"/>
      <c r="F140" s="119"/>
      <c r="G140" s="84"/>
      <c r="H140" s="215"/>
      <c r="I140" s="168"/>
      <c r="J140" s="84">
        <f t="shared" si="2"/>
        <v>0</v>
      </c>
    </row>
    <row r="141" spans="2:10" hidden="1" x14ac:dyDescent="0.25">
      <c r="B141" s="188"/>
      <c r="C141" s="70"/>
      <c r="D141" s="70"/>
      <c r="E141" s="70"/>
      <c r="F141" s="119"/>
      <c r="G141" s="84"/>
      <c r="H141" s="215"/>
      <c r="I141" s="168"/>
      <c r="J141" s="84">
        <f t="shared" si="2"/>
        <v>0</v>
      </c>
    </row>
    <row r="142" spans="2:10" hidden="1" x14ac:dyDescent="0.25">
      <c r="B142" s="188"/>
      <c r="C142" s="70"/>
      <c r="D142" s="70"/>
      <c r="E142" s="70"/>
      <c r="F142" s="119"/>
      <c r="G142" s="84"/>
      <c r="H142" s="215"/>
      <c r="I142" s="168"/>
      <c r="J142" s="84">
        <f t="shared" si="2"/>
        <v>0</v>
      </c>
    </row>
    <row r="143" spans="2:10" hidden="1" x14ac:dyDescent="0.25">
      <c r="B143" s="188"/>
      <c r="C143" s="70"/>
      <c r="D143" s="70"/>
      <c r="E143" s="70"/>
      <c r="F143" s="119"/>
      <c r="G143" s="84"/>
      <c r="H143" s="215"/>
      <c r="I143" s="168"/>
      <c r="J143" s="84">
        <f t="shared" si="2"/>
        <v>0</v>
      </c>
    </row>
    <row r="144" spans="2:10" hidden="1" x14ac:dyDescent="0.25">
      <c r="B144" s="188"/>
      <c r="C144" s="70"/>
      <c r="D144" s="70"/>
      <c r="E144" s="70"/>
      <c r="F144" s="119"/>
      <c r="G144" s="84"/>
      <c r="H144" s="215"/>
      <c r="I144" s="168"/>
      <c r="J144" s="84">
        <f>F144*G144+H144*I144</f>
        <v>0</v>
      </c>
    </row>
    <row r="145" spans="2:10" hidden="1" x14ac:dyDescent="0.25">
      <c r="B145" s="188"/>
      <c r="C145" s="70"/>
      <c r="D145" s="70"/>
      <c r="E145" s="70"/>
      <c r="F145" s="119"/>
      <c r="G145" s="84"/>
      <c r="H145" s="215"/>
      <c r="I145" s="168"/>
      <c r="J145" s="84">
        <f>F145*G145+H145*I145</f>
        <v>0</v>
      </c>
    </row>
    <row r="146" spans="2:10" hidden="1" x14ac:dyDescent="0.25">
      <c r="B146" s="188"/>
      <c r="C146" s="70"/>
      <c r="D146" s="70"/>
      <c r="E146" s="70"/>
      <c r="F146" s="119"/>
      <c r="G146" s="84"/>
      <c r="H146" s="215"/>
      <c r="I146" s="168"/>
      <c r="J146" s="84">
        <f t="shared" si="2"/>
        <v>0</v>
      </c>
    </row>
    <row r="147" spans="2:10" hidden="1" x14ac:dyDescent="0.25">
      <c r="B147" s="188"/>
      <c r="C147" s="70"/>
      <c r="D147" s="70"/>
      <c r="E147" s="70"/>
      <c r="F147" s="119"/>
      <c r="G147" s="84"/>
      <c r="H147" s="215"/>
      <c r="I147" s="168"/>
      <c r="J147" s="84">
        <f t="shared" si="2"/>
        <v>0</v>
      </c>
    </row>
    <row r="148" spans="2:10" hidden="1" x14ac:dyDescent="0.25">
      <c r="B148" s="188"/>
      <c r="C148" s="70"/>
      <c r="D148" s="70"/>
      <c r="E148" s="70"/>
      <c r="F148" s="119"/>
      <c r="G148" s="84"/>
      <c r="H148" s="215"/>
      <c r="I148" s="168"/>
      <c r="J148" s="84">
        <f t="shared" si="2"/>
        <v>0</v>
      </c>
    </row>
    <row r="149" spans="2:10" hidden="1" x14ac:dyDescent="0.25">
      <c r="B149" s="188"/>
      <c r="C149" s="70"/>
      <c r="D149" s="70"/>
      <c r="E149" s="70"/>
      <c r="F149" s="119"/>
      <c r="G149" s="84"/>
      <c r="H149" s="215"/>
      <c r="I149" s="168"/>
      <c r="J149" s="84">
        <f t="shared" si="2"/>
        <v>0</v>
      </c>
    </row>
    <row r="150" spans="2:10" hidden="1" x14ac:dyDescent="0.25">
      <c r="B150" s="188"/>
      <c r="C150" s="70"/>
      <c r="D150" s="70"/>
      <c r="E150" s="70"/>
      <c r="F150" s="119"/>
      <c r="G150" s="84"/>
      <c r="H150" s="215"/>
      <c r="I150" s="168"/>
      <c r="J150" s="84">
        <f t="shared" si="2"/>
        <v>0</v>
      </c>
    </row>
    <row r="151" spans="2:10" hidden="1" x14ac:dyDescent="0.25">
      <c r="B151" s="188"/>
      <c r="C151" s="70"/>
      <c r="D151" s="70"/>
      <c r="E151" s="70"/>
      <c r="F151" s="119"/>
      <c r="G151" s="84"/>
      <c r="H151" s="215"/>
      <c r="I151" s="168"/>
      <c r="J151" s="84">
        <f t="shared" si="2"/>
        <v>0</v>
      </c>
    </row>
    <row r="152" spans="2:10" hidden="1" x14ac:dyDescent="0.25">
      <c r="B152" s="188"/>
      <c r="C152" s="70"/>
      <c r="D152" s="70"/>
      <c r="E152" s="70"/>
      <c r="F152" s="119"/>
      <c r="G152" s="84"/>
      <c r="H152" s="215"/>
      <c r="I152" s="168"/>
      <c r="J152" s="84">
        <f t="shared" si="2"/>
        <v>0</v>
      </c>
    </row>
    <row r="153" spans="2:10" hidden="1" x14ac:dyDescent="0.25">
      <c r="B153" s="188"/>
      <c r="C153" s="70"/>
      <c r="D153" s="70"/>
      <c r="E153" s="70"/>
      <c r="F153" s="119"/>
      <c r="G153" s="84"/>
      <c r="H153" s="215"/>
      <c r="I153" s="168"/>
      <c r="J153" s="84">
        <f t="shared" si="2"/>
        <v>0</v>
      </c>
    </row>
    <row r="154" spans="2:10" hidden="1" x14ac:dyDescent="0.25">
      <c r="B154" s="188"/>
      <c r="C154" s="70"/>
      <c r="D154" s="70"/>
      <c r="E154" s="70"/>
      <c r="F154" s="119"/>
      <c r="G154" s="84"/>
      <c r="H154" s="215"/>
      <c r="I154" s="168"/>
      <c r="J154" s="84">
        <f t="shared" si="2"/>
        <v>0</v>
      </c>
    </row>
    <row r="155" spans="2:10" hidden="1" x14ac:dyDescent="0.25">
      <c r="B155" s="188"/>
      <c r="C155" s="70"/>
      <c r="D155" s="70"/>
      <c r="E155" s="70"/>
      <c r="F155" s="119"/>
      <c r="G155" s="84"/>
      <c r="H155" s="215"/>
      <c r="I155" s="168"/>
      <c r="J155" s="84">
        <f t="shared" si="2"/>
        <v>0</v>
      </c>
    </row>
    <row r="156" spans="2:10" hidden="1" x14ac:dyDescent="0.25">
      <c r="B156" s="188"/>
      <c r="C156" s="70"/>
      <c r="D156" s="70"/>
      <c r="E156" s="70"/>
      <c r="F156" s="119"/>
      <c r="G156" s="84"/>
      <c r="H156" s="215"/>
      <c r="I156" s="168"/>
      <c r="J156" s="84">
        <f t="shared" si="2"/>
        <v>0</v>
      </c>
    </row>
    <row r="157" spans="2:10" hidden="1" x14ac:dyDescent="0.25">
      <c r="B157" s="188"/>
      <c r="C157" s="70"/>
      <c r="D157" s="70"/>
      <c r="E157" s="70"/>
      <c r="F157" s="119"/>
      <c r="G157" s="84"/>
      <c r="H157" s="215"/>
      <c r="I157" s="168"/>
      <c r="J157" s="84">
        <f t="shared" si="2"/>
        <v>0</v>
      </c>
    </row>
    <row r="158" spans="2:10" hidden="1" x14ac:dyDescent="0.25">
      <c r="B158" s="188"/>
      <c r="C158" s="70"/>
      <c r="D158" s="70"/>
      <c r="E158" s="70"/>
      <c r="F158" s="119"/>
      <c r="G158" s="84"/>
      <c r="H158" s="215"/>
      <c r="I158" s="168"/>
      <c r="J158" s="84">
        <f t="shared" si="2"/>
        <v>0</v>
      </c>
    </row>
    <row r="159" spans="2:10" hidden="1" x14ac:dyDescent="0.25">
      <c r="B159" s="188"/>
      <c r="C159" s="70"/>
      <c r="D159" s="70"/>
      <c r="E159" s="70"/>
      <c r="F159" s="119"/>
      <c r="G159" s="84"/>
      <c r="H159" s="215"/>
      <c r="I159" s="168"/>
      <c r="J159" s="84">
        <f t="shared" si="2"/>
        <v>0</v>
      </c>
    </row>
    <row r="160" spans="2:10" hidden="1" x14ac:dyDescent="0.25">
      <c r="B160" s="188"/>
      <c r="C160" s="70"/>
      <c r="D160" s="70"/>
      <c r="E160" s="70"/>
      <c r="F160" s="119"/>
      <c r="G160" s="84"/>
      <c r="H160" s="215"/>
      <c r="I160" s="168"/>
      <c r="J160" s="84">
        <f t="shared" si="2"/>
        <v>0</v>
      </c>
    </row>
    <row r="161" spans="2:10" hidden="1" x14ac:dyDescent="0.25">
      <c r="B161" s="188"/>
      <c r="C161" s="70"/>
      <c r="D161" s="70"/>
      <c r="E161" s="70"/>
      <c r="F161" s="119"/>
      <c r="G161" s="84"/>
      <c r="H161" s="215"/>
      <c r="I161" s="168"/>
      <c r="J161" s="84">
        <f t="shared" si="2"/>
        <v>0</v>
      </c>
    </row>
    <row r="162" spans="2:10" hidden="1" x14ac:dyDescent="0.25">
      <c r="B162" s="188"/>
      <c r="C162" s="70"/>
      <c r="D162" s="70"/>
      <c r="E162" s="70"/>
      <c r="F162" s="119"/>
      <c r="G162" s="84"/>
      <c r="H162" s="215"/>
      <c r="I162" s="168"/>
      <c r="J162" s="84">
        <f t="shared" si="2"/>
        <v>0</v>
      </c>
    </row>
    <row r="163" spans="2:10" hidden="1" x14ac:dyDescent="0.25">
      <c r="B163" s="188"/>
      <c r="C163" s="70"/>
      <c r="D163" s="70"/>
      <c r="E163" s="70"/>
      <c r="F163" s="119"/>
      <c r="G163" s="84"/>
      <c r="H163" s="215"/>
      <c r="I163" s="168"/>
      <c r="J163" s="84">
        <f t="shared" si="2"/>
        <v>0</v>
      </c>
    </row>
    <row r="164" spans="2:10" hidden="1" x14ac:dyDescent="0.25">
      <c r="B164" s="188"/>
      <c r="C164" s="70"/>
      <c r="D164" s="70"/>
      <c r="E164" s="70"/>
      <c r="F164" s="119"/>
      <c r="G164" s="84"/>
      <c r="H164" s="215"/>
      <c r="I164" s="168"/>
      <c r="J164" s="84">
        <f t="shared" si="2"/>
        <v>0</v>
      </c>
    </row>
    <row r="165" spans="2:10" hidden="1" x14ac:dyDescent="0.25">
      <c r="B165" s="188"/>
      <c r="C165" s="70"/>
      <c r="D165" s="70"/>
      <c r="E165" s="70"/>
      <c r="F165" s="119"/>
      <c r="G165" s="84"/>
      <c r="H165" s="215"/>
      <c r="I165" s="168"/>
      <c r="J165" s="84">
        <f t="shared" si="2"/>
        <v>0</v>
      </c>
    </row>
    <row r="166" spans="2:10" hidden="1" x14ac:dyDescent="0.25">
      <c r="B166" s="188"/>
      <c r="C166" s="70"/>
      <c r="D166" s="70"/>
      <c r="E166" s="70"/>
      <c r="F166" s="119"/>
      <c r="G166" s="84"/>
      <c r="H166" s="215"/>
      <c r="I166" s="168"/>
      <c r="J166" s="84">
        <f t="shared" si="2"/>
        <v>0</v>
      </c>
    </row>
    <row r="167" spans="2:10" hidden="1" x14ac:dyDescent="0.25">
      <c r="B167" s="188"/>
      <c r="C167" s="70"/>
      <c r="D167" s="70"/>
      <c r="E167" s="70"/>
      <c r="F167" s="119"/>
      <c r="G167" s="84"/>
      <c r="H167" s="215"/>
      <c r="I167" s="168"/>
      <c r="J167" s="84">
        <f t="shared" si="2"/>
        <v>0</v>
      </c>
    </row>
    <row r="168" spans="2:10" hidden="1" x14ac:dyDescent="0.25">
      <c r="B168" s="188"/>
      <c r="C168" s="70"/>
      <c r="D168" s="70"/>
      <c r="E168" s="70"/>
      <c r="F168" s="119"/>
      <c r="G168" s="84"/>
      <c r="H168" s="215"/>
      <c r="I168" s="168"/>
      <c r="J168" s="84">
        <f t="shared" si="2"/>
        <v>0</v>
      </c>
    </row>
    <row r="169" spans="2:10" hidden="1" x14ac:dyDescent="0.25">
      <c r="B169" s="188"/>
      <c r="C169" s="70"/>
      <c r="D169" s="70"/>
      <c r="E169" s="70"/>
      <c r="F169" s="119"/>
      <c r="G169" s="84"/>
      <c r="H169" s="215"/>
      <c r="I169" s="168"/>
      <c r="J169" s="84">
        <f t="shared" si="2"/>
        <v>0</v>
      </c>
    </row>
    <row r="170" spans="2:10" hidden="1" x14ac:dyDescent="0.25">
      <c r="B170" s="188"/>
      <c r="C170" s="70"/>
      <c r="D170" s="70"/>
      <c r="E170" s="70"/>
      <c r="F170" s="119"/>
      <c r="G170" s="84"/>
      <c r="H170" s="215"/>
      <c r="I170" s="168"/>
      <c r="J170" s="84">
        <f t="shared" si="2"/>
        <v>0</v>
      </c>
    </row>
    <row r="171" spans="2:10" hidden="1" x14ac:dyDescent="0.25">
      <c r="B171" s="188"/>
      <c r="C171" s="70"/>
      <c r="D171" s="70"/>
      <c r="E171" s="70"/>
      <c r="F171" s="119"/>
      <c r="G171" s="84"/>
      <c r="H171" s="215"/>
      <c r="I171" s="168"/>
      <c r="J171" s="84">
        <f t="shared" si="2"/>
        <v>0</v>
      </c>
    </row>
    <row r="172" spans="2:10" hidden="1" x14ac:dyDescent="0.25">
      <c r="B172" s="188"/>
      <c r="C172" s="70"/>
      <c r="D172" s="70"/>
      <c r="E172" s="70"/>
      <c r="F172" s="119"/>
      <c r="G172" s="84"/>
      <c r="H172" s="215"/>
      <c r="I172" s="168"/>
      <c r="J172" s="84">
        <f t="shared" si="2"/>
        <v>0</v>
      </c>
    </row>
    <row r="173" spans="2:10" hidden="1" x14ac:dyDescent="0.25">
      <c r="B173" s="188"/>
      <c r="C173" s="70"/>
      <c r="D173" s="70"/>
      <c r="E173" s="70"/>
      <c r="F173" s="119"/>
      <c r="G173" s="84"/>
      <c r="H173" s="215"/>
      <c r="I173" s="168"/>
      <c r="J173" s="84">
        <f t="shared" si="2"/>
        <v>0</v>
      </c>
    </row>
    <row r="174" spans="2:10" hidden="1" x14ac:dyDescent="0.25">
      <c r="B174" s="188"/>
      <c r="C174" s="70"/>
      <c r="D174" s="70"/>
      <c r="E174" s="70"/>
      <c r="F174" s="119"/>
      <c r="G174" s="84"/>
      <c r="H174" s="215"/>
      <c r="I174" s="168"/>
      <c r="J174" s="84">
        <f t="shared" si="2"/>
        <v>0</v>
      </c>
    </row>
    <row r="175" spans="2:10" hidden="1" x14ac:dyDescent="0.25">
      <c r="B175" s="188"/>
      <c r="C175" s="70"/>
      <c r="D175" s="70"/>
      <c r="E175" s="70"/>
      <c r="F175" s="119"/>
      <c r="G175" s="84"/>
      <c r="H175" s="215"/>
      <c r="I175" s="168"/>
      <c r="J175" s="84">
        <f t="shared" si="2"/>
        <v>0</v>
      </c>
    </row>
    <row r="176" spans="2:10" hidden="1" x14ac:dyDescent="0.25">
      <c r="B176" s="188"/>
      <c r="C176" s="70"/>
      <c r="D176" s="70"/>
      <c r="E176" s="70"/>
      <c r="F176" s="119"/>
      <c r="G176" s="84"/>
      <c r="H176" s="215"/>
      <c r="I176" s="168"/>
      <c r="J176" s="84">
        <f t="shared" si="2"/>
        <v>0</v>
      </c>
    </row>
    <row r="177" spans="2:10" hidden="1" x14ac:dyDescent="0.25">
      <c r="B177" s="188"/>
      <c r="C177" s="70"/>
      <c r="D177" s="70"/>
      <c r="E177" s="70"/>
      <c r="F177" s="119"/>
      <c r="G177" s="84"/>
      <c r="H177" s="215"/>
      <c r="I177" s="168"/>
      <c r="J177" s="84">
        <f t="shared" si="2"/>
        <v>0</v>
      </c>
    </row>
    <row r="178" spans="2:10" hidden="1" x14ac:dyDescent="0.25">
      <c r="B178" s="188"/>
      <c r="C178" s="70"/>
      <c r="D178" s="70"/>
      <c r="E178" s="70"/>
      <c r="F178" s="119"/>
      <c r="G178" s="84"/>
      <c r="H178" s="215"/>
      <c r="I178" s="168"/>
      <c r="J178" s="84">
        <f>F178*G178+H178*I178</f>
        <v>0</v>
      </c>
    </row>
    <row r="179" spans="2:10" hidden="1" x14ac:dyDescent="0.25">
      <c r="B179" s="188"/>
      <c r="C179" s="70"/>
      <c r="D179" s="70"/>
      <c r="E179" s="70"/>
      <c r="F179" s="119"/>
      <c r="G179" s="84"/>
      <c r="H179" s="215"/>
      <c r="I179" s="168"/>
      <c r="J179" s="84">
        <f t="shared" si="2"/>
        <v>0</v>
      </c>
    </row>
    <row r="180" spans="2:10" hidden="1" x14ac:dyDescent="0.25">
      <c r="B180" s="188"/>
      <c r="C180" s="70"/>
      <c r="D180" s="70"/>
      <c r="E180" s="70"/>
      <c r="F180" s="119"/>
      <c r="G180" s="84"/>
      <c r="H180" s="215"/>
      <c r="I180" s="168"/>
      <c r="J180" s="84">
        <f t="shared" si="2"/>
        <v>0</v>
      </c>
    </row>
    <row r="181" spans="2:10" hidden="1" x14ac:dyDescent="0.25">
      <c r="B181" s="188"/>
      <c r="C181" s="70"/>
      <c r="D181" s="70"/>
      <c r="E181" s="70"/>
      <c r="F181" s="119"/>
      <c r="G181" s="84"/>
      <c r="H181" s="215"/>
      <c r="I181" s="168"/>
      <c r="J181" s="84">
        <f t="shared" si="2"/>
        <v>0</v>
      </c>
    </row>
    <row r="182" spans="2:10" hidden="1" x14ac:dyDescent="0.25">
      <c r="B182" s="188"/>
      <c r="C182" s="70"/>
      <c r="D182" s="70"/>
      <c r="E182" s="70"/>
      <c r="F182" s="119"/>
      <c r="G182" s="84"/>
      <c r="H182" s="215"/>
      <c r="I182" s="168"/>
      <c r="J182" s="84">
        <f t="shared" si="2"/>
        <v>0</v>
      </c>
    </row>
    <row r="183" spans="2:10" hidden="1" x14ac:dyDescent="0.25">
      <c r="B183" s="188"/>
      <c r="C183" s="70"/>
      <c r="D183" s="70"/>
      <c r="E183" s="70"/>
      <c r="F183" s="119"/>
      <c r="G183" s="84"/>
      <c r="H183" s="215"/>
      <c r="I183" s="168"/>
      <c r="J183" s="84">
        <f t="shared" si="2"/>
        <v>0</v>
      </c>
    </row>
    <row r="184" spans="2:10" hidden="1" x14ac:dyDescent="0.25">
      <c r="B184" s="188"/>
      <c r="C184" s="70"/>
      <c r="D184" s="70"/>
      <c r="E184" s="70"/>
      <c r="F184" s="119"/>
      <c r="G184" s="84"/>
      <c r="H184" s="215"/>
      <c r="I184" s="168"/>
      <c r="J184" s="84">
        <f t="shared" si="2"/>
        <v>0</v>
      </c>
    </row>
    <row r="185" spans="2:10" hidden="1" x14ac:dyDescent="0.25">
      <c r="B185" s="188"/>
      <c r="C185" s="70"/>
      <c r="D185" s="70"/>
      <c r="E185" s="70"/>
      <c r="F185" s="119"/>
      <c r="G185" s="84"/>
      <c r="H185" s="215"/>
      <c r="I185" s="168"/>
      <c r="J185" s="84">
        <f t="shared" si="2"/>
        <v>0</v>
      </c>
    </row>
    <row r="186" spans="2:10" hidden="1" x14ac:dyDescent="0.25">
      <c r="B186" s="188"/>
      <c r="C186" s="70"/>
      <c r="D186" s="70"/>
      <c r="E186" s="70"/>
      <c r="F186" s="119"/>
      <c r="G186" s="84"/>
      <c r="H186" s="215"/>
      <c r="I186" s="168"/>
      <c r="J186" s="84">
        <f t="shared" si="2"/>
        <v>0</v>
      </c>
    </row>
    <row r="187" spans="2:10" hidden="1" x14ac:dyDescent="0.25">
      <c r="B187" s="188"/>
      <c r="C187" s="70"/>
      <c r="D187" s="70"/>
      <c r="E187" s="70"/>
      <c r="F187" s="119"/>
      <c r="G187" s="84"/>
      <c r="H187" s="215"/>
      <c r="I187" s="168"/>
      <c r="J187" s="84">
        <f t="shared" si="2"/>
        <v>0</v>
      </c>
    </row>
    <row r="188" spans="2:10" hidden="1" x14ac:dyDescent="0.25">
      <c r="B188" s="188"/>
      <c r="C188" s="70"/>
      <c r="D188" s="70"/>
      <c r="E188" s="70"/>
      <c r="F188" s="119"/>
      <c r="G188" s="84"/>
      <c r="H188" s="215"/>
      <c r="I188" s="168"/>
      <c r="J188" s="84">
        <f t="shared" si="2"/>
        <v>0</v>
      </c>
    </row>
    <row r="189" spans="2:10" hidden="1" x14ac:dyDescent="0.25">
      <c r="B189" s="188"/>
      <c r="C189" s="70"/>
      <c r="D189" s="70"/>
      <c r="E189" s="70"/>
      <c r="F189" s="119"/>
      <c r="G189" s="84"/>
      <c r="H189" s="215"/>
      <c r="I189" s="168"/>
      <c r="J189" s="84">
        <f t="shared" si="2"/>
        <v>0</v>
      </c>
    </row>
    <row r="190" spans="2:10" hidden="1" x14ac:dyDescent="0.25">
      <c r="B190" s="188"/>
      <c r="C190" s="70"/>
      <c r="D190" s="70"/>
      <c r="E190" s="70"/>
      <c r="F190" s="119"/>
      <c r="G190" s="84"/>
      <c r="H190" s="215"/>
      <c r="I190" s="168"/>
      <c r="J190" s="84">
        <f t="shared" si="2"/>
        <v>0</v>
      </c>
    </row>
    <row r="191" spans="2:10" hidden="1" x14ac:dyDescent="0.25">
      <c r="B191" s="188"/>
      <c r="C191" s="70"/>
      <c r="D191" s="70"/>
      <c r="E191" s="70"/>
      <c r="F191" s="119"/>
      <c r="G191" s="84"/>
      <c r="H191" s="215"/>
      <c r="I191" s="168"/>
      <c r="J191" s="84">
        <f t="shared" si="2"/>
        <v>0</v>
      </c>
    </row>
    <row r="192" spans="2:10" hidden="1" x14ac:dyDescent="0.25">
      <c r="B192" s="188"/>
      <c r="C192" s="70"/>
      <c r="D192" s="70"/>
      <c r="E192" s="70"/>
      <c r="F192" s="119"/>
      <c r="G192" s="84"/>
      <c r="H192" s="215"/>
      <c r="I192" s="168"/>
      <c r="J192" s="84">
        <f t="shared" si="2"/>
        <v>0</v>
      </c>
    </row>
    <row r="193" spans="2:10" hidden="1" x14ac:dyDescent="0.25">
      <c r="B193" s="188"/>
      <c r="C193" s="70"/>
      <c r="D193" s="70"/>
      <c r="E193" s="70"/>
      <c r="F193" s="119"/>
      <c r="G193" s="84"/>
      <c r="H193" s="215"/>
      <c r="I193" s="168"/>
      <c r="J193" s="84">
        <f t="shared" si="2"/>
        <v>0</v>
      </c>
    </row>
    <row r="194" spans="2:10" hidden="1" x14ac:dyDescent="0.25">
      <c r="B194" s="188"/>
      <c r="C194" s="70"/>
      <c r="D194" s="70"/>
      <c r="E194" s="70"/>
      <c r="F194" s="119"/>
      <c r="G194" s="84"/>
      <c r="H194" s="215"/>
      <c r="I194" s="168"/>
      <c r="J194" s="84">
        <f t="shared" si="2"/>
        <v>0</v>
      </c>
    </row>
    <row r="195" spans="2:10" hidden="1" x14ac:dyDescent="0.25">
      <c r="B195" s="188"/>
      <c r="C195" s="70"/>
      <c r="D195" s="70"/>
      <c r="E195" s="70"/>
      <c r="F195" s="119"/>
      <c r="G195" s="84"/>
      <c r="H195" s="215"/>
      <c r="I195" s="168"/>
      <c r="J195" s="84">
        <f t="shared" si="2"/>
        <v>0</v>
      </c>
    </row>
    <row r="196" spans="2:10" hidden="1" x14ac:dyDescent="0.25">
      <c r="B196" s="188"/>
      <c r="C196" s="70"/>
      <c r="D196" s="70"/>
      <c r="E196" s="70"/>
      <c r="F196" s="119"/>
      <c r="G196" s="84"/>
      <c r="H196" s="215"/>
      <c r="I196" s="168"/>
      <c r="J196" s="84">
        <f t="shared" si="2"/>
        <v>0</v>
      </c>
    </row>
    <row r="197" spans="2:10" hidden="1" x14ac:dyDescent="0.25">
      <c r="B197" s="188"/>
      <c r="C197" s="150"/>
      <c r="D197" s="150"/>
      <c r="E197" s="150"/>
      <c r="F197" s="119"/>
      <c r="G197" s="84"/>
      <c r="H197" s="215"/>
      <c r="I197" s="168"/>
      <c r="J197" s="168">
        <f t="shared" si="2"/>
        <v>0</v>
      </c>
    </row>
    <row r="198" spans="2:10" hidden="1" x14ac:dyDescent="0.25">
      <c r="B198" s="188"/>
      <c r="C198" s="150"/>
      <c r="D198" s="150"/>
      <c r="E198" s="150"/>
      <c r="F198" s="119"/>
      <c r="G198" s="84"/>
      <c r="H198" s="215"/>
      <c r="I198" s="168"/>
      <c r="J198" s="168">
        <f t="shared" si="2"/>
        <v>0</v>
      </c>
    </row>
    <row r="199" spans="2:10" hidden="1" x14ac:dyDescent="0.25">
      <c r="B199" s="188"/>
      <c r="C199" s="150"/>
      <c r="D199" s="150"/>
      <c r="E199" s="150"/>
      <c r="F199" s="119"/>
      <c r="G199" s="84"/>
      <c r="H199" s="215"/>
      <c r="I199" s="168"/>
      <c r="J199" s="84">
        <f t="shared" si="2"/>
        <v>0</v>
      </c>
    </row>
    <row r="200" spans="2:10" hidden="1" x14ac:dyDescent="0.25">
      <c r="B200" s="188"/>
      <c r="C200" s="150"/>
      <c r="D200" s="150"/>
      <c r="E200" s="150"/>
      <c r="F200" s="119"/>
      <c r="G200" s="84"/>
      <c r="H200" s="215"/>
      <c r="I200" s="168"/>
      <c r="J200" s="84">
        <f t="shared" si="2"/>
        <v>0</v>
      </c>
    </row>
    <row r="201" spans="2:10" hidden="1" x14ac:dyDescent="0.25">
      <c r="B201" s="188"/>
      <c r="C201" s="150"/>
      <c r="D201" s="150"/>
      <c r="E201" s="150"/>
      <c r="F201" s="119"/>
      <c r="G201" s="84"/>
      <c r="H201" s="215"/>
      <c r="I201" s="168"/>
      <c r="J201" s="84">
        <f t="shared" si="2"/>
        <v>0</v>
      </c>
    </row>
    <row r="202" spans="2:10" hidden="1" x14ac:dyDescent="0.25">
      <c r="B202" s="188"/>
      <c r="C202" s="150"/>
      <c r="D202" s="150"/>
      <c r="E202" s="150"/>
      <c r="F202" s="119"/>
      <c r="G202" s="84"/>
      <c r="H202" s="215"/>
      <c r="I202" s="168"/>
      <c r="J202" s="84">
        <f t="shared" si="2"/>
        <v>0</v>
      </c>
    </row>
    <row r="203" spans="2:10" hidden="1" x14ac:dyDescent="0.25">
      <c r="B203" s="188"/>
      <c r="C203" s="150"/>
      <c r="D203" s="150"/>
      <c r="E203" s="150"/>
      <c r="F203" s="119"/>
      <c r="G203" s="84"/>
      <c r="H203" s="215"/>
      <c r="I203" s="168"/>
      <c r="J203" s="84">
        <f t="shared" si="2"/>
        <v>0</v>
      </c>
    </row>
    <row r="204" spans="2:10" hidden="1" x14ac:dyDescent="0.25">
      <c r="B204" s="188"/>
      <c r="C204" s="150"/>
      <c r="D204" s="150"/>
      <c r="E204" s="150"/>
      <c r="F204" s="119"/>
      <c r="G204" s="84"/>
      <c r="H204" s="215"/>
      <c r="I204" s="168"/>
      <c r="J204" s="84">
        <f t="shared" si="2"/>
        <v>0</v>
      </c>
    </row>
    <row r="205" spans="2:10" hidden="1" x14ac:dyDescent="0.25">
      <c r="B205" s="188"/>
      <c r="C205" s="150"/>
      <c r="D205" s="150"/>
      <c r="E205" s="150"/>
      <c r="F205" s="119"/>
      <c r="G205" s="168"/>
      <c r="H205" s="215"/>
      <c r="I205" s="168"/>
      <c r="J205" s="84">
        <f t="shared" si="2"/>
        <v>0</v>
      </c>
    </row>
    <row r="206" spans="2:10" hidden="1" x14ac:dyDescent="0.25">
      <c r="B206" s="188"/>
      <c r="C206" s="150"/>
      <c r="D206" s="150"/>
      <c r="E206" s="150"/>
      <c r="F206" s="119"/>
      <c r="G206" s="168"/>
      <c r="H206" s="215"/>
      <c r="I206" s="168"/>
      <c r="J206" s="84">
        <f t="shared" si="2"/>
        <v>0</v>
      </c>
    </row>
    <row r="207" spans="2:10" hidden="1" x14ac:dyDescent="0.25">
      <c r="B207" s="188"/>
      <c r="C207" s="150"/>
      <c r="D207" s="150"/>
      <c r="E207" s="150"/>
      <c r="F207" s="119"/>
      <c r="G207" s="168"/>
      <c r="H207" s="215"/>
      <c r="I207" s="168"/>
      <c r="J207" s="84">
        <f t="shared" si="2"/>
        <v>0</v>
      </c>
    </row>
    <row r="208" spans="2:10" hidden="1" x14ac:dyDescent="0.25">
      <c r="B208" s="188"/>
      <c r="C208" s="150"/>
      <c r="D208" s="150"/>
      <c r="E208" s="150"/>
      <c r="F208" s="119"/>
      <c r="G208" s="168"/>
      <c r="H208" s="215"/>
      <c r="I208" s="168"/>
      <c r="J208" s="84">
        <f t="shared" si="2"/>
        <v>0</v>
      </c>
    </row>
    <row r="209" spans="2:10" hidden="1" x14ac:dyDescent="0.25">
      <c r="B209" s="188"/>
      <c r="C209" s="150"/>
      <c r="D209" s="150"/>
      <c r="E209" s="150"/>
      <c r="F209" s="119"/>
      <c r="G209" s="168"/>
      <c r="H209" s="215"/>
      <c r="I209" s="168"/>
      <c r="J209" s="84">
        <f t="shared" si="2"/>
        <v>0</v>
      </c>
    </row>
    <row r="210" spans="2:10" hidden="1" x14ac:dyDescent="0.25">
      <c r="B210" s="188"/>
      <c r="C210" s="150"/>
      <c r="D210" s="150"/>
      <c r="E210" s="150"/>
      <c r="F210" s="119"/>
      <c r="G210" s="84"/>
      <c r="H210" s="215"/>
      <c r="I210" s="168"/>
      <c r="J210" s="84">
        <f t="shared" si="2"/>
        <v>0</v>
      </c>
    </row>
    <row r="211" spans="2:10" hidden="1" x14ac:dyDescent="0.25">
      <c r="B211" s="188"/>
      <c r="C211" s="150"/>
      <c r="D211" s="150"/>
      <c r="E211" s="150"/>
      <c r="F211" s="119"/>
      <c r="G211" s="84"/>
      <c r="H211" s="215"/>
      <c r="I211" s="168"/>
      <c r="J211" s="84">
        <f t="shared" si="2"/>
        <v>0</v>
      </c>
    </row>
    <row r="212" spans="2:10" hidden="1" x14ac:dyDescent="0.25">
      <c r="B212" s="188"/>
      <c r="C212" s="150"/>
      <c r="D212" s="150"/>
      <c r="E212" s="150"/>
      <c r="F212" s="119"/>
      <c r="G212" s="84"/>
      <c r="H212" s="215"/>
      <c r="I212" s="168"/>
      <c r="J212" s="84">
        <f t="shared" si="2"/>
        <v>0</v>
      </c>
    </row>
    <row r="213" spans="2:10" hidden="1" x14ac:dyDescent="0.25">
      <c r="B213" s="188"/>
      <c r="C213" s="150"/>
      <c r="D213" s="150"/>
      <c r="E213" s="150"/>
      <c r="F213" s="119"/>
      <c r="G213" s="84"/>
      <c r="H213" s="215"/>
      <c r="I213" s="168"/>
      <c r="J213" s="84">
        <f t="shared" si="2"/>
        <v>0</v>
      </c>
    </row>
    <row r="214" spans="2:10" hidden="1" x14ac:dyDescent="0.25">
      <c r="B214" s="188"/>
      <c r="C214" s="150"/>
      <c r="D214" s="150"/>
      <c r="E214" s="150"/>
      <c r="F214" s="119"/>
      <c r="G214" s="84"/>
      <c r="H214" s="215"/>
      <c r="I214" s="168"/>
      <c r="J214" s="84">
        <f t="shared" si="2"/>
        <v>0</v>
      </c>
    </row>
    <row r="215" spans="2:10" hidden="1" x14ac:dyDescent="0.25">
      <c r="B215" s="188"/>
      <c r="C215" s="150"/>
      <c r="D215" s="150"/>
      <c r="E215" s="150"/>
      <c r="F215" s="119"/>
      <c r="G215" s="84"/>
      <c r="H215" s="215"/>
      <c r="I215" s="168"/>
      <c r="J215" s="84">
        <f t="shared" si="2"/>
        <v>0</v>
      </c>
    </row>
    <row r="216" spans="2:10" hidden="1" x14ac:dyDescent="0.25">
      <c r="B216" s="188"/>
      <c r="C216" s="150"/>
      <c r="D216" s="150"/>
      <c r="E216" s="150"/>
      <c r="F216" s="119"/>
      <c r="G216" s="84"/>
      <c r="H216" s="215"/>
      <c r="I216" s="168"/>
      <c r="J216" s="84">
        <f t="shared" si="2"/>
        <v>0</v>
      </c>
    </row>
    <row r="217" spans="2:10" hidden="1" x14ac:dyDescent="0.25">
      <c r="B217" s="188"/>
      <c r="C217" s="150"/>
      <c r="D217" s="150"/>
      <c r="E217" s="150"/>
      <c r="F217" s="119"/>
      <c r="G217" s="84"/>
      <c r="H217" s="215"/>
      <c r="I217" s="168"/>
      <c r="J217" s="84">
        <f t="shared" si="2"/>
        <v>0</v>
      </c>
    </row>
    <row r="218" spans="2:10" hidden="1" x14ac:dyDescent="0.25">
      <c r="B218" s="188"/>
      <c r="C218" s="150"/>
      <c r="D218" s="150"/>
      <c r="E218" s="150"/>
      <c r="F218" s="119"/>
      <c r="G218" s="84"/>
      <c r="H218" s="215"/>
      <c r="I218" s="168"/>
      <c r="J218" s="84">
        <f t="shared" si="2"/>
        <v>0</v>
      </c>
    </row>
    <row r="219" spans="2:10" hidden="1" x14ac:dyDescent="0.25">
      <c r="B219" s="204"/>
      <c r="C219" s="150"/>
      <c r="D219" s="150"/>
      <c r="E219" s="150"/>
      <c r="F219" s="119"/>
      <c r="G219" s="168"/>
      <c r="H219" s="215"/>
      <c r="I219" s="168"/>
      <c r="J219" s="84">
        <f t="shared" si="2"/>
        <v>0</v>
      </c>
    </row>
    <row r="220" spans="2:10" hidden="1" x14ac:dyDescent="0.25">
      <c r="B220" s="204"/>
      <c r="C220" s="150"/>
      <c r="D220" s="150"/>
      <c r="E220" s="150"/>
      <c r="F220" s="119"/>
      <c r="G220" s="168"/>
      <c r="H220" s="215"/>
      <c r="I220" s="168"/>
      <c r="J220" s="84">
        <f t="shared" si="2"/>
        <v>0</v>
      </c>
    </row>
    <row r="221" spans="2:10" hidden="1" x14ac:dyDescent="0.25">
      <c r="B221" s="204"/>
      <c r="C221" s="150"/>
      <c r="D221" s="150"/>
      <c r="E221" s="150"/>
      <c r="F221" s="119"/>
      <c r="G221" s="168"/>
      <c r="H221" s="215"/>
      <c r="I221" s="168"/>
      <c r="J221" s="84">
        <f t="shared" si="2"/>
        <v>0</v>
      </c>
    </row>
    <row r="222" spans="2:10" hidden="1" x14ac:dyDescent="0.25">
      <c r="B222" s="188"/>
      <c r="C222" s="150"/>
      <c r="D222" s="150"/>
      <c r="E222" s="150"/>
      <c r="F222" s="119"/>
      <c r="G222" s="168"/>
      <c r="H222" s="215"/>
      <c r="I222" s="168"/>
      <c r="J222" s="84">
        <f t="shared" si="2"/>
        <v>0</v>
      </c>
    </row>
    <row r="223" spans="2:10" hidden="1" x14ac:dyDescent="0.25">
      <c r="B223" s="188"/>
      <c r="C223" s="150"/>
      <c r="D223" s="150"/>
      <c r="E223" s="150"/>
      <c r="F223" s="119"/>
      <c r="G223" s="168"/>
      <c r="H223" s="215"/>
      <c r="I223" s="168"/>
      <c r="J223" s="84">
        <f t="shared" si="2"/>
        <v>0</v>
      </c>
    </row>
    <row r="224" spans="2:10" hidden="1" x14ac:dyDescent="0.25">
      <c r="B224" s="188"/>
      <c r="C224" s="150"/>
      <c r="D224" s="150"/>
      <c r="E224" s="150"/>
      <c r="F224" s="119"/>
      <c r="G224" s="84"/>
      <c r="H224" s="215"/>
      <c r="I224" s="168"/>
      <c r="J224" s="84">
        <f t="shared" si="2"/>
        <v>0</v>
      </c>
    </row>
    <row r="225" spans="2:10" hidden="1" x14ac:dyDescent="0.25">
      <c r="B225" s="188"/>
      <c r="C225" s="150"/>
      <c r="D225" s="150"/>
      <c r="E225" s="150"/>
      <c r="F225" s="119"/>
      <c r="G225" s="84"/>
      <c r="H225" s="215"/>
      <c r="I225" s="168"/>
      <c r="J225" s="84">
        <f t="shared" si="2"/>
        <v>0</v>
      </c>
    </row>
    <row r="226" spans="2:10" hidden="1" x14ac:dyDescent="0.25">
      <c r="B226" s="188"/>
      <c r="C226" s="150"/>
      <c r="D226" s="150"/>
      <c r="E226" s="150"/>
      <c r="F226" s="119"/>
      <c r="G226" s="84"/>
      <c r="H226" s="215"/>
      <c r="I226" s="168"/>
      <c r="J226" s="84">
        <f t="shared" si="2"/>
        <v>0</v>
      </c>
    </row>
    <row r="227" spans="2:10" hidden="1" x14ac:dyDescent="0.25">
      <c r="B227" s="188"/>
      <c r="C227" s="150"/>
      <c r="D227" s="150"/>
      <c r="E227" s="150"/>
      <c r="F227" s="119"/>
      <c r="G227" s="84"/>
      <c r="H227" s="215"/>
      <c r="I227" s="168"/>
      <c r="J227" s="84">
        <f t="shared" si="2"/>
        <v>0</v>
      </c>
    </row>
    <row r="228" spans="2:10" hidden="1" x14ac:dyDescent="0.25">
      <c r="B228" s="188"/>
      <c r="C228" s="150"/>
      <c r="D228" s="150"/>
      <c r="E228" s="150"/>
      <c r="F228" s="119"/>
      <c r="G228" s="84"/>
      <c r="H228" s="215"/>
      <c r="I228" s="168"/>
      <c r="J228" s="84">
        <f t="shared" si="2"/>
        <v>0</v>
      </c>
    </row>
    <row r="229" spans="2:10" hidden="1" x14ac:dyDescent="0.25">
      <c r="B229" s="188"/>
      <c r="C229" s="150"/>
      <c r="D229" s="150"/>
      <c r="E229" s="150"/>
      <c r="F229" s="119"/>
      <c r="G229" s="84"/>
      <c r="H229" s="215"/>
      <c r="I229" s="168"/>
      <c r="J229" s="84">
        <f t="shared" si="2"/>
        <v>0</v>
      </c>
    </row>
    <row r="230" spans="2:10" hidden="1" x14ac:dyDescent="0.25">
      <c r="B230" s="188"/>
      <c r="C230" s="150"/>
      <c r="D230" s="150"/>
      <c r="E230" s="150"/>
      <c r="F230" s="119"/>
      <c r="G230" s="84"/>
      <c r="H230" s="215"/>
      <c r="I230" s="168"/>
      <c r="J230" s="84">
        <f t="shared" si="2"/>
        <v>0</v>
      </c>
    </row>
    <row r="231" spans="2:10" hidden="1" x14ac:dyDescent="0.25">
      <c r="B231" s="188"/>
      <c r="C231" s="70"/>
      <c r="D231" s="70"/>
      <c r="E231" s="70"/>
      <c r="F231" s="119"/>
      <c r="G231" s="84"/>
      <c r="H231" s="215"/>
      <c r="I231" s="168"/>
      <c r="J231" s="84">
        <f t="shared" si="2"/>
        <v>0</v>
      </c>
    </row>
    <row r="232" spans="2:10" hidden="1" x14ac:dyDescent="0.25">
      <c r="B232" s="188"/>
      <c r="C232" s="70"/>
      <c r="D232" s="70"/>
      <c r="E232" s="70"/>
      <c r="F232" s="119"/>
      <c r="G232" s="84"/>
      <c r="H232" s="215"/>
      <c r="I232" s="168"/>
      <c r="J232" s="84">
        <f t="shared" si="2"/>
        <v>0</v>
      </c>
    </row>
    <row r="233" spans="2:10" hidden="1" x14ac:dyDescent="0.25">
      <c r="B233" s="188"/>
      <c r="C233" s="70"/>
      <c r="D233" s="70"/>
      <c r="E233" s="70"/>
      <c r="F233" s="119"/>
      <c r="G233" s="84"/>
      <c r="H233" s="215"/>
      <c r="I233" s="168"/>
      <c r="J233" s="84">
        <f t="shared" si="2"/>
        <v>0</v>
      </c>
    </row>
    <row r="234" spans="2:10" hidden="1" x14ac:dyDescent="0.25">
      <c r="B234" s="188"/>
      <c r="C234" s="70"/>
      <c r="D234" s="70"/>
      <c r="E234" s="70"/>
      <c r="F234" s="119"/>
      <c r="G234" s="84"/>
      <c r="H234" s="215"/>
      <c r="I234" s="168"/>
      <c r="J234" s="84">
        <f t="shared" si="2"/>
        <v>0</v>
      </c>
    </row>
    <row r="235" spans="2:10" hidden="1" x14ac:dyDescent="0.25">
      <c r="B235" s="188"/>
      <c r="C235" s="70"/>
      <c r="D235" s="70"/>
      <c r="E235" s="70"/>
      <c r="F235" s="119"/>
      <c r="G235" s="84"/>
      <c r="H235" s="215"/>
      <c r="I235" s="168"/>
      <c r="J235" s="84">
        <f t="shared" si="2"/>
        <v>0</v>
      </c>
    </row>
    <row r="236" spans="2:10" hidden="1" x14ac:dyDescent="0.25">
      <c r="B236" s="188"/>
      <c r="C236" s="70"/>
      <c r="D236" s="70"/>
      <c r="E236" s="70"/>
      <c r="F236" s="119"/>
      <c r="G236" s="168"/>
      <c r="H236" s="215"/>
      <c r="I236" s="168"/>
      <c r="J236" s="84">
        <f t="shared" si="2"/>
        <v>0</v>
      </c>
    </row>
    <row r="237" spans="2:10" hidden="1" x14ac:dyDescent="0.25">
      <c r="B237" s="191"/>
      <c r="C237" s="70"/>
      <c r="D237" s="70"/>
      <c r="E237" s="70"/>
      <c r="F237" s="119"/>
      <c r="G237" s="84"/>
      <c r="H237" s="215"/>
      <c r="I237" s="168"/>
      <c r="J237" s="84">
        <f t="shared" si="2"/>
        <v>0</v>
      </c>
    </row>
    <row r="238" spans="2:10" hidden="1" x14ac:dyDescent="0.25">
      <c r="B238" s="191"/>
      <c r="C238" s="70"/>
      <c r="D238" s="70"/>
      <c r="E238" s="70"/>
      <c r="F238" s="119"/>
      <c r="G238" s="84"/>
      <c r="H238" s="215"/>
      <c r="I238" s="168"/>
      <c r="J238" s="84">
        <f t="shared" si="2"/>
        <v>0</v>
      </c>
    </row>
    <row r="239" spans="2:10" hidden="1" x14ac:dyDescent="0.25">
      <c r="B239" s="191"/>
      <c r="C239" s="70"/>
      <c r="D239" s="70"/>
      <c r="E239" s="70"/>
      <c r="F239" s="119"/>
      <c r="G239" s="84"/>
      <c r="H239" s="215"/>
      <c r="I239" s="168"/>
      <c r="J239" s="84">
        <f t="shared" si="2"/>
        <v>0</v>
      </c>
    </row>
    <row r="240" spans="2:10" hidden="1" x14ac:dyDescent="0.25">
      <c r="B240" s="191"/>
      <c r="C240" s="70"/>
      <c r="D240" s="70"/>
      <c r="E240" s="70"/>
      <c r="F240" s="119"/>
      <c r="G240" s="84"/>
      <c r="H240" s="215"/>
      <c r="I240" s="168"/>
      <c r="J240" s="84">
        <f t="shared" si="2"/>
        <v>0</v>
      </c>
    </row>
    <row r="241" spans="2:10" hidden="1" x14ac:dyDescent="0.25">
      <c r="B241" s="191"/>
      <c r="C241" s="70"/>
      <c r="D241" s="70"/>
      <c r="E241" s="70"/>
      <c r="F241" s="119"/>
      <c r="G241" s="84"/>
      <c r="H241" s="215"/>
      <c r="I241" s="168"/>
      <c r="J241" s="84">
        <f t="shared" si="2"/>
        <v>0</v>
      </c>
    </row>
    <row r="242" spans="2:10" hidden="1" x14ac:dyDescent="0.25">
      <c r="B242" s="191"/>
      <c r="C242" s="70"/>
      <c r="D242" s="70"/>
      <c r="E242" s="70"/>
      <c r="F242" s="119"/>
      <c r="G242" s="84"/>
      <c r="H242" s="215"/>
      <c r="I242" s="168"/>
      <c r="J242" s="84">
        <f t="shared" si="2"/>
        <v>0</v>
      </c>
    </row>
    <row r="243" spans="2:10" hidden="1" x14ac:dyDescent="0.25">
      <c r="B243" s="191"/>
      <c r="C243" s="70"/>
      <c r="D243" s="70"/>
      <c r="E243" s="70"/>
      <c r="F243" s="119"/>
      <c r="G243" s="84"/>
      <c r="H243" s="215"/>
      <c r="I243" s="168"/>
      <c r="J243" s="84">
        <f t="shared" si="2"/>
        <v>0</v>
      </c>
    </row>
    <row r="244" spans="2:10" hidden="1" x14ac:dyDescent="0.25">
      <c r="B244" s="191"/>
      <c r="C244" s="70"/>
      <c r="D244" s="70"/>
      <c r="E244" s="70"/>
      <c r="F244" s="119"/>
      <c r="G244" s="84"/>
      <c r="H244" s="215"/>
      <c r="I244" s="168"/>
      <c r="J244" s="84">
        <f t="shared" si="2"/>
        <v>0</v>
      </c>
    </row>
    <row r="245" spans="2:10" hidden="1" x14ac:dyDescent="0.25">
      <c r="B245" s="191"/>
      <c r="C245" s="70"/>
      <c r="D245" s="70"/>
      <c r="E245" s="70"/>
      <c r="F245" s="119"/>
      <c r="G245" s="84"/>
      <c r="H245" s="215"/>
      <c r="I245" s="168"/>
      <c r="J245" s="84">
        <f t="shared" si="2"/>
        <v>0</v>
      </c>
    </row>
    <row r="246" spans="2:10" hidden="1" x14ac:dyDescent="0.25">
      <c r="B246" s="191"/>
      <c r="C246" s="70"/>
      <c r="D246" s="70"/>
      <c r="E246" s="70"/>
      <c r="F246" s="119"/>
      <c r="G246" s="84"/>
      <c r="H246" s="215"/>
      <c r="I246" s="168"/>
      <c r="J246" s="84">
        <f t="shared" si="2"/>
        <v>0</v>
      </c>
    </row>
    <row r="247" spans="2:10" hidden="1" x14ac:dyDescent="0.25">
      <c r="B247" s="191"/>
      <c r="C247" s="70"/>
      <c r="D247" s="70"/>
      <c r="E247" s="70"/>
      <c r="F247" s="119"/>
      <c r="G247" s="84"/>
      <c r="H247" s="215"/>
      <c r="I247" s="168"/>
      <c r="J247" s="84">
        <f t="shared" si="2"/>
        <v>0</v>
      </c>
    </row>
    <row r="248" spans="2:10" hidden="1" x14ac:dyDescent="0.25">
      <c r="B248" s="191"/>
      <c r="C248" s="70"/>
      <c r="D248" s="70"/>
      <c r="E248" s="70"/>
      <c r="F248" s="119"/>
      <c r="G248" s="84"/>
      <c r="H248" s="215"/>
      <c r="I248" s="168"/>
      <c r="J248" s="84">
        <f t="shared" si="2"/>
        <v>0</v>
      </c>
    </row>
    <row r="249" spans="2:10" hidden="1" x14ac:dyDescent="0.25">
      <c r="B249" s="191"/>
      <c r="C249" s="70"/>
      <c r="D249" s="70"/>
      <c r="E249" s="70"/>
      <c r="F249" s="119"/>
      <c r="G249" s="84"/>
      <c r="H249" s="215"/>
      <c r="I249" s="168"/>
      <c r="J249" s="84">
        <f t="shared" si="2"/>
        <v>0</v>
      </c>
    </row>
    <row r="250" spans="2:10" hidden="1" x14ac:dyDescent="0.25">
      <c r="B250" s="191"/>
      <c r="C250" s="70"/>
      <c r="D250" s="70"/>
      <c r="E250" s="70"/>
      <c r="F250" s="119"/>
      <c r="G250" s="84"/>
      <c r="H250" s="215"/>
      <c r="I250" s="168"/>
      <c r="J250" s="84">
        <f t="shared" si="2"/>
        <v>0</v>
      </c>
    </row>
    <row r="251" spans="2:10" hidden="1" x14ac:dyDescent="0.25">
      <c r="B251" s="191"/>
      <c r="C251" s="70"/>
      <c r="D251" s="70"/>
      <c r="E251" s="70"/>
      <c r="F251" s="119"/>
      <c r="G251" s="84"/>
      <c r="H251" s="215"/>
      <c r="I251" s="168"/>
      <c r="J251" s="84">
        <f t="shared" si="2"/>
        <v>0</v>
      </c>
    </row>
    <row r="252" spans="2:10" hidden="1" x14ac:dyDescent="0.25">
      <c r="B252" s="191"/>
      <c r="C252" s="70"/>
      <c r="D252" s="70"/>
      <c r="E252" s="70"/>
      <c r="F252" s="119"/>
      <c r="G252" s="84"/>
      <c r="H252" s="215"/>
      <c r="I252" s="168"/>
      <c r="J252" s="84">
        <f t="shared" si="2"/>
        <v>0</v>
      </c>
    </row>
    <row r="253" spans="2:10" hidden="1" x14ac:dyDescent="0.25">
      <c r="B253" s="191"/>
      <c r="C253" s="70"/>
      <c r="D253" s="70"/>
      <c r="E253" s="70"/>
      <c r="F253" s="119"/>
      <c r="G253" s="84"/>
      <c r="H253" s="215"/>
      <c r="I253" s="168"/>
      <c r="J253" s="84">
        <f t="shared" si="2"/>
        <v>0</v>
      </c>
    </row>
    <row r="254" spans="2:10" hidden="1" x14ac:dyDescent="0.25">
      <c r="B254" s="191"/>
      <c r="C254" s="70"/>
      <c r="D254" s="70"/>
      <c r="E254" s="70"/>
      <c r="F254" s="119"/>
      <c r="G254" s="84"/>
      <c r="H254" s="215"/>
      <c r="I254" s="168"/>
      <c r="J254" s="84">
        <f t="shared" si="2"/>
        <v>0</v>
      </c>
    </row>
    <row r="255" spans="2:10" hidden="1" x14ac:dyDescent="0.25">
      <c r="B255" s="191"/>
      <c r="C255" s="70"/>
      <c r="D255" s="70"/>
      <c r="E255" s="70"/>
      <c r="F255" s="119"/>
      <c r="G255" s="84"/>
      <c r="H255" s="215"/>
      <c r="I255" s="168"/>
      <c r="J255" s="84">
        <f t="shared" si="2"/>
        <v>0</v>
      </c>
    </row>
    <row r="256" spans="2:10" hidden="1" x14ac:dyDescent="0.25">
      <c r="B256" s="191"/>
      <c r="C256" s="70"/>
      <c r="D256" s="70"/>
      <c r="E256" s="70"/>
      <c r="F256" s="119"/>
      <c r="G256" s="84"/>
      <c r="H256" s="215"/>
      <c r="I256" s="168"/>
      <c r="J256" s="84">
        <f t="shared" si="2"/>
        <v>0</v>
      </c>
    </row>
    <row r="257" spans="2:12" hidden="1" x14ac:dyDescent="0.25">
      <c r="B257" s="191"/>
      <c r="C257" s="70"/>
      <c r="D257" s="70"/>
      <c r="E257" s="70"/>
      <c r="F257" s="119"/>
      <c r="G257" s="84"/>
      <c r="H257" s="215"/>
      <c r="I257" s="168"/>
      <c r="J257" s="84">
        <f t="shared" si="2"/>
        <v>0</v>
      </c>
      <c r="L257" s="166"/>
    </row>
    <row r="258" spans="2:12" hidden="1" x14ac:dyDescent="0.25">
      <c r="B258" s="191"/>
      <c r="C258" s="70"/>
      <c r="D258" s="70"/>
      <c r="E258" s="70"/>
      <c r="F258" s="119"/>
      <c r="G258" s="84"/>
      <c r="H258" s="215"/>
      <c r="I258" s="168"/>
      <c r="J258" s="84">
        <f t="shared" si="2"/>
        <v>0</v>
      </c>
      <c r="L258" s="166"/>
    </row>
    <row r="259" spans="2:12" hidden="1" x14ac:dyDescent="0.25">
      <c r="B259" s="191"/>
      <c r="C259" s="70"/>
      <c r="D259" s="70"/>
      <c r="E259" s="70"/>
      <c r="F259" s="119"/>
      <c r="G259" s="84"/>
      <c r="H259" s="215"/>
      <c r="I259" s="168"/>
      <c r="J259" s="84">
        <f t="shared" si="2"/>
        <v>0</v>
      </c>
      <c r="L259" s="166"/>
    </row>
    <row r="260" spans="2:12" hidden="1" x14ac:dyDescent="0.25">
      <c r="B260" s="191"/>
      <c r="C260" s="70"/>
      <c r="D260" s="70"/>
      <c r="E260" s="70"/>
      <c r="F260" s="119"/>
      <c r="G260" s="84"/>
      <c r="H260" s="215"/>
      <c r="I260" s="168"/>
      <c r="J260" s="84">
        <f t="shared" si="2"/>
        <v>0</v>
      </c>
      <c r="L260" s="166"/>
    </row>
    <row r="261" spans="2:12" hidden="1" x14ac:dyDescent="0.25">
      <c r="B261" s="204"/>
      <c r="C261" s="70"/>
      <c r="D261" s="70"/>
      <c r="E261" s="70"/>
      <c r="F261" s="119"/>
      <c r="G261" s="84"/>
      <c r="H261" s="215"/>
      <c r="I261" s="168"/>
      <c r="J261" s="84">
        <f t="shared" si="2"/>
        <v>0</v>
      </c>
      <c r="L261" s="166"/>
    </row>
    <row r="262" spans="2:12" hidden="1" x14ac:dyDescent="0.25">
      <c r="B262" s="204"/>
      <c r="C262" s="70"/>
      <c r="D262" s="70"/>
      <c r="E262" s="70"/>
      <c r="F262" s="119"/>
      <c r="G262" s="84"/>
      <c r="H262" s="215"/>
      <c r="I262" s="168"/>
      <c r="J262" s="84">
        <f t="shared" si="2"/>
        <v>0</v>
      </c>
      <c r="L262" s="166"/>
    </row>
    <row r="263" spans="2:12" hidden="1" x14ac:dyDescent="0.25">
      <c r="B263" s="204"/>
      <c r="C263" s="70"/>
      <c r="D263" s="70"/>
      <c r="E263" s="70"/>
      <c r="F263" s="119"/>
      <c r="G263" s="84"/>
      <c r="H263" s="215"/>
      <c r="I263" s="168"/>
      <c r="J263" s="84">
        <f t="shared" si="2"/>
        <v>0</v>
      </c>
    </row>
    <row r="264" spans="2:12" hidden="1" x14ac:dyDescent="0.25">
      <c r="B264" s="191"/>
      <c r="C264" s="70"/>
      <c r="D264" s="70"/>
      <c r="E264" s="70"/>
      <c r="F264" s="119"/>
      <c r="G264" s="84"/>
      <c r="H264" s="215"/>
      <c r="I264" s="168"/>
      <c r="J264" s="84">
        <f t="shared" si="2"/>
        <v>0</v>
      </c>
    </row>
    <row r="265" spans="2:12" hidden="1" x14ac:dyDescent="0.25">
      <c r="B265" s="191"/>
      <c r="C265" s="70"/>
      <c r="D265" s="70"/>
      <c r="E265" s="70"/>
      <c r="F265" s="119"/>
      <c r="G265" s="84"/>
      <c r="H265" s="215"/>
      <c r="I265" s="168"/>
      <c r="J265" s="84">
        <f t="shared" si="2"/>
        <v>0</v>
      </c>
    </row>
    <row r="266" spans="2:12" hidden="1" x14ac:dyDescent="0.25">
      <c r="B266" s="191"/>
      <c r="C266" s="70"/>
      <c r="D266" s="70"/>
      <c r="E266" s="70"/>
      <c r="F266" s="119"/>
      <c r="G266" s="84"/>
      <c r="H266" s="215"/>
      <c r="I266" s="168"/>
      <c r="J266" s="84">
        <f t="shared" si="2"/>
        <v>0</v>
      </c>
    </row>
    <row r="267" spans="2:12" hidden="1" x14ac:dyDescent="0.25">
      <c r="B267" s="191"/>
      <c r="C267" s="70"/>
      <c r="D267" s="70"/>
      <c r="E267" s="70"/>
      <c r="F267" s="119"/>
      <c r="G267" s="84"/>
      <c r="H267" s="215"/>
      <c r="I267" s="168"/>
      <c r="J267" s="84">
        <f t="shared" si="2"/>
        <v>0</v>
      </c>
    </row>
    <row r="268" spans="2:12" hidden="1" x14ac:dyDescent="0.25">
      <c r="B268" s="191"/>
      <c r="C268" s="70"/>
      <c r="D268" s="70"/>
      <c r="E268" s="70"/>
      <c r="F268" s="119"/>
      <c r="G268" s="84"/>
      <c r="H268" s="215"/>
      <c r="I268" s="168"/>
      <c r="J268" s="84">
        <f t="shared" si="2"/>
        <v>0</v>
      </c>
    </row>
    <row r="269" spans="2:12" hidden="1" x14ac:dyDescent="0.25">
      <c r="B269" s="191"/>
      <c r="C269" s="70"/>
      <c r="D269" s="70"/>
      <c r="E269" s="70"/>
      <c r="F269" s="119"/>
      <c r="G269" s="84"/>
      <c r="H269" s="215"/>
      <c r="I269" s="168"/>
      <c r="J269" s="84">
        <f t="shared" si="2"/>
        <v>0</v>
      </c>
    </row>
    <row r="270" spans="2:12" hidden="1" x14ac:dyDescent="0.25">
      <c r="B270" s="191"/>
      <c r="C270" s="70"/>
      <c r="D270" s="70"/>
      <c r="E270" s="70"/>
      <c r="F270" s="119"/>
      <c r="G270" s="84"/>
      <c r="H270" s="215"/>
      <c r="I270" s="168"/>
      <c r="J270" s="84">
        <f t="shared" si="2"/>
        <v>0</v>
      </c>
    </row>
    <row r="271" spans="2:12" hidden="1" x14ac:dyDescent="0.25">
      <c r="B271" s="191"/>
      <c r="C271" s="70"/>
      <c r="D271" s="70"/>
      <c r="E271" s="70"/>
      <c r="F271" s="119"/>
      <c r="G271" s="84"/>
      <c r="H271" s="215"/>
      <c r="I271" s="168"/>
      <c r="J271" s="84">
        <f t="shared" si="2"/>
        <v>0</v>
      </c>
    </row>
    <row r="272" spans="2:12" hidden="1" x14ac:dyDescent="0.25">
      <c r="B272" s="204"/>
      <c r="C272" s="70"/>
      <c r="D272" s="70"/>
      <c r="E272" s="70"/>
      <c r="F272" s="119"/>
      <c r="G272" s="84"/>
      <c r="H272" s="215"/>
      <c r="I272" s="168"/>
      <c r="J272" s="84">
        <f t="shared" si="2"/>
        <v>0</v>
      </c>
    </row>
    <row r="273" spans="2:10" hidden="1" x14ac:dyDescent="0.25">
      <c r="B273" s="204"/>
      <c r="C273" s="70"/>
      <c r="D273" s="70"/>
      <c r="E273" s="70"/>
      <c r="F273" s="119"/>
      <c r="G273" s="84"/>
      <c r="H273" s="215"/>
      <c r="I273" s="168"/>
      <c r="J273" s="84">
        <f t="shared" si="2"/>
        <v>0</v>
      </c>
    </row>
    <row r="274" spans="2:10" hidden="1" x14ac:dyDescent="0.25">
      <c r="B274" s="204"/>
      <c r="C274" s="70"/>
      <c r="D274" s="70"/>
      <c r="E274" s="70"/>
      <c r="F274" s="119"/>
      <c r="G274" s="84"/>
      <c r="H274" s="215"/>
      <c r="I274" s="168"/>
      <c r="J274" s="84">
        <f t="shared" si="2"/>
        <v>0</v>
      </c>
    </row>
    <row r="275" spans="2:10" hidden="1" x14ac:dyDescent="0.25">
      <c r="B275" s="204"/>
      <c r="C275" s="70"/>
      <c r="D275" s="70"/>
      <c r="E275" s="70"/>
      <c r="F275" s="119"/>
      <c r="G275" s="84"/>
      <c r="H275" s="215"/>
      <c r="I275" s="168"/>
      <c r="J275" s="84">
        <f t="shared" si="2"/>
        <v>0</v>
      </c>
    </row>
    <row r="276" spans="2:10" hidden="1" x14ac:dyDescent="0.25">
      <c r="B276" s="204"/>
      <c r="C276" s="70"/>
      <c r="D276" s="70"/>
      <c r="E276" s="70"/>
      <c r="F276" s="119"/>
      <c r="G276" s="84"/>
      <c r="H276" s="215"/>
      <c r="I276" s="168"/>
      <c r="J276" s="84">
        <f t="shared" si="2"/>
        <v>0</v>
      </c>
    </row>
    <row r="277" spans="2:10" hidden="1" x14ac:dyDescent="0.25">
      <c r="B277" s="204"/>
      <c r="C277" s="70"/>
      <c r="D277" s="70"/>
      <c r="E277" s="70"/>
      <c r="F277" s="119"/>
      <c r="G277" s="84"/>
      <c r="H277" s="215"/>
      <c r="I277" s="168"/>
      <c r="J277" s="84">
        <f t="shared" si="2"/>
        <v>0</v>
      </c>
    </row>
    <row r="278" spans="2:10" hidden="1" x14ac:dyDescent="0.25">
      <c r="B278" s="204"/>
      <c r="C278" s="70"/>
      <c r="D278" s="70"/>
      <c r="E278" s="70"/>
      <c r="F278" s="119"/>
      <c r="G278" s="84"/>
      <c r="H278" s="215"/>
      <c r="I278" s="168"/>
      <c r="J278" s="84">
        <f t="shared" si="2"/>
        <v>0</v>
      </c>
    </row>
    <row r="279" spans="2:10" hidden="1" x14ac:dyDescent="0.25">
      <c r="B279" s="204"/>
      <c r="C279" s="70"/>
      <c r="D279" s="70"/>
      <c r="E279" s="70"/>
      <c r="F279" s="119"/>
      <c r="G279" s="84"/>
      <c r="H279" s="215"/>
      <c r="I279" s="168"/>
      <c r="J279" s="84">
        <f t="shared" si="2"/>
        <v>0</v>
      </c>
    </row>
    <row r="280" spans="2:10" hidden="1" x14ac:dyDescent="0.25">
      <c r="B280" s="204"/>
      <c r="C280" s="70"/>
      <c r="D280" s="70"/>
      <c r="E280" s="70"/>
      <c r="F280" s="119"/>
      <c r="G280" s="84"/>
      <c r="H280" s="215"/>
      <c r="I280" s="168"/>
      <c r="J280" s="84">
        <f t="shared" si="2"/>
        <v>0</v>
      </c>
    </row>
    <row r="281" spans="2:10" hidden="1" x14ac:dyDescent="0.25">
      <c r="B281" s="204"/>
      <c r="C281" s="70"/>
      <c r="D281" s="70"/>
      <c r="E281" s="70"/>
      <c r="F281" s="119"/>
      <c r="G281" s="84"/>
      <c r="H281" s="215"/>
      <c r="I281" s="168"/>
      <c r="J281" s="84">
        <f t="shared" si="2"/>
        <v>0</v>
      </c>
    </row>
    <row r="282" spans="2:10" hidden="1" x14ac:dyDescent="0.25">
      <c r="B282" s="204"/>
      <c r="C282" s="70"/>
      <c r="D282" s="70"/>
      <c r="E282" s="70"/>
      <c r="F282" s="119"/>
      <c r="G282" s="84"/>
      <c r="H282" s="215"/>
      <c r="I282" s="168"/>
      <c r="J282" s="84">
        <f t="shared" si="2"/>
        <v>0</v>
      </c>
    </row>
    <row r="283" spans="2:10" hidden="1" x14ac:dyDescent="0.25">
      <c r="B283" s="204"/>
      <c r="C283" s="70"/>
      <c r="D283" s="70"/>
      <c r="E283" s="70"/>
      <c r="F283" s="119"/>
      <c r="G283" s="84"/>
      <c r="H283" s="215"/>
      <c r="I283" s="168"/>
      <c r="J283" s="84">
        <f t="shared" si="2"/>
        <v>0</v>
      </c>
    </row>
    <row r="284" spans="2:10" hidden="1" x14ac:dyDescent="0.25">
      <c r="B284" s="204"/>
      <c r="C284" s="70"/>
      <c r="D284" s="70"/>
      <c r="E284" s="70"/>
      <c r="F284" s="119"/>
      <c r="G284" s="84"/>
      <c r="H284" s="215"/>
      <c r="I284" s="168"/>
      <c r="J284" s="84">
        <f t="shared" si="2"/>
        <v>0</v>
      </c>
    </row>
    <row r="285" spans="2:10" hidden="1" x14ac:dyDescent="0.25">
      <c r="B285" s="204"/>
      <c r="C285" s="70"/>
      <c r="D285" s="70"/>
      <c r="E285" s="70"/>
      <c r="F285" s="119"/>
      <c r="G285" s="84"/>
      <c r="H285" s="215"/>
      <c r="I285" s="168"/>
      <c r="J285" s="84">
        <f t="shared" si="2"/>
        <v>0</v>
      </c>
    </row>
    <row r="286" spans="2:10" hidden="1" x14ac:dyDescent="0.25">
      <c r="B286" s="204"/>
      <c r="C286" s="70"/>
      <c r="D286" s="70"/>
      <c r="E286" s="70"/>
      <c r="F286" s="119"/>
      <c r="G286" s="84"/>
      <c r="H286" s="215"/>
      <c r="I286" s="168"/>
      <c r="J286" s="84">
        <f t="shared" si="2"/>
        <v>0</v>
      </c>
    </row>
    <row r="287" spans="2:10" hidden="1" x14ac:dyDescent="0.25">
      <c r="B287" s="204"/>
      <c r="C287" s="70"/>
      <c r="D287" s="70"/>
      <c r="E287" s="70"/>
      <c r="F287" s="119"/>
      <c r="G287" s="84"/>
      <c r="H287" s="215"/>
      <c r="I287" s="168"/>
      <c r="J287" s="84">
        <f t="shared" si="2"/>
        <v>0</v>
      </c>
    </row>
    <row r="288" spans="2:10" hidden="1" x14ac:dyDescent="0.25">
      <c r="B288" s="192"/>
      <c r="C288" s="70"/>
      <c r="D288" s="70"/>
      <c r="E288" s="70"/>
      <c r="F288" s="119"/>
      <c r="G288" s="84"/>
      <c r="H288" s="215"/>
      <c r="I288" s="168"/>
      <c r="J288" s="84">
        <f t="shared" si="2"/>
        <v>0</v>
      </c>
    </row>
    <row r="289" spans="2:10" hidden="1" x14ac:dyDescent="0.25">
      <c r="B289" s="188"/>
      <c r="C289" s="70"/>
      <c r="D289" s="70"/>
      <c r="E289" s="70"/>
      <c r="F289" s="119"/>
      <c r="G289" s="84"/>
      <c r="H289" s="215"/>
      <c r="I289" s="168"/>
      <c r="J289" s="84">
        <f t="shared" si="2"/>
        <v>0</v>
      </c>
    </row>
    <row r="290" spans="2:10" hidden="1" x14ac:dyDescent="0.25">
      <c r="B290" s="188"/>
      <c r="C290" s="70"/>
      <c r="D290" s="70"/>
      <c r="E290" s="70"/>
      <c r="F290" s="119"/>
      <c r="G290" s="84"/>
      <c r="H290" s="215"/>
      <c r="I290" s="168"/>
      <c r="J290" s="84">
        <f t="shared" si="2"/>
        <v>0</v>
      </c>
    </row>
    <row r="291" spans="2:10" hidden="1" x14ac:dyDescent="0.25">
      <c r="B291" s="188"/>
      <c r="C291" s="70"/>
      <c r="D291" s="70"/>
      <c r="E291" s="70"/>
      <c r="F291" s="119"/>
      <c r="G291" s="84"/>
      <c r="H291" s="215"/>
      <c r="I291" s="84"/>
      <c r="J291" s="84">
        <f t="shared" si="2"/>
        <v>0</v>
      </c>
    </row>
    <row r="292" spans="2:10" hidden="1" x14ac:dyDescent="0.25">
      <c r="B292" s="1"/>
      <c r="C292" s="1"/>
      <c r="D292" s="1"/>
      <c r="E292" s="1"/>
      <c r="F292" s="115"/>
      <c r="G292" s="84"/>
      <c r="H292" s="134"/>
      <c r="I292" s="84"/>
      <c r="J292" s="84">
        <f>SUM(J5:J291)</f>
        <v>2230475.5499999998</v>
      </c>
    </row>
    <row r="295" spans="2:10" x14ac:dyDescent="0.25">
      <c r="J295" s="166"/>
    </row>
    <row r="298" spans="2:10" x14ac:dyDescent="0.25">
      <c r="G298" t="s">
        <v>4</v>
      </c>
    </row>
    <row r="301" spans="2:10" x14ac:dyDescent="0.25">
      <c r="J301" t="s">
        <v>4</v>
      </c>
    </row>
  </sheetData>
  <autoFilter ref="B4:M292" xr:uid="{00000000-0009-0000-0000-000007000000}">
    <filterColumn colId="3">
      <filters>
        <filter val="Aplicación de cebo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357"/>
  <sheetViews>
    <sheetView showGridLines="0" workbookViewId="0">
      <pane ySplit="10" topLeftCell="A77" activePane="bottomLeft" state="frozen"/>
      <selection activeCell="A2" sqref="A2"/>
      <selection pane="bottomLeft" activeCell="Q15" sqref="Q15"/>
    </sheetView>
  </sheetViews>
  <sheetFormatPr baseColWidth="10" defaultColWidth="9.140625" defaultRowHeight="15" x14ac:dyDescent="0.25"/>
  <cols>
    <col min="1" max="1" width="7.140625" customWidth="1"/>
    <col min="2" max="2" width="12.85546875" bestFit="1" customWidth="1"/>
    <col min="3" max="3" width="30.5703125" bestFit="1" customWidth="1"/>
    <col min="4" max="4" width="21.28515625" bestFit="1" customWidth="1"/>
    <col min="5" max="5" width="16.28515625" style="5" bestFit="1" customWidth="1"/>
    <col min="6" max="6" width="15.140625" style="5" bestFit="1" customWidth="1"/>
    <col min="7" max="7" width="9.42578125" style="6" bestFit="1" customWidth="1"/>
    <col min="8" max="8" width="16.28515625" style="5" bestFit="1" customWidth="1"/>
    <col min="9" max="11" width="15.140625" style="5" bestFit="1" customWidth="1"/>
    <col min="12" max="12" width="10" style="5" bestFit="1" customWidth="1"/>
    <col min="13" max="13" width="10" customWidth="1"/>
    <col min="14" max="14" width="10.7109375" bestFit="1" customWidth="1"/>
    <col min="15" max="15" width="15.140625" bestFit="1" customWidth="1"/>
    <col min="16" max="16" width="16.28515625" bestFit="1" customWidth="1"/>
    <col min="17" max="17" width="15.140625" bestFit="1" customWidth="1"/>
    <col min="19" max="19" width="10.7109375" bestFit="1" customWidth="1"/>
  </cols>
  <sheetData>
    <row r="1" spans="2:18" ht="5.25" customHeight="1" x14ac:dyDescent="0.25">
      <c r="B1" s="49"/>
      <c r="C1" s="49"/>
      <c r="D1" s="49"/>
      <c r="E1" s="50"/>
      <c r="F1" s="50"/>
      <c r="G1" s="51"/>
      <c r="H1" s="50"/>
      <c r="I1" s="50"/>
      <c r="J1" s="50"/>
      <c r="K1" s="50"/>
      <c r="L1" s="50"/>
      <c r="M1" s="49"/>
      <c r="N1" s="49"/>
      <c r="O1" s="49"/>
      <c r="P1" s="49"/>
      <c r="Q1" s="49"/>
    </row>
    <row r="2" spans="2:18" ht="26.25" x14ac:dyDescent="0.4">
      <c r="B2" s="247" t="s">
        <v>40</v>
      </c>
      <c r="C2" s="247"/>
    </row>
    <row r="3" spans="2:18" x14ac:dyDescent="0.25">
      <c r="C3" s="11"/>
      <c r="D3" s="11"/>
      <c r="E3" s="12"/>
      <c r="F3" s="12"/>
      <c r="H3" s="243" t="s">
        <v>25</v>
      </c>
      <c r="I3" s="246"/>
      <c r="J3" s="243" t="s">
        <v>17</v>
      </c>
      <c r="K3" s="244"/>
      <c r="L3" s="244"/>
      <c r="O3" s="245" t="s">
        <v>23</v>
      </c>
      <c r="P3" s="245"/>
      <c r="Q3" s="245"/>
    </row>
    <row r="4" spans="2:18" x14ac:dyDescent="0.25">
      <c r="B4" s="41" t="s">
        <v>16</v>
      </c>
      <c r="C4" s="41" t="s">
        <v>6</v>
      </c>
      <c r="D4" s="41" t="s">
        <v>27</v>
      </c>
      <c r="E4" s="41" t="s">
        <v>3</v>
      </c>
      <c r="F4" s="41" t="s">
        <v>15</v>
      </c>
      <c r="G4" s="41" t="s">
        <v>24</v>
      </c>
      <c r="H4" s="41" t="s">
        <v>3</v>
      </c>
      <c r="I4" s="41" t="s">
        <v>15</v>
      </c>
      <c r="J4" s="41" t="s">
        <v>13</v>
      </c>
      <c r="K4" s="41" t="s">
        <v>111</v>
      </c>
      <c r="L4" s="41" t="s">
        <v>15</v>
      </c>
      <c r="O4" s="72" t="s">
        <v>10</v>
      </c>
      <c r="P4" s="72" t="s">
        <v>11</v>
      </c>
      <c r="Q4" s="72" t="s">
        <v>14</v>
      </c>
    </row>
    <row r="5" spans="2:18" x14ac:dyDescent="0.25">
      <c r="B5" s="52">
        <f>IF(Trabajos!B5="","",Trabajos!B5)</f>
        <v>45909</v>
      </c>
      <c r="C5" s="53" t="str">
        <f>IF(Trabajos!F5="","",Trabajos!F5)</f>
        <v>Espartina S.A.</v>
      </c>
      <c r="D5" s="54" t="str">
        <f>IF(Trabajos!D5="","",Trabajos!D5)</f>
        <v>Muestreo de suelos</v>
      </c>
      <c r="E5" s="17">
        <f>IF(Trabajos!J5="","",Trabajos!J5)</f>
        <v>75816.538461520002</v>
      </c>
      <c r="F5" s="17">
        <f>IF(Trabajos!O5="","",Trabajos!O5)</f>
        <v>0</v>
      </c>
      <c r="G5" s="181"/>
      <c r="H5" s="17">
        <f>IF(Trabajos!H5&lt;&gt;"",E5-E5*G5,"")</f>
        <v>75816.538461520002</v>
      </c>
      <c r="I5" s="17">
        <f>IF(Trabajos!H5&lt;&gt;"",F5-F5*G5,"")</f>
        <v>0</v>
      </c>
      <c r="J5" s="16">
        <f>IF(Trabajos!H5&lt;&gt;"",H5*0.55,"")</f>
        <v>41699.096153836006</v>
      </c>
      <c r="K5" s="16">
        <f>IF(Trabajos!H5&lt;&gt;"",H5*0.45,"")</f>
        <v>34117.442307684003</v>
      </c>
      <c r="L5" s="16" t="str">
        <f>IF(Trabajos!L5="","",Trabajos!L5)</f>
        <v>Tomas</v>
      </c>
      <c r="N5" s="41" t="s">
        <v>13</v>
      </c>
      <c r="O5" s="55">
        <f>IFERROR((J349*Referencias!L8),"")</f>
        <v>8404906.4589154031</v>
      </c>
      <c r="P5" s="55">
        <f>IFERROR((J349*Referencias!M8),"")</f>
        <v>13020343.753039032</v>
      </c>
      <c r="Q5" s="55">
        <f>IFERROR((J349*Referencias!N8),"")</f>
        <v>84126215.458377331</v>
      </c>
      <c r="R5" s="2"/>
    </row>
    <row r="6" spans="2:18" x14ac:dyDescent="0.25">
      <c r="B6" s="52">
        <f>IF(Trabajos!B6="","",Trabajos!B6)</f>
        <v>45909</v>
      </c>
      <c r="C6" s="53" t="str">
        <f>IF(Trabajos!F6="","",Trabajos!F6)</f>
        <v>Espartina S.A.</v>
      </c>
      <c r="D6" s="54" t="str">
        <f>IF(Trabajos!D6="","",Trabajos!D6)</f>
        <v>Muestreo de suelos</v>
      </c>
      <c r="E6" s="17">
        <f>IF(Trabajos!J6="","",Trabajos!J6)</f>
        <v>75816.538461520002</v>
      </c>
      <c r="F6" s="17">
        <f>IF(Trabajos!O6="","",Trabajos!O6)</f>
        <v>0</v>
      </c>
      <c r="G6" s="181"/>
      <c r="H6" s="17">
        <f>IF(Trabajos!H6&lt;&gt;"",E6-E6*G6,"")</f>
        <v>75816.538461520002</v>
      </c>
      <c r="I6" s="17">
        <f>IF(Trabajos!H6&lt;&gt;"",F6-F6*G6,"")</f>
        <v>0</v>
      </c>
      <c r="J6" s="16">
        <f>IF(Trabajos!H6&lt;&gt;"",H6*0.55,"")</f>
        <v>41699.096153836006</v>
      </c>
      <c r="K6" s="16">
        <f>IF(Trabajos!H6&lt;&gt;"",H6*0.45,"")</f>
        <v>34117.442307684003</v>
      </c>
      <c r="L6" s="16" t="str">
        <f>IF(Trabajos!L6="","",Trabajos!L6)</f>
        <v>Tomas</v>
      </c>
      <c r="N6" s="41" t="s">
        <v>111</v>
      </c>
      <c r="O6" s="55">
        <f>IFERROR((K349*Referencias!Q7),"")</f>
        <v>43180145.046953902</v>
      </c>
      <c r="P6" s="55">
        <f>IFERROR((K349*Referencias!R7),"")</f>
        <v>43180145.046953902</v>
      </c>
      <c r="Q6" s="2"/>
      <c r="R6" s="2"/>
    </row>
    <row r="7" spans="2:18" x14ac:dyDescent="0.25">
      <c r="B7" s="52">
        <f>IF(Trabajos!B7="","",Trabajos!B7)</f>
        <v>45909</v>
      </c>
      <c r="C7" s="53" t="str">
        <f>IF(Trabajos!F7="","",Trabajos!F7)</f>
        <v>Espartina S.A.</v>
      </c>
      <c r="D7" s="54" t="str">
        <f>IF(Trabajos!D7="","",Trabajos!D7)</f>
        <v>Muestreo de suelos</v>
      </c>
      <c r="E7" s="17">
        <f>IF(Trabajos!J7="","",Trabajos!J7)</f>
        <v>75816.538461520002</v>
      </c>
      <c r="F7" s="17">
        <f>IF(Trabajos!O7="","",Trabajos!O7)</f>
        <v>0</v>
      </c>
      <c r="G7" s="181"/>
      <c r="H7" s="17">
        <f>IF(Trabajos!H7&lt;&gt;"",E7-E7*G7,"")</f>
        <v>75816.538461520002</v>
      </c>
      <c r="I7" s="17">
        <f>IF(Trabajos!H7&lt;&gt;"",F7-F7*G7,"")</f>
        <v>0</v>
      </c>
      <c r="J7" s="16">
        <f>IF(Trabajos!H7&lt;&gt;"",H7*0.55,"")</f>
        <v>41699.096153836006</v>
      </c>
      <c r="K7" s="16">
        <f>IF(Trabajos!H7&lt;&gt;"",H7*0.45,"")</f>
        <v>34117.442307684003</v>
      </c>
      <c r="L7" s="16" t="str">
        <f>IF(Trabajos!L7="","",Trabajos!L7)</f>
        <v>Tomas</v>
      </c>
      <c r="N7" s="41" t="s">
        <v>22</v>
      </c>
      <c r="O7" s="55">
        <f>IFERROR((SUMIF(L5:L219,O4,I5:I219)),"")</f>
        <v>5699856.1500000004</v>
      </c>
      <c r="P7" s="55">
        <f>IFERROR((SUMIF(L5:L219,P4,I5:I219)),"")</f>
        <v>3665508.0380000006</v>
      </c>
      <c r="Q7" s="55">
        <f>IFERROR((SUMIF(L5:L219,Q4,I5:I219)),"")</f>
        <v>8468296.6000000015</v>
      </c>
      <c r="R7" s="2"/>
    </row>
    <row r="8" spans="2:18" x14ac:dyDescent="0.25">
      <c r="B8" s="52">
        <f>IF(Trabajos!B8="","",Trabajos!B8)</f>
        <v>45909</v>
      </c>
      <c r="C8" s="53" t="str">
        <f>IF(Trabajos!F8="","",Trabajos!F8)</f>
        <v>Espartina S.A.</v>
      </c>
      <c r="D8" s="54" t="str">
        <f>IF(Trabajos!D8="","",Trabajos!D8)</f>
        <v>Muestreo de suelos</v>
      </c>
      <c r="E8" s="17">
        <f>IF(Trabajos!J8="","",Trabajos!J8)</f>
        <v>75816.538461520002</v>
      </c>
      <c r="F8" s="17">
        <f>IF(Trabajos!O8="","",Trabajos!O8)</f>
        <v>106002.40000000001</v>
      </c>
      <c r="G8" s="181"/>
      <c r="H8" s="17">
        <f>IF(Trabajos!H8&lt;&gt;"",E8-E8*G8,"")</f>
        <v>75816.538461520002</v>
      </c>
      <c r="I8" s="17">
        <f>IF(Trabajos!H8&lt;&gt;"",F8-F8*G8,"")</f>
        <v>106002.40000000001</v>
      </c>
      <c r="J8" s="16">
        <f>IF(Trabajos!H8&lt;&gt;"",H8*0.55,"")</f>
        <v>41699.096153836006</v>
      </c>
      <c r="K8" s="16">
        <f>IF(Trabajos!H8&lt;&gt;"",H8*0.45,"")</f>
        <v>34117.442307684003</v>
      </c>
      <c r="L8" s="16" t="str">
        <f>IF(Trabajos!L8="","",Trabajos!L8)</f>
        <v>Tomas</v>
      </c>
      <c r="N8" s="41" t="s">
        <v>9</v>
      </c>
      <c r="O8" s="56">
        <f>IFERROR((SUM(O5:O7)+Q5*Referencias!Q7+Q7*Referencias!Q7),"")</f>
        <v>103582163.68505797</v>
      </c>
      <c r="P8" s="56">
        <f>IFERROR((SUM(P5:P7)+Q5*Referencias!R7+Q7*Referencias!R7),"")</f>
        <v>106163252.8671816</v>
      </c>
      <c r="Q8" s="9" t="s">
        <v>4</v>
      </c>
    </row>
    <row r="9" spans="2:18" x14ac:dyDescent="0.25">
      <c r="B9" s="52">
        <f>IF(Trabajos!B9="","",Trabajos!B9)</f>
        <v>45911</v>
      </c>
      <c r="C9" s="53" t="str">
        <f>IF(Trabajos!F9="","",Trabajos!F9)</f>
        <v>Espartina S.A.</v>
      </c>
      <c r="D9" s="54" t="str">
        <f>IF(Trabajos!D9="","",Trabajos!D9)</f>
        <v>Muestreo de suelos</v>
      </c>
      <c r="E9" s="17">
        <f>IF(Trabajos!J9="","",Trabajos!J9)</f>
        <v>75816.538461520002</v>
      </c>
      <c r="F9" s="17">
        <f>IF(Trabajos!O9="","",Trabajos!O9)</f>
        <v>155547</v>
      </c>
      <c r="G9" s="181"/>
      <c r="H9" s="17">
        <f>IF(Trabajos!H9&lt;&gt;"",E9-E9*G9,"")</f>
        <v>75816.538461520002</v>
      </c>
      <c r="I9" s="17">
        <f>IF(Trabajos!H9&lt;&gt;"",F9-F9*G9,"")</f>
        <v>155547</v>
      </c>
      <c r="J9" s="16">
        <f>IF(Trabajos!H9&lt;&gt;"",H9*0.55,"")</f>
        <v>41699.096153836006</v>
      </c>
      <c r="K9" s="16">
        <f>IF(Trabajos!H9&lt;&gt;"",H9*0.45,"")</f>
        <v>34117.442307684003</v>
      </c>
      <c r="L9" s="16" t="str">
        <f>IF(Trabajos!L9="","",Trabajos!L9)</f>
        <v>Tomas</v>
      </c>
      <c r="N9" s="41" t="s">
        <v>20</v>
      </c>
      <c r="O9" s="110">
        <f>IFERROR((O8/(O8+P8)),"")</f>
        <v>0.49384709038092189</v>
      </c>
      <c r="P9" s="110">
        <f>IFERROR((P8/(O8+P8)),"")</f>
        <v>0.50615290961907811</v>
      </c>
      <c r="Q9" s="10" t="s">
        <v>4</v>
      </c>
      <c r="R9" s="2"/>
    </row>
    <row r="10" spans="2:18" x14ac:dyDescent="0.25">
      <c r="B10" s="52">
        <f>IF(Trabajos!B10="","",Trabajos!B10)</f>
        <v>45911</v>
      </c>
      <c r="C10" s="53" t="str">
        <f>IF(Trabajos!F10="","",Trabajos!F10)</f>
        <v>Espartina S.A.</v>
      </c>
      <c r="D10" s="54" t="str">
        <f>IF(Trabajos!D10="","",Trabajos!D10)</f>
        <v>Muestreo de suelos</v>
      </c>
      <c r="E10" s="17">
        <f>IF(Trabajos!J10="","",Trabajos!J10)</f>
        <v>75816.538461520002</v>
      </c>
      <c r="F10" s="17">
        <f>IF(Trabajos!O10="","",Trabajos!O10)</f>
        <v>0</v>
      </c>
      <c r="G10" s="181"/>
      <c r="H10" s="17">
        <f>IF(Trabajos!H10&lt;&gt;"",E10-E10*G10,"")</f>
        <v>75816.538461520002</v>
      </c>
      <c r="I10" s="17">
        <f>IF(Trabajos!H10&lt;&gt;"",F10-F10*G10,"")</f>
        <v>0</v>
      </c>
      <c r="J10" s="16">
        <f>IF(Trabajos!H10&lt;&gt;"",H10*0.55,"")</f>
        <v>41699.096153836006</v>
      </c>
      <c r="K10" s="16">
        <f>IF(Trabajos!H10&lt;&gt;"",H10*0.45,"")</f>
        <v>34117.442307684003</v>
      </c>
      <c r="L10" s="16" t="str">
        <f>IF(Trabajos!L10="","",Trabajos!L10)</f>
        <v>Tomas</v>
      </c>
    </row>
    <row r="11" spans="2:18" x14ac:dyDescent="0.25">
      <c r="B11" s="52">
        <f>IF(Trabajos!B11="","",Trabajos!B11)</f>
        <v>45912</v>
      </c>
      <c r="C11" s="53" t="str">
        <f>IF(Trabajos!F11="","",Trabajos!F11)</f>
        <v>Martin Juarez</v>
      </c>
      <c r="D11" s="54" t="str">
        <f>IF(Trabajos!D11="","",Trabajos!D11)</f>
        <v>Mapeo Dron</v>
      </c>
      <c r="E11" s="17">
        <f>IF(Trabajos!J11="","",Trabajos!J11)</f>
        <v>381290</v>
      </c>
      <c r="F11" s="17">
        <f>IF(Trabajos!O11="","",Trabajos!O11)</f>
        <v>0</v>
      </c>
      <c r="G11" s="181"/>
      <c r="H11" s="17">
        <f>IF(Trabajos!H11&lt;&gt;"",E11-E11*G11,"")</f>
        <v>381290</v>
      </c>
      <c r="I11" s="17">
        <f>IF(Trabajos!H11&lt;&gt;"",F11-F11*G11,"")</f>
        <v>0</v>
      </c>
      <c r="J11" s="16">
        <f>IF(Trabajos!H11&lt;&gt;"",H11*0.55,"")</f>
        <v>209709.50000000003</v>
      </c>
      <c r="K11" s="16">
        <f>IF(Trabajos!H11&lt;&gt;"",H11*0.45,"")</f>
        <v>171580.5</v>
      </c>
      <c r="L11" s="16" t="str">
        <f>IF(Trabajos!L11="","",Trabajos!L11)</f>
        <v>Tomas</v>
      </c>
    </row>
    <row r="12" spans="2:18" x14ac:dyDescent="0.25">
      <c r="B12" s="52">
        <f>IF(Trabajos!B12="","",Trabajos!B12)</f>
        <v>45913</v>
      </c>
      <c r="C12" s="53" t="str">
        <f>IF(Trabajos!F12="","",Trabajos!F12)</f>
        <v>Espartina S.A.</v>
      </c>
      <c r="D12" s="54" t="str">
        <f>IF(Trabajos!D12="","",Trabajos!D12)</f>
        <v>Monitoreo de bb y bab</v>
      </c>
      <c r="E12" s="17">
        <f>IF(Trabajos!J12="","",Trabajos!J12)</f>
        <v>355106.25</v>
      </c>
      <c r="F12" s="17">
        <f>IF(Trabajos!O12="","",Trabajos!O12)</f>
        <v>209700.4</v>
      </c>
      <c r="G12" s="181"/>
      <c r="H12" s="17">
        <f>IF(Trabajos!H12&lt;&gt;"",E12-E12*G12,"")</f>
        <v>355106.25</v>
      </c>
      <c r="I12" s="17">
        <f>IF(Trabajos!H12&lt;&gt;"",F12-F12*G12,"")</f>
        <v>209700.4</v>
      </c>
      <c r="J12" s="16">
        <f>IF(Trabajos!H12&lt;&gt;"",H12*0.55,"")</f>
        <v>195308.43750000003</v>
      </c>
      <c r="K12" s="16">
        <f>IF(Trabajos!H12&lt;&gt;"",H12*0.45,"")</f>
        <v>159797.8125</v>
      </c>
      <c r="L12" s="16" t="str">
        <f>IF(Trabajos!L12="","",Trabajos!L12)</f>
        <v>Tomas</v>
      </c>
      <c r="P12" s="111" t="s">
        <v>4</v>
      </c>
    </row>
    <row r="13" spans="2:18" x14ac:dyDescent="0.25">
      <c r="B13" s="52">
        <f>IF(Trabajos!B13="","",Trabajos!B13)</f>
        <v>45913</v>
      </c>
      <c r="C13" s="53" t="str">
        <f>IF(Trabajos!F13="","",Trabajos!F13)</f>
        <v>Espartina S.A.</v>
      </c>
      <c r="D13" s="54" t="str">
        <f>IF(Trabajos!D13="","",Trabajos!D13)</f>
        <v>Monitoreo de bb y bab</v>
      </c>
      <c r="E13" s="17">
        <f>IF(Trabajos!J13="","",Trabajos!J13)</f>
        <v>574143.75</v>
      </c>
      <c r="F13" s="17">
        <f>IF(Trabajos!O13="","",Trabajos!O13)</f>
        <v>195874</v>
      </c>
      <c r="G13" s="181"/>
      <c r="H13" s="17">
        <f>IF(Trabajos!H13&lt;&gt;"",E13-E13*G13,"")</f>
        <v>574143.75</v>
      </c>
      <c r="I13" s="17">
        <f>IF(Trabajos!H13&lt;&gt;"",F13-F13*G13,"")</f>
        <v>195874</v>
      </c>
      <c r="J13" s="16">
        <f>IF(Trabajos!H13&lt;&gt;"",H13*0.55,"")</f>
        <v>315779.0625</v>
      </c>
      <c r="K13" s="16">
        <f>IF(Trabajos!H13&lt;&gt;"",H13*0.45,"")</f>
        <v>258364.6875</v>
      </c>
      <c r="L13" s="16" t="str">
        <f>IF(Trabajos!L13="","",Trabajos!L13)</f>
        <v>Tomas</v>
      </c>
    </row>
    <row r="14" spans="2:18" x14ac:dyDescent="0.25">
      <c r="B14" s="52">
        <f>IF(Trabajos!B14="","",Trabajos!B14)</f>
        <v>45913</v>
      </c>
      <c r="C14" s="53" t="str">
        <f>IF(Trabajos!F14="","",Trabajos!F14)</f>
        <v>Espartina S.A.</v>
      </c>
      <c r="D14" s="54" t="str">
        <f>IF(Trabajos!D14="","",Trabajos!D14)</f>
        <v>Muestreo de suelos</v>
      </c>
      <c r="E14" s="17">
        <f>IF(Trabajos!J14="","",Trabajos!J14)</f>
        <v>75816.538461520002</v>
      </c>
      <c r="F14" s="17">
        <f>IF(Trabajos!O14="","",Trabajos!O14)</f>
        <v>0</v>
      </c>
      <c r="G14" s="181"/>
      <c r="H14" s="17">
        <f>IF(Trabajos!H14&lt;&gt;"",E14-E14*G14,"")</f>
        <v>75816.538461520002</v>
      </c>
      <c r="I14" s="17">
        <f>IF(Trabajos!H14&lt;&gt;"",F14-F14*G14,"")</f>
        <v>0</v>
      </c>
      <c r="J14" s="16">
        <f>IF(Trabajos!H14&lt;&gt;"",H14*0.55,"")</f>
        <v>41699.096153836006</v>
      </c>
      <c r="K14" s="16">
        <f>IF(Trabajos!H14&lt;&gt;"",H14*0.45,"")</f>
        <v>34117.442307684003</v>
      </c>
      <c r="L14" s="16" t="str">
        <f>IF(Trabajos!L14="","",Trabajos!L14)</f>
        <v>Tomas</v>
      </c>
    </row>
    <row r="15" spans="2:18" x14ac:dyDescent="0.25">
      <c r="B15" s="52">
        <f>IF(Trabajos!B15="","",Trabajos!B15)</f>
        <v>45913</v>
      </c>
      <c r="C15" s="53" t="str">
        <f>IF(Trabajos!F15="","",Trabajos!F15)</f>
        <v>Espartina S.A.</v>
      </c>
      <c r="D15" s="54" t="str">
        <f>IF(Trabajos!D15="","",Trabajos!D15)</f>
        <v>Muestreo de suelos</v>
      </c>
      <c r="E15" s="17">
        <f>IF(Trabajos!J15="","",Trabajos!J15)</f>
        <v>75816.538461520002</v>
      </c>
      <c r="F15" s="17">
        <f>IF(Trabajos!O15="","",Trabajos!O15)</f>
        <v>0</v>
      </c>
      <c r="G15" s="181"/>
      <c r="H15" s="17">
        <f>IF(Trabajos!H15&lt;&gt;"",E15-E15*G15,"")</f>
        <v>75816.538461520002</v>
      </c>
      <c r="I15" s="17">
        <f>IF(Trabajos!H15&lt;&gt;"",F15-F15*G15,"")</f>
        <v>0</v>
      </c>
      <c r="J15" s="16">
        <f>IF(Trabajos!H15&lt;&gt;"",H15*0.55,"")</f>
        <v>41699.096153836006</v>
      </c>
      <c r="K15" s="16">
        <f>IF(Trabajos!H15&lt;&gt;"",H15*0.45,"")</f>
        <v>34117.442307684003</v>
      </c>
      <c r="L15" s="16" t="str">
        <f>IF(Trabajos!L15="","",Trabajos!L15)</f>
        <v>Tomas</v>
      </c>
    </row>
    <row r="16" spans="2:18" x14ac:dyDescent="0.25">
      <c r="B16" s="52">
        <f>IF(Trabajos!B16="","",Trabajos!B16)</f>
        <v>45914</v>
      </c>
      <c r="C16" s="53" t="str">
        <f>IF(Trabajos!F16="","",Trabajos!F16)</f>
        <v>Espartina S.A.</v>
      </c>
      <c r="D16" s="54" t="str">
        <f>IF(Trabajos!D16="","",Trabajos!D16)</f>
        <v>Monitoreo de bb y bab</v>
      </c>
      <c r="E16" s="17">
        <f>IF(Trabajos!J16="","",Trabajos!J16)</f>
        <v>1257806.25</v>
      </c>
      <c r="F16" s="17">
        <f>IF(Trabajos!O16="","",Trabajos!O16)</f>
        <v>99089.2</v>
      </c>
      <c r="G16" s="181"/>
      <c r="H16" s="17">
        <f>IF(Trabajos!H16&lt;&gt;"",E16-E16*G16,"")</f>
        <v>1257806.25</v>
      </c>
      <c r="I16" s="17">
        <f>IF(Trabajos!H16&lt;&gt;"",F16-F16*G16,"")</f>
        <v>99089.2</v>
      </c>
      <c r="J16" s="16">
        <f>IF(Trabajos!H16&lt;&gt;"",H16*0.55,"")</f>
        <v>691793.4375</v>
      </c>
      <c r="K16" s="16">
        <f>IF(Trabajos!H16&lt;&gt;"",H16*0.45,"")</f>
        <v>566012.8125</v>
      </c>
      <c r="L16" s="16" t="str">
        <f>IF(Trabajos!L16="","",Trabajos!L16)</f>
        <v>Tomas</v>
      </c>
    </row>
    <row r="17" spans="2:21" x14ac:dyDescent="0.25">
      <c r="B17" s="52">
        <f>IF(Trabajos!B17="","",Trabajos!B17)</f>
        <v>45914</v>
      </c>
      <c r="C17" s="53" t="str">
        <f>IF(Trabajos!F17="","",Trabajos!F17)</f>
        <v>Espartina S.A.</v>
      </c>
      <c r="D17" s="54" t="str">
        <f>IF(Trabajos!D17="","",Trabajos!D17)</f>
        <v>Muestreo de suelos</v>
      </c>
      <c r="E17" s="17">
        <f>IF(Trabajos!J17="","",Trabajos!J17)</f>
        <v>75816.538461520002</v>
      </c>
      <c r="F17" s="17">
        <f>IF(Trabajos!O17="","",Trabajos!O17)</f>
        <v>0</v>
      </c>
      <c r="G17" s="181"/>
      <c r="H17" s="17">
        <f>IF(Trabajos!H17&lt;&gt;"",E17-E17*G17,"")</f>
        <v>75816.538461520002</v>
      </c>
      <c r="I17" s="17">
        <f>IF(Trabajos!H17&lt;&gt;"",F17-F17*G17,"")</f>
        <v>0</v>
      </c>
      <c r="J17" s="16">
        <f>IF(Trabajos!H17&lt;&gt;"",H17*0.55,"")</f>
        <v>41699.096153836006</v>
      </c>
      <c r="K17" s="16">
        <f>IF(Trabajos!H17&lt;&gt;"",H17*0.45,"")</f>
        <v>34117.442307684003</v>
      </c>
      <c r="L17" s="16" t="str">
        <f>IF(Trabajos!L17="","",Trabajos!L17)</f>
        <v>Tomas</v>
      </c>
    </row>
    <row r="18" spans="2:21" x14ac:dyDescent="0.25">
      <c r="B18" s="52">
        <f>IF(Trabajos!B18="","",Trabajos!B18)</f>
        <v>45915</v>
      </c>
      <c r="C18" s="53" t="str">
        <f>IF(Trabajos!F18="","",Trabajos!F18)</f>
        <v>Espartina S.A.</v>
      </c>
      <c r="D18" s="54" t="str">
        <f>IF(Trabajos!D18="","",Trabajos!D18)</f>
        <v>Monitoreo de bb y bab</v>
      </c>
      <c r="E18" s="17">
        <f>IF(Trabajos!J18="","",Trabajos!J18)</f>
        <v>756675</v>
      </c>
      <c r="F18" s="17">
        <f>IF(Trabajos!O18="","",Trabajos!O18)</f>
        <v>188960.80000000002</v>
      </c>
      <c r="G18" s="181"/>
      <c r="H18" s="17">
        <f>IF(Trabajos!H18&lt;&gt;"",E18-E18*G18,"")</f>
        <v>756675</v>
      </c>
      <c r="I18" s="17">
        <f>IF(Trabajos!H18&lt;&gt;"",F18-F18*G18,"")</f>
        <v>188960.80000000002</v>
      </c>
      <c r="J18" s="16">
        <f>IF(Trabajos!H18&lt;&gt;"",H18*0.55,"")</f>
        <v>416171.25000000006</v>
      </c>
      <c r="K18" s="16">
        <f>IF(Trabajos!H18&lt;&gt;"",H18*0.45,"")</f>
        <v>340503.75</v>
      </c>
      <c r="L18" s="16" t="str">
        <f>IF(Trabajos!L18="","",Trabajos!L18)</f>
        <v>Tomas</v>
      </c>
      <c r="U18" t="s">
        <v>4</v>
      </c>
    </row>
    <row r="19" spans="2:21" x14ac:dyDescent="0.25">
      <c r="B19" s="52">
        <f>IF(Trabajos!B19="","",Trabajos!B19)</f>
        <v>45915</v>
      </c>
      <c r="C19" s="53" t="str">
        <f>IF(Trabajos!F19="","",Trabajos!F19)</f>
        <v>Espartina S.A.</v>
      </c>
      <c r="D19" s="54" t="str">
        <f>IF(Trabajos!D19="","",Trabajos!D19)</f>
        <v>Muestreo de suelos</v>
      </c>
      <c r="E19" s="17">
        <f>IF(Trabajos!J19="","",Trabajos!J19)</f>
        <v>75816.538461520002</v>
      </c>
      <c r="F19" s="17">
        <f>IF(Trabajos!O19="","",Trabajos!O19)</f>
        <v>0</v>
      </c>
      <c r="G19" s="181"/>
      <c r="H19" s="17">
        <f>IF(Trabajos!H19&lt;&gt;"",E19-E19*G19,"")</f>
        <v>75816.538461520002</v>
      </c>
      <c r="I19" s="17">
        <f>IF(Trabajos!H19&lt;&gt;"",F19-F19*G19,"")</f>
        <v>0</v>
      </c>
      <c r="J19" s="16">
        <f>IF(Trabajos!H19&lt;&gt;"",H19*0.55,"")</f>
        <v>41699.096153836006</v>
      </c>
      <c r="K19" s="16">
        <f>IF(Trabajos!H19&lt;&gt;"",H19*0.45,"")</f>
        <v>34117.442307684003</v>
      </c>
      <c r="L19" s="16" t="str">
        <f>IF(Trabajos!L19="","",Trabajos!L19)</f>
        <v>Tomas</v>
      </c>
    </row>
    <row r="20" spans="2:21" x14ac:dyDescent="0.25">
      <c r="B20" s="52">
        <f>IF(Trabajos!B20="","",Trabajos!B20)</f>
        <v>45916</v>
      </c>
      <c r="C20" s="53" t="str">
        <f>IF(Trabajos!F20="","",Trabajos!F20)</f>
        <v>Espartina S.A.</v>
      </c>
      <c r="D20" s="54" t="str">
        <f>IF(Trabajos!D20="","",Trabajos!D20)</f>
        <v>Monitoreo de bb y bab</v>
      </c>
      <c r="E20" s="17">
        <f>IF(Trabajos!J20="","",Trabajos!J20)</f>
        <v>552692.53</v>
      </c>
      <c r="F20" s="17">
        <f>IF(Trabajos!O20="","",Trabajos!O20)</f>
        <v>234524.5</v>
      </c>
      <c r="G20" s="181"/>
      <c r="H20" s="17">
        <f>IF(Trabajos!H20&lt;&gt;"",E20-E20*G20,"")</f>
        <v>552692.53</v>
      </c>
      <c r="I20" s="17">
        <f>IF(Trabajos!H20&lt;&gt;"",F20-F20*G20,"")</f>
        <v>234524.5</v>
      </c>
      <c r="J20" s="16">
        <f>IF(Trabajos!H20&lt;&gt;"",H20*0.55,"")</f>
        <v>303980.89150000003</v>
      </c>
      <c r="K20" s="16">
        <f>IF(Trabajos!H20&lt;&gt;"",H20*0.45,"")</f>
        <v>248711.63850000003</v>
      </c>
      <c r="L20" s="16" t="str">
        <f>IF(Trabajos!L20="","",Trabajos!L20)</f>
        <v>Tomas</v>
      </c>
    </row>
    <row r="21" spans="2:21" x14ac:dyDescent="0.25">
      <c r="B21" s="52">
        <f>IF(Trabajos!B21="","",Trabajos!B21)</f>
        <v>45916</v>
      </c>
      <c r="C21" s="53" t="str">
        <f>IF(Trabajos!F21="","",Trabajos!F21)</f>
        <v>Espartina S.A.</v>
      </c>
      <c r="D21" s="54" t="str">
        <f>IF(Trabajos!D21="","",Trabajos!D21)</f>
        <v>Muestreo de suelos</v>
      </c>
      <c r="E21" s="17">
        <f>IF(Trabajos!J21="","",Trabajos!J21)</f>
        <v>75816.538461520002</v>
      </c>
      <c r="F21" s="17">
        <f>IF(Trabajos!O21="","",Trabajos!O21)</f>
        <v>0</v>
      </c>
      <c r="G21" s="181"/>
      <c r="H21" s="17">
        <f>IF(Trabajos!H21&lt;&gt;"",E21-E21*G21,"")</f>
        <v>75816.538461520002</v>
      </c>
      <c r="I21" s="17">
        <f>IF(Trabajos!H21&lt;&gt;"",F21-F21*G21,"")</f>
        <v>0</v>
      </c>
      <c r="J21" s="16">
        <f>IF(Trabajos!H21&lt;&gt;"",H21*0.55,"")</f>
        <v>41699.096153836006</v>
      </c>
      <c r="K21" s="16">
        <f>IF(Trabajos!H21&lt;&gt;"",H21*0.45,"")</f>
        <v>34117.442307684003</v>
      </c>
      <c r="L21" s="16" t="str">
        <f>IF(Trabajos!L21="","",Trabajos!L21)</f>
        <v>Tomas</v>
      </c>
    </row>
    <row r="22" spans="2:21" x14ac:dyDescent="0.25">
      <c r="B22" s="52">
        <f>IF(Trabajos!B22="","",Trabajos!B22)</f>
        <v>45916</v>
      </c>
      <c r="C22" s="53" t="str">
        <f>IF(Trabajos!F22="","",Trabajos!F22)</f>
        <v>Espartina S.A.</v>
      </c>
      <c r="D22" s="54" t="str">
        <f>IF(Trabajos!D22="","",Trabajos!D22)</f>
        <v>Monitoreo de bb y bab</v>
      </c>
      <c r="E22" s="17">
        <f>IF(Trabajos!J22="","",Trabajos!J22)</f>
        <v>686981.25</v>
      </c>
      <c r="F22" s="17">
        <f>IF(Trabajos!O22="","",Trabajos!O22)</f>
        <v>122133.20000000001</v>
      </c>
      <c r="G22" s="181"/>
      <c r="H22" s="17">
        <f>IF(Trabajos!H22&lt;&gt;"",E22-E22*G22,"")</f>
        <v>686981.25</v>
      </c>
      <c r="I22" s="17">
        <f>IF(Trabajos!H22&lt;&gt;"",F22-F22*G22,"")</f>
        <v>122133.20000000001</v>
      </c>
      <c r="J22" s="16">
        <f>IF(Trabajos!H22&lt;&gt;"",H22*0.55,"")</f>
        <v>377839.68750000006</v>
      </c>
      <c r="K22" s="16">
        <f>IF(Trabajos!H22&lt;&gt;"",H22*0.45,"")</f>
        <v>309141.5625</v>
      </c>
      <c r="L22" s="16" t="str">
        <f>IF(Trabajos!L22="","",Trabajos!L22)</f>
        <v>Paco</v>
      </c>
    </row>
    <row r="23" spans="2:21" x14ac:dyDescent="0.25">
      <c r="B23" s="52">
        <f>IF(Trabajos!B23="","",Trabajos!B23)</f>
        <v>45917</v>
      </c>
      <c r="C23" s="53" t="str">
        <f>IF(Trabajos!F23="","",Trabajos!F23)</f>
        <v>Espartina S.A.</v>
      </c>
      <c r="D23" s="54" t="str">
        <f>IF(Trabajos!D23="","",Trabajos!D23)</f>
        <v>Monitoreo de bb y bab</v>
      </c>
      <c r="E23" s="17">
        <f>IF(Trabajos!J23="","",Trabajos!J23)</f>
        <v>903843.83999999997</v>
      </c>
      <c r="F23" s="17">
        <f>IF(Trabajos!O23="","",Trabajos!O23)</f>
        <v>122304</v>
      </c>
      <c r="G23" s="181"/>
      <c r="H23" s="17">
        <f>IF(Trabajos!H23&lt;&gt;"",E23-E23*G23,"")</f>
        <v>903843.83999999997</v>
      </c>
      <c r="I23" s="17">
        <f>IF(Trabajos!H23&lt;&gt;"",F23-F23*G23,"")</f>
        <v>122304</v>
      </c>
      <c r="J23" s="16">
        <f>IF(Trabajos!H23&lt;&gt;"",H23*0.55,"")</f>
        <v>497114.11200000002</v>
      </c>
      <c r="K23" s="16">
        <f>IF(Trabajos!H23&lt;&gt;"",H23*0.45,"")</f>
        <v>406729.728</v>
      </c>
      <c r="L23" s="16" t="str">
        <f>IF(Trabajos!L23="","",Trabajos!L23)</f>
        <v>Tomas</v>
      </c>
      <c r="S23" t="s">
        <v>4</v>
      </c>
    </row>
    <row r="24" spans="2:21" x14ac:dyDescent="0.25">
      <c r="B24" s="52">
        <f>IF(Trabajos!B24="","",Trabajos!B24)</f>
        <v>45917</v>
      </c>
      <c r="C24" s="53" t="str">
        <f>IF(Trabajos!F24="","",Trabajos!F24)</f>
        <v>Espartina S.A.</v>
      </c>
      <c r="D24" s="54" t="str">
        <f>IF(Trabajos!D24="","",Trabajos!D24)</f>
        <v>Monitoreo de bb y bab</v>
      </c>
      <c r="E24" s="17">
        <f>IF(Trabajos!J24="","",Trabajos!J24)</f>
        <v>564187.5</v>
      </c>
      <c r="F24" s="17">
        <f>IF(Trabajos!O24="","",Trabajos!O24)</f>
        <v>132503</v>
      </c>
      <c r="G24" s="181"/>
      <c r="H24" s="17">
        <f>IF(Trabajos!H24&lt;&gt;"",E24-E24*G24,"")</f>
        <v>564187.5</v>
      </c>
      <c r="I24" s="17">
        <f>IF(Trabajos!H24&lt;&gt;"",F24-F24*G24,"")</f>
        <v>132503</v>
      </c>
      <c r="J24" s="16">
        <f>IF(Trabajos!H24&lt;&gt;"",H24*0.55,"")</f>
        <v>310303.125</v>
      </c>
      <c r="K24" s="16">
        <f>IF(Trabajos!H24&lt;&gt;"",H24*0.45,"")</f>
        <v>253884.375</v>
      </c>
      <c r="L24" s="16" t="str">
        <f>IF(Trabajos!L24="","",Trabajos!L24)</f>
        <v>Paco</v>
      </c>
    </row>
    <row r="25" spans="2:21" x14ac:dyDescent="0.25">
      <c r="B25" s="52">
        <f>IF(Trabajos!B25="","",Trabajos!B25)</f>
        <v>45912</v>
      </c>
      <c r="C25" s="53" t="str">
        <f>IF(Trabajos!F25="","",Trabajos!F25)</f>
        <v>Espartina S.A.</v>
      </c>
      <c r="D25" s="54" t="str">
        <f>IF(Trabajos!D25="","",Trabajos!D25)</f>
        <v>Muestreo de suelos</v>
      </c>
      <c r="E25" s="17">
        <f>IF(Trabajos!J25="","",Trabajos!J25)</f>
        <v>75816.538461520002</v>
      </c>
      <c r="F25" s="17">
        <f>IF(Trabajos!O25="","",Trabajos!O25)</f>
        <v>64523.200000000004</v>
      </c>
      <c r="G25" s="181"/>
      <c r="H25" s="17">
        <f>IF(Trabajos!H25&lt;&gt;"",E25-E25*G25,"")</f>
        <v>75816.538461520002</v>
      </c>
      <c r="I25" s="17">
        <f>IF(Trabajos!H25&lt;&gt;"",F25-F25*G25,"")</f>
        <v>64523.200000000004</v>
      </c>
      <c r="J25" s="16">
        <f>IF(Trabajos!H25&lt;&gt;"",H25*0.55,"")</f>
        <v>41699.096153836006</v>
      </c>
      <c r="K25" s="16">
        <f>IF(Trabajos!H25&lt;&gt;"",H25*0.45,"")</f>
        <v>34117.442307684003</v>
      </c>
      <c r="L25" s="16" t="str">
        <f>IF(Trabajos!L25="","",Trabajos!L25)</f>
        <v>Zoom</v>
      </c>
    </row>
    <row r="26" spans="2:21" x14ac:dyDescent="0.25">
      <c r="B26" s="52">
        <f>IF(Trabajos!B26="","",Trabajos!B26)</f>
        <v>45912</v>
      </c>
      <c r="C26" s="53" t="str">
        <f>IF(Trabajos!F26="","",Trabajos!F26)</f>
        <v>Espartina S.A.</v>
      </c>
      <c r="D26" s="54" t="str">
        <f>IF(Trabajos!D26="","",Trabajos!D26)</f>
        <v>Muestreo de suelos</v>
      </c>
      <c r="E26" s="17">
        <f>IF(Trabajos!J26="","",Trabajos!J26)</f>
        <v>75816.538461520002</v>
      </c>
      <c r="F26" s="17">
        <f>IF(Trabajos!O26="","",Trabajos!O26)</f>
        <v>82958.400000000009</v>
      </c>
      <c r="G26" s="181"/>
      <c r="H26" s="17">
        <f>IF(Trabajos!H26&lt;&gt;"",E26-E26*G26,"")</f>
        <v>75816.538461520002</v>
      </c>
      <c r="I26" s="17">
        <f>IF(Trabajos!H26&lt;&gt;"",F26-F26*G26,"")</f>
        <v>82958.400000000009</v>
      </c>
      <c r="J26" s="16">
        <f>IF(Trabajos!H26&lt;&gt;"",H26*0.55,"")</f>
        <v>41699.096153836006</v>
      </c>
      <c r="K26" s="16">
        <f>IF(Trabajos!H26&lt;&gt;"",H26*0.45,"")</f>
        <v>34117.442307684003</v>
      </c>
      <c r="L26" s="16" t="str">
        <f>IF(Trabajos!L26="","",Trabajos!L26)</f>
        <v>Zoom</v>
      </c>
    </row>
    <row r="27" spans="2:21" x14ac:dyDescent="0.25">
      <c r="B27" s="52">
        <f>IF(Trabajos!B27="","",Trabajos!B27)</f>
        <v>45917</v>
      </c>
      <c r="C27" s="53" t="str">
        <f>IF(Trabajos!F27="","",Trabajos!F27)</f>
        <v>Espartina S.A.</v>
      </c>
      <c r="D27" s="54" t="str">
        <f>IF(Trabajos!D27="","",Trabajos!D27)</f>
        <v>Monitoreo de bb y bab</v>
      </c>
      <c r="E27" s="17">
        <f>IF(Trabajos!J27="","",Trabajos!J27)</f>
        <v>159300</v>
      </c>
      <c r="F27" s="17">
        <f>IF(Trabajos!O27="","",Trabajos!O27)</f>
        <v>0</v>
      </c>
      <c r="G27" s="181"/>
      <c r="H27" s="17">
        <f>IF(Trabajos!H27&lt;&gt;"",E27-E27*G27,"")</f>
        <v>159300</v>
      </c>
      <c r="I27" s="17">
        <f>IF(Trabajos!H27&lt;&gt;"",F27-F27*G27,"")</f>
        <v>0</v>
      </c>
      <c r="J27" s="16">
        <f>IF(Trabajos!H27&lt;&gt;"",H27*0.55,"")</f>
        <v>87615</v>
      </c>
      <c r="K27" s="16">
        <f>IF(Trabajos!H27&lt;&gt;"",H27*0.45,"")</f>
        <v>71685</v>
      </c>
      <c r="L27" s="16" t="str">
        <f>IF(Trabajos!L27="","",Trabajos!L27)</f>
        <v>Paco</v>
      </c>
    </row>
    <row r="28" spans="2:21" x14ac:dyDescent="0.25">
      <c r="B28" s="52">
        <f>IF(Trabajos!B28="","",Trabajos!B28)</f>
        <v>45918</v>
      </c>
      <c r="C28" s="53" t="str">
        <f>IF(Trabajos!F28="","",Trabajos!F28)</f>
        <v>Mackrey Agropecuaria</v>
      </c>
      <c r="D28" s="54" t="str">
        <f>IF(Trabajos!D28="","",Trabajos!D28)</f>
        <v>Muestreo de suelos</v>
      </c>
      <c r="E28" s="17">
        <f>IF(Trabajos!J28="","",Trabajos!J28)</f>
        <v>134900</v>
      </c>
      <c r="F28" s="17">
        <f>IF(Trabajos!O28="","",Trabajos!O28)</f>
        <v>18200</v>
      </c>
      <c r="G28" s="181"/>
      <c r="H28" s="17">
        <f>IF(Trabajos!H28&lt;&gt;"",E28-E28*G28,"")</f>
        <v>134900</v>
      </c>
      <c r="I28" s="17">
        <f>IF(Trabajos!H28&lt;&gt;"",F28-F28*G28,"")</f>
        <v>18200</v>
      </c>
      <c r="J28" s="16">
        <f>IF(Trabajos!H28&lt;&gt;"",H28*0.55,"")</f>
        <v>74195</v>
      </c>
      <c r="K28" s="16">
        <f>IF(Trabajos!H28&lt;&gt;"",H28*0.45,"")</f>
        <v>60705</v>
      </c>
      <c r="L28" s="16" t="str">
        <f>IF(Trabajos!L28="","",Trabajos!L28)</f>
        <v>Zoom</v>
      </c>
    </row>
    <row r="29" spans="2:21" x14ac:dyDescent="0.25">
      <c r="B29" s="52">
        <f>IF(Trabajos!B29="","",Trabajos!B29)</f>
        <v>45918</v>
      </c>
      <c r="C29" s="53" t="str">
        <f>IF(Trabajos!F29="","",Trabajos!F29)</f>
        <v>Espartina S.A.</v>
      </c>
      <c r="D29" s="54" t="str">
        <f>IF(Trabajos!D29="","",Trabajos!D29)</f>
        <v>Muestreo de suelos</v>
      </c>
      <c r="E29" s="17">
        <f>IF(Trabajos!J29="","",Trabajos!J29)</f>
        <v>75816.538461520002</v>
      </c>
      <c r="F29" s="17">
        <f>IF(Trabajos!O29="","",Trabajos!O29)</f>
        <v>118676.6</v>
      </c>
      <c r="G29" s="181"/>
      <c r="H29" s="17">
        <f>IF(Trabajos!H29&lt;&gt;"",E29-E29*G29,"")</f>
        <v>75816.538461520002</v>
      </c>
      <c r="I29" s="17">
        <f>IF(Trabajos!H29&lt;&gt;"",F29-F29*G29,"")</f>
        <v>118676.6</v>
      </c>
      <c r="J29" s="16">
        <f>IF(Trabajos!H29&lt;&gt;"",H29*0.55,"")</f>
        <v>41699.096153836006</v>
      </c>
      <c r="K29" s="16">
        <f>IF(Trabajos!H29&lt;&gt;"",H29*0.45,"")</f>
        <v>34117.442307684003</v>
      </c>
      <c r="L29" s="16" t="str">
        <f>IF(Trabajos!L29="","",Trabajos!L29)</f>
        <v>Zoom</v>
      </c>
    </row>
    <row r="30" spans="2:21" x14ac:dyDescent="0.25">
      <c r="B30" s="52">
        <f>IF(Trabajos!B30="","",Trabajos!B30)</f>
        <v>45918</v>
      </c>
      <c r="C30" s="53" t="str">
        <f>IF(Trabajos!F30="","",Trabajos!F30)</f>
        <v>Espartina S.A.</v>
      </c>
      <c r="D30" s="54" t="str">
        <f>IF(Trabajos!D30="","",Trabajos!D30)</f>
        <v>Monitoreo de bb y bab</v>
      </c>
      <c r="E30" s="17">
        <f>IF(Trabajos!J30="","",Trabajos!J30)</f>
        <v>540956.25</v>
      </c>
      <c r="F30" s="17">
        <f>IF(Trabajos!O30="","",Trabajos!O30)</f>
        <v>51849</v>
      </c>
      <c r="G30" s="181"/>
      <c r="H30" s="17">
        <f>IF(Trabajos!H30&lt;&gt;"",E30-E30*G30,"")</f>
        <v>540956.25</v>
      </c>
      <c r="I30" s="17">
        <f>IF(Trabajos!H30&lt;&gt;"",F30-F30*G30,"")</f>
        <v>51849</v>
      </c>
      <c r="J30" s="16">
        <f>IF(Trabajos!H30&lt;&gt;"",H30*0.55,"")</f>
        <v>297525.9375</v>
      </c>
      <c r="K30" s="16">
        <f>IF(Trabajos!H30&lt;&gt;"",H30*0.45,"")</f>
        <v>243430.3125</v>
      </c>
      <c r="L30" s="16" t="str">
        <f>IF(Trabajos!L30="","",Trabajos!L30)</f>
        <v>Tomas</v>
      </c>
    </row>
    <row r="31" spans="2:21" x14ac:dyDescent="0.25">
      <c r="B31" s="52">
        <f>IF(Trabajos!B31="","",Trabajos!B31)</f>
        <v>45918</v>
      </c>
      <c r="C31" s="53" t="str">
        <f>IF(Trabajos!F31="","",Trabajos!F31)</f>
        <v>Espartina S.A.</v>
      </c>
      <c r="D31" s="54" t="str">
        <f>IF(Trabajos!D31="","",Trabajos!D31)</f>
        <v>Monitoreo de bb y bab</v>
      </c>
      <c r="E31" s="17">
        <f>IF(Trabajos!J31="","",Trabajos!J31)</f>
        <v>464625</v>
      </c>
      <c r="F31" s="17">
        <f>IF(Trabajos!O31="","",Trabajos!O31)</f>
        <v>0</v>
      </c>
      <c r="G31" s="181"/>
      <c r="H31" s="17">
        <f>IF(Trabajos!H31&lt;&gt;"",E31-E31*G31,"")</f>
        <v>464625</v>
      </c>
      <c r="I31" s="17">
        <f>IF(Trabajos!H31&lt;&gt;"",F31-F31*G31,"")</f>
        <v>0</v>
      </c>
      <c r="J31" s="16">
        <f>IF(Trabajos!H31&lt;&gt;"",H31*0.55,"")</f>
        <v>255543.75000000003</v>
      </c>
      <c r="K31" s="16">
        <f>IF(Trabajos!H31&lt;&gt;"",H31*0.45,"")</f>
        <v>209081.25</v>
      </c>
      <c r="L31" s="16" t="str">
        <f>IF(Trabajos!L31="","",Trabajos!L31)</f>
        <v>Tomas</v>
      </c>
    </row>
    <row r="32" spans="2:21" x14ac:dyDescent="0.25">
      <c r="B32" s="52">
        <f>IF(Trabajos!B32="","",Trabajos!B32)</f>
        <v>45918</v>
      </c>
      <c r="C32" s="53" t="str">
        <f>IF(Trabajos!F32="","",Trabajos!F32)</f>
        <v>Espartina S.A.</v>
      </c>
      <c r="D32" s="54" t="str">
        <f>IF(Trabajos!D32="","",Trabajos!D32)</f>
        <v>Monitoreo de bb y bab</v>
      </c>
      <c r="E32" s="17">
        <f>IF(Trabajos!J32="","",Trabajos!J32)</f>
        <v>321918.75</v>
      </c>
      <c r="F32" s="17">
        <f>IF(Trabajos!O32="","",Trabajos!O32)</f>
        <v>0</v>
      </c>
      <c r="G32" s="181"/>
      <c r="H32" s="17">
        <f>IF(Trabajos!H32&lt;&gt;"",E32-E32*G32,"")</f>
        <v>321918.75</v>
      </c>
      <c r="I32" s="17">
        <f>IF(Trabajos!H32&lt;&gt;"",F32-F32*G32,"")</f>
        <v>0</v>
      </c>
      <c r="J32" s="16">
        <f>IF(Trabajos!H32&lt;&gt;"",H32*0.55,"")</f>
        <v>177055.3125</v>
      </c>
      <c r="K32" s="16">
        <f>IF(Trabajos!H32&lt;&gt;"",H32*0.45,"")</f>
        <v>144863.4375</v>
      </c>
      <c r="L32" s="16" t="str">
        <f>IF(Trabajos!L32="","",Trabajos!L32)</f>
        <v>Paco</v>
      </c>
    </row>
    <row r="33" spans="2:12" x14ac:dyDescent="0.25">
      <c r="B33" s="52">
        <f>IF(Trabajos!B33="","",Trabajos!B33)</f>
        <v>45918</v>
      </c>
      <c r="C33" s="53" t="str">
        <f>IF(Trabajos!F33="","",Trabajos!F33)</f>
        <v>Espartina S.A.</v>
      </c>
      <c r="D33" s="54" t="str">
        <f>IF(Trabajos!D33="","",Trabajos!D33)</f>
        <v>Monitoreo de bb y bab</v>
      </c>
      <c r="E33" s="17">
        <f>IF(Trabajos!J33="","",Trabajos!J33)</f>
        <v>398250</v>
      </c>
      <c r="F33" s="17">
        <f>IF(Trabajos!O33="","",Trabajos!O33)</f>
        <v>103698</v>
      </c>
      <c r="G33" s="181"/>
      <c r="H33" s="17">
        <f>IF(Trabajos!H33&lt;&gt;"",E33-E33*G33,"")</f>
        <v>398250</v>
      </c>
      <c r="I33" s="17">
        <f>IF(Trabajos!H33&lt;&gt;"",F33-F33*G33,"")</f>
        <v>103698</v>
      </c>
      <c r="J33" s="16">
        <f>IF(Trabajos!H33&lt;&gt;"",H33*0.55,"")</f>
        <v>219037.50000000003</v>
      </c>
      <c r="K33" s="16">
        <f>IF(Trabajos!H33&lt;&gt;"",H33*0.45,"")</f>
        <v>179212.5</v>
      </c>
      <c r="L33" s="16" t="str">
        <f>IF(Trabajos!L33="","",Trabajos!L33)</f>
        <v>Paco</v>
      </c>
    </row>
    <row r="34" spans="2:12" x14ac:dyDescent="0.25">
      <c r="B34" s="52">
        <f>IF(Trabajos!B34="","",Trabajos!B34)</f>
        <v>45918</v>
      </c>
      <c r="C34" s="53" t="str">
        <f>IF(Trabajos!F34="","",Trabajos!F34)</f>
        <v>Espartina S.A.</v>
      </c>
      <c r="D34" s="54" t="str">
        <f>IF(Trabajos!D34="","",Trabajos!D34)</f>
        <v>Muestreo de suelos</v>
      </c>
      <c r="E34" s="17">
        <f>IF(Trabajos!J34="","",Trabajos!J34)</f>
        <v>75816.538461520002</v>
      </c>
      <c r="F34" s="17">
        <f>IF(Trabajos!O34="","",Trabajos!O34)</f>
        <v>0</v>
      </c>
      <c r="G34" s="181"/>
      <c r="H34" s="17">
        <f>IF(Trabajos!H34&lt;&gt;"",E34-E34*G34,"")</f>
        <v>75816.538461520002</v>
      </c>
      <c r="I34" s="17">
        <f>IF(Trabajos!H34&lt;&gt;"",F34-F34*G34,"")</f>
        <v>0</v>
      </c>
      <c r="J34" s="16">
        <f>IF(Trabajos!H34&lt;&gt;"",H34*0.55,"")</f>
        <v>41699.096153836006</v>
      </c>
      <c r="K34" s="16">
        <f>IF(Trabajos!H34&lt;&gt;"",H34*0.45,"")</f>
        <v>34117.442307684003</v>
      </c>
      <c r="L34" s="16" t="str">
        <f>IF(Trabajos!L34="","",Trabajos!L34)</f>
        <v>Tomas</v>
      </c>
    </row>
    <row r="35" spans="2:12" x14ac:dyDescent="0.25">
      <c r="B35" s="52">
        <f>IF(Trabajos!B35="","",Trabajos!B35)</f>
        <v>45918</v>
      </c>
      <c r="C35" s="53" t="str">
        <f>IF(Trabajos!F35="","",Trabajos!F35)</f>
        <v>Espartina S.A.</v>
      </c>
      <c r="D35" s="54" t="str">
        <f>IF(Trabajos!D35="","",Trabajos!D35)</f>
        <v>Muestreo de suelos</v>
      </c>
      <c r="E35" s="17">
        <f>IF(Trabajos!J35="","",Trabajos!J35)</f>
        <v>75816.538461520002</v>
      </c>
      <c r="F35" s="17">
        <f>IF(Trabajos!O35="","",Trabajos!O35)</f>
        <v>0</v>
      </c>
      <c r="G35" s="181"/>
      <c r="H35" s="17">
        <f>IF(Trabajos!H35&lt;&gt;"",E35-E35*G35,"")</f>
        <v>75816.538461520002</v>
      </c>
      <c r="I35" s="17">
        <f>IF(Trabajos!H35&lt;&gt;"",F35-F35*G35,"")</f>
        <v>0</v>
      </c>
      <c r="J35" s="16">
        <f>IF(Trabajos!H35&lt;&gt;"",H35*0.55,"")</f>
        <v>41699.096153836006</v>
      </c>
      <c r="K35" s="16">
        <f>IF(Trabajos!H35&lt;&gt;"",H35*0.45,"")</f>
        <v>34117.442307684003</v>
      </c>
      <c r="L35" s="16" t="str">
        <f>IF(Trabajos!L35="","",Trabajos!L35)</f>
        <v>Tomas</v>
      </c>
    </row>
    <row r="36" spans="2:12" x14ac:dyDescent="0.25">
      <c r="B36" s="52">
        <f>IF(Trabajos!B36="","",Trabajos!B36)</f>
        <v>45922</v>
      </c>
      <c r="C36" s="53" t="str">
        <f>IF(Trabajos!F36="","",Trabajos!F36)</f>
        <v>Espartina S.A.</v>
      </c>
      <c r="D36" s="54" t="str">
        <f>IF(Trabajos!D36="","",Trabajos!D36)</f>
        <v>Monitoreo de bb y bab</v>
      </c>
      <c r="E36" s="17">
        <f>IF(Trabajos!J36="","",Trabajos!J36)</f>
        <v>465750</v>
      </c>
      <c r="F36" s="17">
        <f>IF(Trabajos!O36="","",Trabajos!O36)</f>
        <v>138264</v>
      </c>
      <c r="G36" s="181"/>
      <c r="H36" s="17">
        <f>IF(Trabajos!H36&lt;&gt;"",E36-E36*G36,"")</f>
        <v>465750</v>
      </c>
      <c r="I36" s="17">
        <f>IF(Trabajos!H36&lt;&gt;"",F36-F36*G36,"")</f>
        <v>138264</v>
      </c>
      <c r="J36" s="16">
        <f>IF(Trabajos!H36&lt;&gt;"",H36*0.55,"")</f>
        <v>256162.50000000003</v>
      </c>
      <c r="K36" s="16">
        <f>IF(Trabajos!H36&lt;&gt;"",H36*0.45,"")</f>
        <v>209587.5</v>
      </c>
      <c r="L36" s="16" t="str">
        <f>IF(Trabajos!L36="","",Trabajos!L36)</f>
        <v>Paco</v>
      </c>
    </row>
    <row r="37" spans="2:12" x14ac:dyDescent="0.25">
      <c r="B37" s="52">
        <f>IF(Trabajos!B37="","",Trabajos!B37)</f>
        <v>45923</v>
      </c>
      <c r="C37" s="53" t="str">
        <f>IF(Trabajos!F37="","",Trabajos!F37)</f>
        <v>Espartina S.A.</v>
      </c>
      <c r="D37" s="54" t="str">
        <f>IF(Trabajos!D37="","",Trabajos!D37)</f>
        <v>Monitoreo de bb y bab</v>
      </c>
      <c r="E37" s="17">
        <f>IF(Trabajos!J37="","",Trabajos!J37)</f>
        <v>1086750</v>
      </c>
      <c r="F37" s="17">
        <f>IF(Trabajos!O37="","",Trabajos!O37)</f>
        <v>149786</v>
      </c>
      <c r="G37" s="181"/>
      <c r="H37" s="17">
        <f>IF(Trabajos!H37&lt;&gt;"",E37-E37*G37,"")</f>
        <v>1086750</v>
      </c>
      <c r="I37" s="17">
        <f>IF(Trabajos!H37&lt;&gt;"",F37-F37*G37,"")</f>
        <v>149786</v>
      </c>
      <c r="J37" s="16">
        <f>IF(Trabajos!H37&lt;&gt;"",H37*0.55,"")</f>
        <v>597712.5</v>
      </c>
      <c r="K37" s="16">
        <f>IF(Trabajos!H37&lt;&gt;"",H37*0.45,"")</f>
        <v>489037.5</v>
      </c>
      <c r="L37" s="16" t="str">
        <f>IF(Trabajos!L37="","",Trabajos!L37)</f>
        <v>Paco</v>
      </c>
    </row>
    <row r="38" spans="2:12" x14ac:dyDescent="0.25">
      <c r="B38" s="52">
        <f>IF(Trabajos!B38="","",Trabajos!B38)</f>
        <v>45923</v>
      </c>
      <c r="C38" s="53" t="str">
        <f>IF(Trabajos!F38="","",Trabajos!F38)</f>
        <v>Espartina S.A.</v>
      </c>
      <c r="D38" s="54" t="str">
        <f>IF(Trabajos!D38="","",Trabajos!D38)</f>
        <v>Monitoreo de bb y bab</v>
      </c>
      <c r="E38" s="17">
        <f>IF(Trabajos!J38="","",Trabajos!J38)</f>
        <v>689100.79999999993</v>
      </c>
      <c r="F38" s="17">
        <f>IF(Trabajos!O38="","",Trabajos!O38)</f>
        <v>121128</v>
      </c>
      <c r="G38" s="181"/>
      <c r="H38" s="17">
        <f>IF(Trabajos!H38&lt;&gt;"",E38-E38*G38,"")</f>
        <v>689100.79999999993</v>
      </c>
      <c r="I38" s="17">
        <f>IF(Trabajos!H38&lt;&gt;"",F38-F38*G38,"")</f>
        <v>121128</v>
      </c>
      <c r="J38" s="16">
        <f>IF(Trabajos!H38&lt;&gt;"",H38*0.55,"")</f>
        <v>379005.44</v>
      </c>
      <c r="K38" s="16">
        <f>IF(Trabajos!H38&lt;&gt;"",H38*0.45,"")</f>
        <v>310095.35999999999</v>
      </c>
      <c r="L38" s="16" t="str">
        <f>IF(Trabajos!L38="","",Trabajos!L38)</f>
        <v>Tomas</v>
      </c>
    </row>
    <row r="39" spans="2:12" x14ac:dyDescent="0.25">
      <c r="B39" s="52">
        <f>IF(Trabajos!B39="","",Trabajos!B39)</f>
        <v>45923</v>
      </c>
      <c r="C39" s="53" t="str">
        <f>IF(Trabajos!F39="","",Trabajos!F39)</f>
        <v>Espartina S.A.</v>
      </c>
      <c r="D39" s="54" t="str">
        <f>IF(Trabajos!D39="","",Trabajos!D39)</f>
        <v>Monitoreo de bb y bab</v>
      </c>
      <c r="E39" s="17">
        <f>IF(Trabajos!J39="","",Trabajos!J39)</f>
        <v>451921.91999999998</v>
      </c>
      <c r="F39" s="17">
        <f>IF(Trabajos!O39="","",Trabajos!O39)</f>
        <v>122304</v>
      </c>
      <c r="G39" s="181">
        <v>3.0000000000000001E-3</v>
      </c>
      <c r="H39" s="17">
        <f>IF(Trabajos!H39&lt;&gt;"",E39-E39*G39,"")</f>
        <v>450566.15424</v>
      </c>
      <c r="I39" s="17">
        <f>IF(Trabajos!H39&lt;&gt;"",F39-F39*G39,"")</f>
        <v>121937.088</v>
      </c>
      <c r="J39" s="16">
        <f>IF(Trabajos!H39&lt;&gt;"",H39*0.55,"")</f>
        <v>247811.38483200001</v>
      </c>
      <c r="K39" s="16">
        <f>IF(Trabajos!H39&lt;&gt;"",H39*0.45,"")</f>
        <v>202754.76940799999</v>
      </c>
      <c r="L39" s="16" t="str">
        <f>IF(Trabajos!L39="","",Trabajos!L39)</f>
        <v>Tomas</v>
      </c>
    </row>
    <row r="40" spans="2:12" x14ac:dyDescent="0.25">
      <c r="B40" s="52">
        <f>IF(Trabajos!B40="","",Trabajos!B40)</f>
        <v>45924</v>
      </c>
      <c r="C40" s="53" t="str">
        <f>IF(Trabajos!F40="","",Trabajos!F40)</f>
        <v>Espartina S.A.</v>
      </c>
      <c r="D40" s="54" t="str">
        <f>IF(Trabajos!D40="","",Trabajos!D40)</f>
        <v>Monitoreo de bb y bab</v>
      </c>
      <c r="E40" s="17">
        <f>IF(Trabajos!J40="","",Trabajos!J40)</f>
        <v>451921.91999999998</v>
      </c>
      <c r="F40" s="17">
        <f>IF(Trabajos!O40="","",Trabajos!O40)</f>
        <v>0</v>
      </c>
      <c r="G40" s="181"/>
      <c r="H40" s="17">
        <f>IF(Trabajos!H40&lt;&gt;"",E40-E40*G40,"")</f>
        <v>451921.91999999998</v>
      </c>
      <c r="I40" s="17">
        <f>IF(Trabajos!H40&lt;&gt;"",F40-F40*G40,"")</f>
        <v>0</v>
      </c>
      <c r="J40" s="16">
        <f>IF(Trabajos!H40&lt;&gt;"",H40*0.55,"")</f>
        <v>248557.05600000001</v>
      </c>
      <c r="K40" s="16">
        <f>IF(Trabajos!H40&lt;&gt;"",H40*0.45,"")</f>
        <v>203364.864</v>
      </c>
      <c r="L40" s="16" t="str">
        <f>IF(Trabajos!L40="","",Trabajos!L40)</f>
        <v>Tomas</v>
      </c>
    </row>
    <row r="41" spans="2:12" x14ac:dyDescent="0.25">
      <c r="B41" s="52">
        <f>IF(Trabajos!B41="","",Trabajos!B41)</f>
        <v>45924</v>
      </c>
      <c r="C41" s="53" t="str">
        <f>IF(Trabajos!F41="","",Trabajos!F41)</f>
        <v>Espartina S.A.</v>
      </c>
      <c r="D41" s="54" t="str">
        <f>IF(Trabajos!D41="","",Trabajos!D41)</f>
        <v>Monitoreo de bb y bab</v>
      </c>
      <c r="E41" s="17">
        <f>IF(Trabajos!J41="","",Trabajos!J41)</f>
        <v>400653</v>
      </c>
      <c r="F41" s="17">
        <f>IF(Trabajos!O41="","",Trabajos!O41)</f>
        <v>0</v>
      </c>
      <c r="G41" s="181"/>
      <c r="H41" s="17">
        <f>IF(Trabajos!H41&lt;&gt;"",E41-E41*G41,"")</f>
        <v>400653</v>
      </c>
      <c r="I41" s="17">
        <f>IF(Trabajos!H41&lt;&gt;"",F41-F41*G41,"")</f>
        <v>0</v>
      </c>
      <c r="J41" s="16">
        <f>IF(Trabajos!H41&lt;&gt;"",H41*0.55,"")</f>
        <v>220359.15000000002</v>
      </c>
      <c r="K41" s="16">
        <f>IF(Trabajos!H41&lt;&gt;"",H41*0.45,"")</f>
        <v>180293.85</v>
      </c>
      <c r="L41" s="16" t="str">
        <f>IF(Trabajos!L41="","",Trabajos!L41)</f>
        <v>Tomas</v>
      </c>
    </row>
    <row r="42" spans="2:12" x14ac:dyDescent="0.25">
      <c r="B42" s="52">
        <f>IF(Trabajos!B42="","",Trabajos!B42)</f>
        <v>45924</v>
      </c>
      <c r="C42" s="53" t="str">
        <f>IF(Trabajos!F42="","",Trabajos!F42)</f>
        <v>Espartina S.A.</v>
      </c>
      <c r="D42" s="54" t="str">
        <f>IF(Trabajos!D42="","",Trabajos!D42)</f>
        <v>Monitoreo de bb y bab</v>
      </c>
      <c r="E42" s="17">
        <f>IF(Trabajos!J42="","",Trabajos!J42)</f>
        <v>397440</v>
      </c>
      <c r="F42" s="17">
        <f>IF(Trabajos!O42="","",Trabajos!O42)</f>
        <v>149786</v>
      </c>
      <c r="G42" s="181"/>
      <c r="H42" s="17">
        <f>IF(Trabajos!H42&lt;&gt;"",E42-E42*G42,"")</f>
        <v>397440</v>
      </c>
      <c r="I42" s="17">
        <f>IF(Trabajos!H42&lt;&gt;"",F42-F42*G42,"")</f>
        <v>149786</v>
      </c>
      <c r="J42" s="16">
        <f>IF(Trabajos!H42&lt;&gt;"",H42*0.55,"")</f>
        <v>218592.00000000003</v>
      </c>
      <c r="K42" s="16">
        <f>IF(Trabajos!H42&lt;&gt;"",H42*0.45,"")</f>
        <v>178848</v>
      </c>
      <c r="L42" s="16" t="str">
        <f>IF(Trabajos!L42="","",Trabajos!L42)</f>
        <v>Paco</v>
      </c>
    </row>
    <row r="43" spans="2:12" x14ac:dyDescent="0.25">
      <c r="B43" s="52">
        <f>IF(Trabajos!B43="","",Trabajos!B43)</f>
        <v>45924</v>
      </c>
      <c r="C43" s="53" t="str">
        <f>IF(Trabajos!F43="","",Trabajos!F43)</f>
        <v>Espartina S.A.</v>
      </c>
      <c r="D43" s="54" t="str">
        <f>IF(Trabajos!D43="","",Trabajos!D43)</f>
        <v>Monitoreo de bb y bab</v>
      </c>
      <c r="E43" s="17">
        <f>IF(Trabajos!J43="","",Trabajos!J43)</f>
        <v>1176795</v>
      </c>
      <c r="F43" s="17">
        <f>IF(Trabajos!O43="","",Trabajos!O43)</f>
        <v>338746.8</v>
      </c>
      <c r="G43" s="181"/>
      <c r="H43" s="17">
        <f>IF(Trabajos!H43&lt;&gt;"",E43-E43*G43,"")</f>
        <v>1176795</v>
      </c>
      <c r="I43" s="17">
        <f>IF(Trabajos!H43&lt;&gt;"",F43-F43*G43,"")</f>
        <v>338746.8</v>
      </c>
      <c r="J43" s="16">
        <f>IF(Trabajos!H43&lt;&gt;"",H43*0.55,"")</f>
        <v>647237.25</v>
      </c>
      <c r="K43" s="16">
        <f>IF(Trabajos!H43&lt;&gt;"",H43*0.45,"")</f>
        <v>529557.75</v>
      </c>
      <c r="L43" s="16" t="str">
        <f>IF(Trabajos!L43="","",Trabajos!L43)</f>
        <v>Paco</v>
      </c>
    </row>
    <row r="44" spans="2:12" x14ac:dyDescent="0.25">
      <c r="B44" s="52">
        <f>IF(Trabajos!B44="","",Trabajos!B44)</f>
        <v>45925</v>
      </c>
      <c r="C44" s="53" t="str">
        <f>IF(Trabajos!F44="","",Trabajos!F44)</f>
        <v>Espartina S.A.</v>
      </c>
      <c r="D44" s="54" t="str">
        <f>IF(Trabajos!D44="","",Trabajos!D44)</f>
        <v>Muestreo de suelos</v>
      </c>
      <c r="E44" s="17">
        <f>IF(Trabajos!J44="","",Trabajos!J44)</f>
        <v>75816.538461520002</v>
      </c>
      <c r="F44" s="17">
        <f>IF(Trabajos!O44="","",Trabajos!O44)</f>
        <v>35280</v>
      </c>
      <c r="G44" s="181"/>
      <c r="H44" s="17">
        <f>IF(Trabajos!H44&lt;&gt;"",E44-E44*G44,"")</f>
        <v>75816.538461520002</v>
      </c>
      <c r="I44" s="17">
        <f>IF(Trabajos!H44&lt;&gt;"",F44-F44*G44,"")</f>
        <v>35280</v>
      </c>
      <c r="J44" s="16">
        <f>IF(Trabajos!H44&lt;&gt;"",H44*0.55,"")</f>
        <v>41699.096153836006</v>
      </c>
      <c r="K44" s="16">
        <f>IF(Trabajos!H44&lt;&gt;"",H44*0.45,"")</f>
        <v>34117.442307684003</v>
      </c>
      <c r="L44" s="16" t="str">
        <f>IF(Trabajos!L44="","",Trabajos!L44)</f>
        <v>Zoom</v>
      </c>
    </row>
    <row r="45" spans="2:12" x14ac:dyDescent="0.25">
      <c r="B45" s="52">
        <f>IF(Trabajos!B45="","",Trabajos!B45)</f>
        <v>45925</v>
      </c>
      <c r="C45" s="53" t="str">
        <f>IF(Trabajos!F45="","",Trabajos!F45)</f>
        <v>Espartina S.A.</v>
      </c>
      <c r="D45" s="54" t="str">
        <f>IF(Trabajos!D45="","",Trabajos!D45)</f>
        <v>Muestreo de suelos</v>
      </c>
      <c r="E45" s="17">
        <f>IF(Trabajos!J45="","",Trabajos!J45)</f>
        <v>75816.538461520002</v>
      </c>
      <c r="F45" s="17">
        <f>IF(Trabajos!O45="","",Trabajos!O45)</f>
        <v>122304</v>
      </c>
      <c r="G45" s="181"/>
      <c r="H45" s="17">
        <f>IF(Trabajos!H45&lt;&gt;"",E45-E45*G45,"")</f>
        <v>75816.538461520002</v>
      </c>
      <c r="I45" s="17">
        <f>IF(Trabajos!H45&lt;&gt;"",F45-F45*G45,"")</f>
        <v>122304</v>
      </c>
      <c r="J45" s="16">
        <f>IF(Trabajos!H45&lt;&gt;"",H45*0.55,"")</f>
        <v>41699.096153836006</v>
      </c>
      <c r="K45" s="16">
        <f>IF(Trabajos!H45&lt;&gt;"",H45*0.45,"")</f>
        <v>34117.442307684003</v>
      </c>
      <c r="L45" s="16" t="str">
        <f>IF(Trabajos!L45="","",Trabajos!L45)</f>
        <v>Zoom</v>
      </c>
    </row>
    <row r="46" spans="2:12" x14ac:dyDescent="0.25">
      <c r="B46" s="52">
        <f>IF(Trabajos!B46="","",Trabajos!B46)</f>
        <v>45925</v>
      </c>
      <c r="C46" s="53" t="str">
        <f>IF(Trabajos!F46="","",Trabajos!F46)</f>
        <v>Espartina S.A.</v>
      </c>
      <c r="D46" s="54" t="str">
        <f>IF(Trabajos!D46="","",Trabajos!D46)</f>
        <v>Monitoreo de bb y bab</v>
      </c>
      <c r="E46" s="17">
        <f>IF(Trabajos!J46="","",Trabajos!J46)</f>
        <v>458332.15999999997</v>
      </c>
      <c r="F46" s="17">
        <f>IF(Trabajos!O46="","",Trabajos!O46)</f>
        <v>0</v>
      </c>
      <c r="G46" s="181"/>
      <c r="H46" s="17">
        <f>IF(Trabajos!H46&lt;&gt;"",E46-E46*G46,"")</f>
        <v>458332.15999999997</v>
      </c>
      <c r="I46" s="17">
        <f>IF(Trabajos!H46&lt;&gt;"",F46-F46*G46,"")</f>
        <v>0</v>
      </c>
      <c r="J46" s="16">
        <f>IF(Trabajos!H46&lt;&gt;"",H46*0.55,"")</f>
        <v>252082.68799999999</v>
      </c>
      <c r="K46" s="16">
        <f>IF(Trabajos!H46&lt;&gt;"",H46*0.45,"")</f>
        <v>206249.47199999998</v>
      </c>
      <c r="L46" s="16" t="str">
        <f>IF(Trabajos!L46="","",Trabajos!L46)</f>
        <v>Tomas</v>
      </c>
    </row>
    <row r="47" spans="2:12" x14ac:dyDescent="0.25">
      <c r="B47" s="52">
        <f>IF(Trabajos!B47="","",Trabajos!B47)</f>
        <v>45925</v>
      </c>
      <c r="C47" s="53" t="str">
        <f>IF(Trabajos!F47="","",Trabajos!F47)</f>
        <v>Espartina S.A.</v>
      </c>
      <c r="D47" s="54" t="str">
        <f>IF(Trabajos!D47="","",Trabajos!D47)</f>
        <v>Monitoreo de bb y bab</v>
      </c>
      <c r="E47" s="17">
        <f>IF(Trabajos!J47="","",Trabajos!J47)</f>
        <v>429486.07999999996</v>
      </c>
      <c r="F47" s="17">
        <f>IF(Trabajos!O47="","",Trabajos!O47)</f>
        <v>91728</v>
      </c>
      <c r="G47" s="181"/>
      <c r="H47" s="17">
        <f>IF(Trabajos!H47&lt;&gt;"",E47-E47*G47,"")</f>
        <v>429486.07999999996</v>
      </c>
      <c r="I47" s="17">
        <f>IF(Trabajos!H47&lt;&gt;"",F47-F47*G47,"")</f>
        <v>91728</v>
      </c>
      <c r="J47" s="16">
        <f>IF(Trabajos!H47&lt;&gt;"",H47*0.55,"")</f>
        <v>236217.34399999998</v>
      </c>
      <c r="K47" s="16">
        <f>IF(Trabajos!H47&lt;&gt;"",H47*0.45,"")</f>
        <v>193268.73599999998</v>
      </c>
      <c r="L47" s="16" t="str">
        <f>IF(Trabajos!L47="","",Trabajos!L47)</f>
        <v>Tomas</v>
      </c>
    </row>
    <row r="48" spans="2:12" x14ac:dyDescent="0.25">
      <c r="B48" s="52">
        <f>IF(Trabajos!B48="","",Trabajos!B48)</f>
        <v>45925</v>
      </c>
      <c r="C48" s="53" t="str">
        <f>IF(Trabajos!F48="","",Trabajos!F48)</f>
        <v>Cía. de Tierras Sud Argentino S.A.</v>
      </c>
      <c r="D48" s="54" t="str">
        <f>IF(Trabajos!D48="","",Trabajos!D48)</f>
        <v>Monitoreo de bb y bab</v>
      </c>
      <c r="E48" s="17">
        <f>IF(Trabajos!J48="","",Trabajos!J48)</f>
        <v>869400</v>
      </c>
      <c r="F48" s="17">
        <f>IF(Trabajos!O48="","",Trabajos!O48)</f>
        <v>32500</v>
      </c>
      <c r="G48" s="181"/>
      <c r="H48" s="17">
        <f>IF(Trabajos!H48&lt;&gt;"",E48-E48*G48,"")</f>
        <v>869400</v>
      </c>
      <c r="I48" s="17">
        <f>IF(Trabajos!H48&lt;&gt;"",F48-F48*G48,"")</f>
        <v>32500</v>
      </c>
      <c r="J48" s="16">
        <f>IF(Trabajos!H48&lt;&gt;"",H48*0.55,"")</f>
        <v>478170.00000000006</v>
      </c>
      <c r="K48" s="16">
        <f>IF(Trabajos!H48&lt;&gt;"",H48*0.45,"")</f>
        <v>391230</v>
      </c>
      <c r="L48" s="16" t="str">
        <f>IF(Trabajos!L48="","",Trabajos!L48)</f>
        <v>Zoom</v>
      </c>
    </row>
    <row r="49" spans="2:12" x14ac:dyDescent="0.25">
      <c r="B49" s="52">
        <f>IF(Trabajos!B49="","",Trabajos!B49)</f>
        <v>45925</v>
      </c>
      <c r="C49" s="53" t="str">
        <f>IF(Trabajos!F49="","",Trabajos!F49)</f>
        <v>Espartina S.A.</v>
      </c>
      <c r="D49" s="54" t="str">
        <f>IF(Trabajos!D49="","",Trabajos!D49)</f>
        <v>Monitoreo de bb y bab</v>
      </c>
      <c r="E49" s="17">
        <f>IF(Trabajos!J49="","",Trabajos!J49)</f>
        <v>645840</v>
      </c>
      <c r="F49" s="17">
        <f>IF(Trabajos!O49="","",Trabajos!O49)</f>
        <v>138264</v>
      </c>
      <c r="G49" s="181"/>
      <c r="H49" s="17">
        <f>IF(Trabajos!H49&lt;&gt;"",E49-E49*G49,"")</f>
        <v>645840</v>
      </c>
      <c r="I49" s="17">
        <f>IF(Trabajos!H49&lt;&gt;"",F49-F49*G49,"")</f>
        <v>138264</v>
      </c>
      <c r="J49" s="16">
        <f>IF(Trabajos!H49&lt;&gt;"",H49*0.55,"")</f>
        <v>355212</v>
      </c>
      <c r="K49" s="16">
        <f>IF(Trabajos!H49&lt;&gt;"",H49*0.45,"")</f>
        <v>290628</v>
      </c>
      <c r="L49" s="16" t="str">
        <f>IF(Trabajos!L49="","",Trabajos!L49)</f>
        <v>Paco</v>
      </c>
    </row>
    <row r="50" spans="2:12" x14ac:dyDescent="0.25">
      <c r="B50" s="52">
        <f>IF(Trabajos!B50="","",Trabajos!B50)</f>
        <v>45926</v>
      </c>
      <c r="C50" s="53" t="str">
        <f>IF(Trabajos!F50="","",Trabajos!F50)</f>
        <v>Espartina S.A.</v>
      </c>
      <c r="D50" s="54" t="str">
        <f>IF(Trabajos!D50="","",Trabajos!D50)</f>
        <v>Monitoreo de bb y bab</v>
      </c>
      <c r="E50" s="17">
        <f>IF(Trabajos!J50="","",Trabajos!J50)</f>
        <v>326250</v>
      </c>
      <c r="F50" s="17">
        <f>IF(Trabajos!O50="","",Trabajos!O50)</f>
        <v>103951.40000000001</v>
      </c>
      <c r="G50" s="181"/>
      <c r="H50" s="17">
        <f>IF(Trabajos!H50&lt;&gt;"",E50-E50*G50,"")</f>
        <v>326250</v>
      </c>
      <c r="I50" s="17">
        <f>IF(Trabajos!H50&lt;&gt;"",F50-F50*G50,"")</f>
        <v>103951.40000000001</v>
      </c>
      <c r="J50" s="16">
        <f>IF(Trabajos!H50&lt;&gt;"",H50*0.55,"")</f>
        <v>179437.5</v>
      </c>
      <c r="K50" s="16">
        <f>IF(Trabajos!H50&lt;&gt;"",H50*0.45,"")</f>
        <v>146812.5</v>
      </c>
      <c r="L50" s="16" t="str">
        <f>IF(Trabajos!L50="","",Trabajos!L50)</f>
        <v>Paco</v>
      </c>
    </row>
    <row r="51" spans="2:12" x14ac:dyDescent="0.25">
      <c r="B51" s="52">
        <f>IF(Trabajos!B51="","",Trabajos!B51)</f>
        <v>45926</v>
      </c>
      <c r="C51" s="53" t="str">
        <f>IF(Trabajos!F51="","",Trabajos!F51)</f>
        <v>Espartina S.A.</v>
      </c>
      <c r="D51" s="54" t="str">
        <f>IF(Trabajos!D51="","",Trabajos!D51)</f>
        <v>Monitoreo de bb y bab</v>
      </c>
      <c r="E51" s="17">
        <f>IF(Trabajos!J51="","",Trabajos!J51)</f>
        <v>430650</v>
      </c>
      <c r="F51" s="17">
        <f>IF(Trabajos!O51="","",Trabajos!O51)</f>
        <v>134376.20000000001</v>
      </c>
      <c r="G51" s="181"/>
      <c r="H51" s="17">
        <f>IF(Trabajos!H51&lt;&gt;"",E51-E51*G51,"")</f>
        <v>430650</v>
      </c>
      <c r="I51" s="17">
        <f>IF(Trabajos!H51&lt;&gt;"",F51-F51*G51,"")</f>
        <v>134376.20000000001</v>
      </c>
      <c r="J51" s="16">
        <f>IF(Trabajos!H51&lt;&gt;"",H51*0.55,"")</f>
        <v>236857.50000000003</v>
      </c>
      <c r="K51" s="16">
        <f>IF(Trabajos!H51&lt;&gt;"",H51*0.45,"")</f>
        <v>193792.5</v>
      </c>
      <c r="L51" s="16" t="str">
        <f>IF(Trabajos!L51="","",Trabajos!L51)</f>
        <v>Paco</v>
      </c>
    </row>
    <row r="52" spans="2:12" x14ac:dyDescent="0.25">
      <c r="B52" s="52">
        <f>IF(Trabajos!B52="","",Trabajos!B52)</f>
        <v>45926</v>
      </c>
      <c r="C52" s="53" t="str">
        <f>IF(Trabajos!F52="","",Trabajos!F52)</f>
        <v>Cía. de Tierras Sud Argentino S.A.</v>
      </c>
      <c r="D52" s="54" t="str">
        <f>IF(Trabajos!D52="","",Trabajos!D52)</f>
        <v>Monitoreo de bb y bab</v>
      </c>
      <c r="E52" s="17">
        <f>IF(Trabajos!J52="","",Trabajos!J52)</f>
        <v>893550</v>
      </c>
      <c r="F52" s="17">
        <f>IF(Trabajos!O52="","",Trabajos!O52)</f>
        <v>32500</v>
      </c>
      <c r="G52" s="181"/>
      <c r="H52" s="17">
        <f>IF(Trabajos!H52&lt;&gt;"",E52-E52*G52,"")</f>
        <v>893550</v>
      </c>
      <c r="I52" s="17">
        <f>IF(Trabajos!H52&lt;&gt;"",F52-F52*G52,"")</f>
        <v>32500</v>
      </c>
      <c r="J52" s="16">
        <f>IF(Trabajos!H52&lt;&gt;"",H52*0.55,"")</f>
        <v>491452.50000000006</v>
      </c>
      <c r="K52" s="16">
        <f>IF(Trabajos!H52&lt;&gt;"",H52*0.45,"")</f>
        <v>402097.5</v>
      </c>
      <c r="L52" s="16" t="str">
        <f>IF(Trabajos!L52="","",Trabajos!L52)</f>
        <v>Zoom</v>
      </c>
    </row>
    <row r="53" spans="2:12" x14ac:dyDescent="0.25">
      <c r="B53" s="52">
        <f>IF(Trabajos!B53="","",Trabajos!B53)</f>
        <v>45929</v>
      </c>
      <c r="C53" s="53" t="str">
        <f>IF(Trabajos!F53="","",Trabajos!F53)</f>
        <v>Espartina S.A.</v>
      </c>
      <c r="D53" s="54" t="str">
        <f>IF(Trabajos!D53="","",Trabajos!D53)</f>
        <v>Monitoreo de bb y bab</v>
      </c>
      <c r="E53" s="17">
        <f>IF(Trabajos!J53="","",Trabajos!J53)</f>
        <v>379406.25</v>
      </c>
      <c r="F53" s="17">
        <f>IF(Trabajos!O53="","",Trabajos!O53)</f>
        <v>123480</v>
      </c>
      <c r="G53" s="181"/>
      <c r="H53" s="17">
        <f>IF(Trabajos!H53&lt;&gt;"",E53-E53*G53,"")</f>
        <v>379406.25</v>
      </c>
      <c r="I53" s="17">
        <f>IF(Trabajos!H53&lt;&gt;"",F53-F53*G53,"")</f>
        <v>123480</v>
      </c>
      <c r="J53" s="16">
        <f>IF(Trabajos!H53&lt;&gt;"",H53*0.55,"")</f>
        <v>208673.43750000003</v>
      </c>
      <c r="K53" s="16">
        <f>IF(Trabajos!H53&lt;&gt;"",H53*0.45,"")</f>
        <v>170732.8125</v>
      </c>
      <c r="L53" s="16" t="str">
        <f>IF(Trabajos!L53="","",Trabajos!L53)</f>
        <v>Paco</v>
      </c>
    </row>
    <row r="54" spans="2:12" x14ac:dyDescent="0.25">
      <c r="B54" s="52">
        <f>IF(Trabajos!B54="","",Trabajos!B54)</f>
        <v>45929</v>
      </c>
      <c r="C54" s="53" t="str">
        <f>IF(Trabajos!F54="","",Trabajos!F54)</f>
        <v>Cía. de Tierras Sud Argentino S.A.</v>
      </c>
      <c r="D54" s="54" t="str">
        <f>IF(Trabajos!D54="","",Trabajos!D54)</f>
        <v>Monitoreo de bb y bab</v>
      </c>
      <c r="E54" s="17">
        <f>IF(Trabajos!J54="","",Trabajos!J54)</f>
        <v>1028100</v>
      </c>
      <c r="F54" s="17">
        <f>IF(Trabajos!O54="","",Trabajos!O54)</f>
        <v>32500</v>
      </c>
      <c r="G54" s="181"/>
      <c r="H54" s="17">
        <f>IF(Trabajos!H54&lt;&gt;"",E54-E54*G54,"")</f>
        <v>1028100</v>
      </c>
      <c r="I54" s="17">
        <f>IF(Trabajos!H54&lt;&gt;"",F54-F54*G54,"")</f>
        <v>32500</v>
      </c>
      <c r="J54" s="16">
        <f>IF(Trabajos!H54&lt;&gt;"",H54*0.55,"")</f>
        <v>565455</v>
      </c>
      <c r="K54" s="16">
        <f>IF(Trabajos!H54&lt;&gt;"",H54*0.45,"")</f>
        <v>462645</v>
      </c>
      <c r="L54" s="16" t="str">
        <f>IF(Trabajos!L54="","",Trabajos!L54)</f>
        <v>Tomas</v>
      </c>
    </row>
    <row r="55" spans="2:12" x14ac:dyDescent="0.25">
      <c r="B55" s="52">
        <f>IF(Trabajos!B55="","",Trabajos!B55)</f>
        <v>45930</v>
      </c>
      <c r="C55" s="53" t="str">
        <f>IF(Trabajos!F55="","",Trabajos!F55)</f>
        <v>Espartina S.A.</v>
      </c>
      <c r="D55" s="54" t="str">
        <f>IF(Trabajos!D55="","",Trabajos!D55)</f>
        <v>Monitoreo de bb y bab</v>
      </c>
      <c r="E55" s="17">
        <f>IF(Trabajos!J55="","",Trabajos!J55)</f>
        <v>303525</v>
      </c>
      <c r="F55" s="17">
        <f>IF(Trabajos!O55="","",Trabajos!O55)</f>
        <v>0</v>
      </c>
      <c r="G55" s="181"/>
      <c r="H55" s="17">
        <f>IF(Trabajos!H55&lt;&gt;"",E55-E55*G55,"")</f>
        <v>303525</v>
      </c>
      <c r="I55" s="17">
        <f>IF(Trabajos!H55&lt;&gt;"",F55-F55*G55,"")</f>
        <v>0</v>
      </c>
      <c r="J55" s="16">
        <f>IF(Trabajos!H55&lt;&gt;"",H55*0.55,"")</f>
        <v>166938.75</v>
      </c>
      <c r="K55" s="16">
        <f>IF(Trabajos!H55&lt;&gt;"",H55*0.45,"")</f>
        <v>136586.25</v>
      </c>
      <c r="L55" s="16" t="str">
        <f>IF(Trabajos!L55="","",Trabajos!L55)</f>
        <v>Paco</v>
      </c>
    </row>
    <row r="56" spans="2:12" x14ac:dyDescent="0.25">
      <c r="B56" s="52">
        <f>IF(Trabajos!B56="","",Trabajos!B56)</f>
        <v>45930</v>
      </c>
      <c r="C56" s="53" t="str">
        <f>IF(Trabajos!F56="","",Trabajos!F56)</f>
        <v>Espartina S.A.</v>
      </c>
      <c r="D56" s="54" t="str">
        <f>IF(Trabajos!D56="","",Trabajos!D56)</f>
        <v>Monitoreo de bb y bab</v>
      </c>
      <c r="E56" s="17">
        <f>IF(Trabajos!J56="","",Trabajos!J56)</f>
        <v>303525</v>
      </c>
      <c r="F56" s="17">
        <f>IF(Trabajos!O56="","",Trabajos!O56)</f>
        <v>109368</v>
      </c>
      <c r="G56" s="181"/>
      <c r="H56" s="17">
        <f>IF(Trabajos!H56&lt;&gt;"",E56-E56*G56,"")</f>
        <v>303525</v>
      </c>
      <c r="I56" s="17">
        <f>IF(Trabajos!H56&lt;&gt;"",F56-F56*G56,"")</f>
        <v>109368</v>
      </c>
      <c r="J56" s="16">
        <f>IF(Trabajos!H56&lt;&gt;"",H56*0.55,"")</f>
        <v>166938.75</v>
      </c>
      <c r="K56" s="16">
        <f>IF(Trabajos!H56&lt;&gt;"",H56*0.45,"")</f>
        <v>136586.25</v>
      </c>
      <c r="L56" s="16" t="str">
        <f>IF(Trabajos!L56="","",Trabajos!L56)</f>
        <v>Paco</v>
      </c>
    </row>
    <row r="57" spans="2:12" x14ac:dyDescent="0.25">
      <c r="B57" s="52">
        <f>IF(Trabajos!B57="","",Trabajos!B57)</f>
        <v>45930</v>
      </c>
      <c r="C57" s="53" t="str">
        <f>IF(Trabajos!F57="","",Trabajos!F57)</f>
        <v>Cía. de Tierras Sud Argentino S.A.</v>
      </c>
      <c r="D57" s="54" t="str">
        <f>IF(Trabajos!D57="","",Trabajos!D57)</f>
        <v>Monitoreo de bb y bab</v>
      </c>
      <c r="E57" s="17">
        <f>IF(Trabajos!J57="","",Trabajos!J57)</f>
        <v>959100</v>
      </c>
      <c r="F57" s="17">
        <f>IF(Trabajos!O57="","",Trabajos!O57)</f>
        <v>32500</v>
      </c>
      <c r="G57" s="181"/>
      <c r="H57" s="17">
        <f>IF(Trabajos!H57&lt;&gt;"",E57-E57*G57,"")</f>
        <v>959100</v>
      </c>
      <c r="I57" s="17">
        <f>IF(Trabajos!H57&lt;&gt;"",F57-F57*G57,"")</f>
        <v>32500</v>
      </c>
      <c r="J57" s="16">
        <f>IF(Trabajos!H57&lt;&gt;"",H57*0.55,"")</f>
        <v>527505</v>
      </c>
      <c r="K57" s="16">
        <f>IF(Trabajos!H57&lt;&gt;"",H57*0.45,"")</f>
        <v>431595</v>
      </c>
      <c r="L57" s="16" t="str">
        <f>IF(Trabajos!L57="","",Trabajos!L57)</f>
        <v>Tomas</v>
      </c>
    </row>
    <row r="58" spans="2:12" x14ac:dyDescent="0.25">
      <c r="B58" s="52">
        <f>IF(Trabajos!B58="","",Trabajos!B58)</f>
        <v>45930</v>
      </c>
      <c r="C58" s="53" t="str">
        <f>IF(Trabajos!F58="","",Trabajos!F58)</f>
        <v>Cía. de Tierras Sud Argentino S.A.</v>
      </c>
      <c r="D58" s="54" t="str">
        <f>IF(Trabajos!D58="","",Trabajos!D58)</f>
        <v>Monitoreo de bb y bab</v>
      </c>
      <c r="E58" s="17">
        <f>IF(Trabajos!J58="","",Trabajos!J58)</f>
        <v>683100</v>
      </c>
      <c r="F58" s="17">
        <f>IF(Trabajos!O58="","",Trabajos!O58)</f>
        <v>65000</v>
      </c>
      <c r="G58" s="181"/>
      <c r="H58" s="17">
        <f>IF(Trabajos!H58&lt;&gt;"",E58-E58*G58,"")</f>
        <v>683100</v>
      </c>
      <c r="I58" s="17">
        <f>IF(Trabajos!H58&lt;&gt;"",F58-F58*G58,"")</f>
        <v>65000</v>
      </c>
      <c r="J58" s="16">
        <f>IF(Trabajos!H58&lt;&gt;"",H58*0.55,"")</f>
        <v>375705.00000000006</v>
      </c>
      <c r="K58" s="16">
        <f>IF(Trabajos!H58&lt;&gt;"",H58*0.45,"")</f>
        <v>307395</v>
      </c>
      <c r="L58" s="16" t="str">
        <f>IF(Trabajos!L58="","",Trabajos!L58)</f>
        <v>Zoom</v>
      </c>
    </row>
    <row r="59" spans="2:12" x14ac:dyDescent="0.25">
      <c r="B59" s="52">
        <f>IF(Trabajos!B59="","",Trabajos!B59)</f>
        <v>45931</v>
      </c>
      <c r="C59" s="53" t="str">
        <f>IF(Trabajos!F59="","",Trabajos!F59)</f>
        <v>Juan Rodriguez Rivas</v>
      </c>
      <c r="D59" s="54" t="str">
        <f>IF(Trabajos!D59="","",Trabajos!D59)</f>
        <v>Monitoreo de bb y bab</v>
      </c>
      <c r="E59" s="17">
        <f>IF(Trabajos!J59="","",Trabajos!J59)</f>
        <v>748961.25</v>
      </c>
      <c r="F59" s="17">
        <f>IF(Trabajos!O59="","",Trabajos!O59)</f>
        <v>170300</v>
      </c>
      <c r="G59" s="181"/>
      <c r="H59" s="17">
        <f>IF(Trabajos!H59&lt;&gt;"",E59-E59*G59,"")</f>
        <v>748961.25</v>
      </c>
      <c r="I59" s="17">
        <f>IF(Trabajos!H59&lt;&gt;"",F59-F59*G59,"")</f>
        <v>170300</v>
      </c>
      <c r="J59" s="16">
        <f>IF(Trabajos!H59&lt;&gt;"",H59*0.55,"")</f>
        <v>411928.68750000006</v>
      </c>
      <c r="K59" s="16">
        <f>IF(Trabajos!H59&lt;&gt;"",H59*0.45,"")</f>
        <v>337032.5625</v>
      </c>
      <c r="L59" s="16" t="str">
        <f>IF(Trabajos!L59="","",Trabajos!L59)</f>
        <v>Paco</v>
      </c>
    </row>
    <row r="60" spans="2:12" x14ac:dyDescent="0.25">
      <c r="B60" s="52">
        <f>IF(Trabajos!B60="","",Trabajos!B60)</f>
        <v>45931</v>
      </c>
      <c r="C60" s="53" t="str">
        <f>IF(Trabajos!F60="","",Trabajos!F60)</f>
        <v>Espartina S.A.</v>
      </c>
      <c r="D60" s="54" t="str">
        <f>IF(Trabajos!D60="","",Trabajos!D60)</f>
        <v>Monitoreo de bb y bab</v>
      </c>
      <c r="E60" s="17">
        <f>IF(Trabajos!J60="","",Trabajos!J60)</f>
        <v>549380.25</v>
      </c>
      <c r="F60" s="17">
        <f>IF(Trabajos!O60="","",Trabajos!O60)</f>
        <v>91728</v>
      </c>
      <c r="G60" s="181"/>
      <c r="H60" s="17">
        <f>IF(Trabajos!H60&lt;&gt;"",E60-E60*G60,"")</f>
        <v>549380.25</v>
      </c>
      <c r="I60" s="17">
        <f>IF(Trabajos!H60&lt;&gt;"",F60-F60*G60,"")</f>
        <v>91728</v>
      </c>
      <c r="J60" s="16">
        <f>IF(Trabajos!H60&lt;&gt;"",H60*0.55,"")</f>
        <v>302159.13750000001</v>
      </c>
      <c r="K60" s="16">
        <f>IF(Trabajos!H60&lt;&gt;"",H60*0.45,"")</f>
        <v>247221.11250000002</v>
      </c>
      <c r="L60" s="16" t="str">
        <f>IF(Trabajos!L60="","",Trabajos!L60)</f>
        <v>Zoom</v>
      </c>
    </row>
    <row r="61" spans="2:12" x14ac:dyDescent="0.25">
      <c r="B61" s="52">
        <f>IF(Trabajos!B61="","",Trabajos!B61)</f>
        <v>45931</v>
      </c>
      <c r="C61" s="53" t="str">
        <f>IF(Trabajos!F61="","",Trabajos!F61)</f>
        <v>Purtierra</v>
      </c>
      <c r="D61" s="54" t="str">
        <f>IF(Trabajos!D61="","",Trabajos!D61)</f>
        <v>Monitoreo de bb y bab</v>
      </c>
      <c r="E61" s="17">
        <f>IF(Trabajos!J61="","",Trabajos!J61)</f>
        <v>880280</v>
      </c>
      <c r="F61" s="17">
        <f>IF(Trabajos!O61="","",Trabajos!O61)</f>
        <v>59800</v>
      </c>
      <c r="G61" s="181"/>
      <c r="H61" s="17">
        <f>IF(Trabajos!H61&lt;&gt;"",E61-E61*G61,"")</f>
        <v>880280</v>
      </c>
      <c r="I61" s="17">
        <f>IF(Trabajos!H61&lt;&gt;"",F61-F61*G61,"")</f>
        <v>59800</v>
      </c>
      <c r="J61" s="16">
        <f>IF(Trabajos!H61&lt;&gt;"",H61*0.55,"")</f>
        <v>484154.00000000006</v>
      </c>
      <c r="K61" s="16">
        <f>IF(Trabajos!H61&lt;&gt;"",H61*0.45,"")</f>
        <v>396126</v>
      </c>
      <c r="L61" s="16" t="str">
        <f>IF(Trabajos!L61="","",Trabajos!L61)</f>
        <v>Zoom</v>
      </c>
    </row>
    <row r="62" spans="2:12" x14ac:dyDescent="0.25">
      <c r="B62" s="52">
        <f>IF(Trabajos!B62="","",Trabajos!B62)</f>
        <v>45932</v>
      </c>
      <c r="C62" s="53" t="str">
        <f>IF(Trabajos!F62="","",Trabajos!F62)</f>
        <v>Espartina S.A.</v>
      </c>
      <c r="D62" s="54" t="str">
        <f>IF(Trabajos!D62="","",Trabajos!D62)</f>
        <v>Monitoreo de bb y bab</v>
      </c>
      <c r="E62" s="17">
        <f>IF(Trabajos!J62="","",Trabajos!J62)</f>
        <v>555450.75</v>
      </c>
      <c r="F62" s="17">
        <f>IF(Trabajos!O62="","",Trabajos!O62)</f>
        <v>161112</v>
      </c>
      <c r="G62" s="181"/>
      <c r="H62" s="17">
        <f>IF(Trabajos!H62&lt;&gt;"",E62-E62*G62,"")</f>
        <v>555450.75</v>
      </c>
      <c r="I62" s="17">
        <f>IF(Trabajos!H62&lt;&gt;"",F62-F62*G62,"")</f>
        <v>161112</v>
      </c>
      <c r="J62" s="16">
        <f>IF(Trabajos!H62&lt;&gt;"",H62*0.55,"")</f>
        <v>305497.91250000003</v>
      </c>
      <c r="K62" s="16">
        <f>IF(Trabajos!H62&lt;&gt;"",H62*0.45,"")</f>
        <v>249952.83749999999</v>
      </c>
      <c r="L62" s="16" t="str">
        <f>IF(Trabajos!L62="","",Trabajos!L62)</f>
        <v>Paco</v>
      </c>
    </row>
    <row r="63" spans="2:12" x14ac:dyDescent="0.25">
      <c r="B63" s="52">
        <f>IF(Trabajos!B63="","",Trabajos!B63)</f>
        <v>45932</v>
      </c>
      <c r="C63" s="53" t="str">
        <f>IF(Trabajos!F63="","",Trabajos!F63)</f>
        <v>Espartina S.A.</v>
      </c>
      <c r="D63" s="54" t="str">
        <f>IF(Trabajos!D63="","",Trabajos!D63)</f>
        <v>Monitoreo de bb y bab</v>
      </c>
      <c r="E63" s="17">
        <f>IF(Trabajos!J63="","",Trabajos!J63)</f>
        <v>1016808.75</v>
      </c>
      <c r="F63" s="17">
        <f>IF(Trabajos!O63="","",Trabajos!O63)</f>
        <v>91728</v>
      </c>
      <c r="G63" s="181"/>
      <c r="H63" s="17">
        <f>IF(Trabajos!H63&lt;&gt;"",E63-E63*G63,"")</f>
        <v>1016808.75</v>
      </c>
      <c r="I63" s="17">
        <f>IF(Trabajos!H63&lt;&gt;"",F63-F63*G63,"")</f>
        <v>91728</v>
      </c>
      <c r="J63" s="16">
        <f>IF(Trabajos!H63&lt;&gt;"",H63*0.55,"")</f>
        <v>559244.8125</v>
      </c>
      <c r="K63" s="16">
        <f>IF(Trabajos!H63&lt;&gt;"",H63*0.45,"")</f>
        <v>457563.9375</v>
      </c>
      <c r="L63" s="16" t="str">
        <f>IF(Trabajos!L63="","",Trabajos!L63)</f>
        <v>Tomas</v>
      </c>
    </row>
    <row r="64" spans="2:12" x14ac:dyDescent="0.25">
      <c r="B64" s="52">
        <f>IF(Trabajos!B64="","",Trabajos!B64)</f>
        <v>45933</v>
      </c>
      <c r="C64" s="53" t="str">
        <f>IF(Trabajos!F64="","",Trabajos!F64)</f>
        <v>Espartina S.A.</v>
      </c>
      <c r="D64" s="54" t="str">
        <f>IF(Trabajos!D64="","",Trabajos!D64)</f>
        <v>Monitoreo de bb y bab</v>
      </c>
      <c r="E64" s="17">
        <f>IF(Trabajos!J64="","",Trabajos!J64)</f>
        <v>558486</v>
      </c>
      <c r="F64" s="17">
        <f>IF(Trabajos!O64="","",Trabajos!O64)</f>
        <v>0</v>
      </c>
      <c r="G64" s="181"/>
      <c r="H64" s="17">
        <f>IF(Trabajos!H64&lt;&gt;"",E64-E64*G64,"")</f>
        <v>558486</v>
      </c>
      <c r="I64" s="17">
        <f>IF(Trabajos!H64&lt;&gt;"",F64-F64*G64,"")</f>
        <v>0</v>
      </c>
      <c r="J64" s="16">
        <f>IF(Trabajos!H64&lt;&gt;"",H64*0.55,"")</f>
        <v>307167.30000000005</v>
      </c>
      <c r="K64" s="16">
        <f>IF(Trabajos!H64&lt;&gt;"",H64*0.45,"")</f>
        <v>251318.7</v>
      </c>
      <c r="L64" s="16" t="str">
        <f>IF(Trabajos!L64="","",Trabajos!L64)</f>
        <v>Paco</v>
      </c>
    </row>
    <row r="65" spans="2:15" x14ac:dyDescent="0.25">
      <c r="B65" s="52">
        <f>IF(Trabajos!B65="","",Trabajos!B65)</f>
        <v>45933</v>
      </c>
      <c r="C65" s="53" t="str">
        <f>IF(Trabajos!F65="","",Trabajos!F65)</f>
        <v>Espartina S.A.</v>
      </c>
      <c r="D65" s="54" t="str">
        <f>IF(Trabajos!D65="","",Trabajos!D65)</f>
        <v>Monitoreo de bb y bab</v>
      </c>
      <c r="E65" s="17">
        <f>IF(Trabajos!J65="","",Trabajos!J65)</f>
        <v>558486</v>
      </c>
      <c r="F65" s="17">
        <f>IF(Trabajos!O65="","",Trabajos!O65)</f>
        <v>91728</v>
      </c>
      <c r="G65" s="181"/>
      <c r="H65" s="17">
        <f>IF(Trabajos!H65&lt;&gt;"",E65-E65*G65,"")</f>
        <v>558486</v>
      </c>
      <c r="I65" s="17">
        <f>IF(Trabajos!H65&lt;&gt;"",F65-F65*G65,"")</f>
        <v>91728</v>
      </c>
      <c r="J65" s="16">
        <f>IF(Trabajos!H65&lt;&gt;"",H65*0.55,"")</f>
        <v>307167.30000000005</v>
      </c>
      <c r="K65" s="16">
        <f>IF(Trabajos!H65&lt;&gt;"",H65*0.45,"")</f>
        <v>251318.7</v>
      </c>
      <c r="L65" s="16" t="str">
        <f>IF(Trabajos!L65="","",Trabajos!L65)</f>
        <v>Tomas</v>
      </c>
    </row>
    <row r="66" spans="2:15" x14ac:dyDescent="0.25">
      <c r="B66" s="52">
        <f>IF(Trabajos!B66="","",Trabajos!B66)</f>
        <v>45933</v>
      </c>
      <c r="C66" s="53" t="str">
        <f>IF(Trabajos!F66="","",Trabajos!F66)</f>
        <v>Ignacio Ridao</v>
      </c>
      <c r="D66" s="54" t="str">
        <f>IF(Trabajos!D66="","",Trabajos!D66)</f>
        <v>Monitoreo de bb y bab</v>
      </c>
      <c r="E66" s="17">
        <f>IF(Trabajos!J66="","",Trabajos!J66)</f>
        <v>286671.25</v>
      </c>
      <c r="F66" s="17">
        <f>IF(Trabajos!O66="","",Trabajos!O66)</f>
        <v>41600</v>
      </c>
      <c r="G66" s="181"/>
      <c r="H66" s="17">
        <f>IF(Trabajos!H66&lt;&gt;"",E66-E66*G66,"")</f>
        <v>286671.25</v>
      </c>
      <c r="I66" s="17">
        <f>IF(Trabajos!H66&lt;&gt;"",F66-F66*G66,"")</f>
        <v>41600</v>
      </c>
      <c r="J66" s="16">
        <f>IF(Trabajos!H66&lt;&gt;"",H66*0.55,"")</f>
        <v>157669.1875</v>
      </c>
      <c r="K66" s="16">
        <f>IF(Trabajos!H66&lt;&gt;"",H66*0.45,"")</f>
        <v>129002.0625</v>
      </c>
      <c r="L66" s="16" t="str">
        <f>IF(Trabajos!L66="","",Trabajos!L66)</f>
        <v>Tomas</v>
      </c>
    </row>
    <row r="67" spans="2:15" x14ac:dyDescent="0.25">
      <c r="B67" s="52">
        <f>IF(Trabajos!B67="","",Trabajos!B67)</f>
        <v>45934</v>
      </c>
      <c r="C67" s="53" t="str">
        <f>IF(Trabajos!F67="","",Trabajos!F67)</f>
        <v>Espartina S.A.</v>
      </c>
      <c r="D67" s="54" t="str">
        <f>IF(Trabajos!D67="","",Trabajos!D67)</f>
        <v>Monitoreo de bb y bab</v>
      </c>
      <c r="E67" s="17">
        <f>IF(Trabajos!J67="","",Trabajos!J67)</f>
        <v>610085.25</v>
      </c>
      <c r="F67" s="17">
        <f>IF(Trabajos!O67="","",Trabajos!O67)</f>
        <v>0</v>
      </c>
      <c r="G67" s="181"/>
      <c r="H67" s="17">
        <f>IF(Trabajos!H67&lt;&gt;"",E67-E67*G67,"")</f>
        <v>610085.25</v>
      </c>
      <c r="I67" s="17">
        <f>IF(Trabajos!H67&lt;&gt;"",F67-F67*G67,"")</f>
        <v>0</v>
      </c>
      <c r="J67" s="16">
        <f>IF(Trabajos!H67&lt;&gt;"",H67*0.55,"")</f>
        <v>335546.88750000001</v>
      </c>
      <c r="K67" s="16">
        <f>IF(Trabajos!H67&lt;&gt;"",H67*0.45,"")</f>
        <v>274538.36249999999</v>
      </c>
      <c r="L67" s="16" t="str">
        <f>IF(Trabajos!L67="","",Trabajos!L67)</f>
        <v>Paco</v>
      </c>
    </row>
    <row r="68" spans="2:15" x14ac:dyDescent="0.25">
      <c r="B68" s="52">
        <f>IF(Trabajos!B68="","",Trabajos!B68)</f>
        <v>45934</v>
      </c>
      <c r="C68" s="53" t="str">
        <f>IF(Trabajos!F68="","",Trabajos!F68)</f>
        <v>Espartina S.A.</v>
      </c>
      <c r="D68" s="54" t="str">
        <f>IF(Trabajos!D68="","",Trabajos!D68)</f>
        <v>Monitoreo de bb y bab</v>
      </c>
      <c r="E68" s="17">
        <f>IF(Trabajos!J68="","",Trabajos!J68)</f>
        <v>625261.5</v>
      </c>
      <c r="F68" s="17">
        <f>IF(Trabajos!O68="","",Trabajos!O68)</f>
        <v>138768</v>
      </c>
      <c r="G68" s="181"/>
      <c r="H68" s="17">
        <f>IF(Trabajos!H68&lt;&gt;"",E68-E68*G68,"")</f>
        <v>625261.5</v>
      </c>
      <c r="I68" s="17">
        <f>IF(Trabajos!H68&lt;&gt;"",F68-F68*G68,"")</f>
        <v>138768</v>
      </c>
      <c r="J68" s="16">
        <f>IF(Trabajos!H68&lt;&gt;"",H68*0.55,"")</f>
        <v>343893.82500000001</v>
      </c>
      <c r="K68" s="16">
        <f>IF(Trabajos!H68&lt;&gt;"",H68*0.45,"")</f>
        <v>281367.67499999999</v>
      </c>
      <c r="L68" s="16" t="str">
        <f>IF(Trabajos!L68="","",Trabajos!L68)</f>
        <v>Tomas</v>
      </c>
    </row>
    <row r="69" spans="2:15" x14ac:dyDescent="0.25">
      <c r="B69" s="52">
        <f>IF(Trabajos!B69="","",Trabajos!B69)</f>
        <v>45934</v>
      </c>
      <c r="C69" s="53" t="str">
        <f>IF(Trabajos!F69="","",Trabajos!F69)</f>
        <v>Nugas S.A.</v>
      </c>
      <c r="D69" s="54" t="str">
        <f>IF(Trabajos!D69="","",Trabajos!D69)</f>
        <v>Monitoreo de bb y bab</v>
      </c>
      <c r="E69" s="17">
        <f>IF(Trabajos!J69="","",Trabajos!J69)</f>
        <v>558827.5</v>
      </c>
      <c r="F69" s="17">
        <f>IF(Trabajos!O69="","",Trabajos!O69)</f>
        <v>104000</v>
      </c>
      <c r="G69" s="181"/>
      <c r="H69" s="17">
        <f>IF(Trabajos!H69&lt;&gt;"",E69-E69*G69,"")</f>
        <v>558827.5</v>
      </c>
      <c r="I69" s="17">
        <f>IF(Trabajos!H69&lt;&gt;"",F69-F69*G69,"")</f>
        <v>104000</v>
      </c>
      <c r="J69" s="16">
        <f>IF(Trabajos!H69&lt;&gt;"",H69*0.55,"")</f>
        <v>307355.125</v>
      </c>
      <c r="K69" s="16">
        <f>IF(Trabajos!H69&lt;&gt;"",H69*0.45,"")</f>
        <v>251472.375</v>
      </c>
      <c r="L69" s="16" t="str">
        <f>IF(Trabajos!L69="","",Trabajos!L69)</f>
        <v>Zoom</v>
      </c>
    </row>
    <row r="70" spans="2:15" x14ac:dyDescent="0.25">
      <c r="B70" s="52">
        <f>IF(Trabajos!B70="","",Trabajos!B70)</f>
        <v>45934</v>
      </c>
      <c r="C70" s="53" t="str">
        <f>IF(Trabajos!F70="","",Trabajos!F70)</f>
        <v>Bruno Fioriti</v>
      </c>
      <c r="D70" s="54" t="str">
        <f>IF(Trabajos!D70="","",Trabajos!D70)</f>
        <v>Monitoreo de bb y bab</v>
      </c>
      <c r="E70" s="17">
        <f>IF(Trabajos!J70="","",Trabajos!J70)</f>
        <v>203290</v>
      </c>
      <c r="F70" s="17">
        <f>IF(Trabajos!O70="","",Trabajos!O70)</f>
        <v>40300</v>
      </c>
      <c r="G70" s="181"/>
      <c r="H70" s="17">
        <f>IF(Trabajos!H70&lt;&gt;"",E70-E70*G70,"")</f>
        <v>203290</v>
      </c>
      <c r="I70" s="17">
        <f>IF(Trabajos!H70&lt;&gt;"",F70-F70*G70,"")</f>
        <v>40300</v>
      </c>
      <c r="J70" s="16">
        <f>IF(Trabajos!H70&lt;&gt;"",H70*0.55,"")</f>
        <v>111809.50000000001</v>
      </c>
      <c r="K70" s="16">
        <f>IF(Trabajos!H70&lt;&gt;"",H70*0.45,"")</f>
        <v>91480.5</v>
      </c>
      <c r="L70" s="16" t="str">
        <f>IF(Trabajos!L70="","",Trabajos!L70)</f>
        <v>Zoom</v>
      </c>
    </row>
    <row r="71" spans="2:15" x14ac:dyDescent="0.25">
      <c r="B71" s="52">
        <f>IF(Trabajos!B71="","",Trabajos!B71)</f>
        <v>45934</v>
      </c>
      <c r="C71" s="53" t="str">
        <f>IF(Trabajos!F71="","",Trabajos!F71)</f>
        <v>Espartina S.A.</v>
      </c>
      <c r="D71" s="54" t="str">
        <f>IF(Trabajos!D71="","",Trabajos!D71)</f>
        <v>Muestreo de suelos</v>
      </c>
      <c r="E71" s="17">
        <f>IF(Trabajos!J71="","",Trabajos!J71)</f>
        <v>75816.538461520002</v>
      </c>
      <c r="F71" s="17">
        <f>IF(Trabajos!O71="","",Trabajos!O71)</f>
        <v>0</v>
      </c>
      <c r="G71" s="181"/>
      <c r="H71" s="17">
        <f>IF(Trabajos!H71&lt;&gt;"",E71-E71*G71,"")</f>
        <v>75816.538461520002</v>
      </c>
      <c r="I71" s="17">
        <f>IF(Trabajos!H71&lt;&gt;"",F71-F71*G71,"")</f>
        <v>0</v>
      </c>
      <c r="J71" s="16">
        <f>IF(Trabajos!H71&lt;&gt;"",H71*0.55,"")</f>
        <v>41699.096153836006</v>
      </c>
      <c r="K71" s="16">
        <f>IF(Trabajos!H71&lt;&gt;"",H71*0.45,"")</f>
        <v>34117.442307684003</v>
      </c>
      <c r="L71" s="16" t="str">
        <f>IF(Trabajos!L71="","",Trabajos!L71)</f>
        <v>Zoom</v>
      </c>
      <c r="O71" t="s">
        <v>4</v>
      </c>
    </row>
    <row r="72" spans="2:15" x14ac:dyDescent="0.25">
      <c r="B72" s="52">
        <f>IF(Trabajos!B72="","",Trabajos!B72)</f>
        <v>45934</v>
      </c>
      <c r="C72" s="53" t="str">
        <f>IF(Trabajos!F72="","",Trabajos!F72)</f>
        <v>Espartina S.A.</v>
      </c>
      <c r="D72" s="54" t="str">
        <f>IF(Trabajos!D72="","",Trabajos!D72)</f>
        <v>Muestreo de suelos</v>
      </c>
      <c r="E72" s="17">
        <f>IF(Trabajos!J72="","",Trabajos!J72)</f>
        <v>75816.538461520002</v>
      </c>
      <c r="F72" s="17">
        <f>IF(Trabajos!O72="","",Trabajos!O72)</f>
        <v>0</v>
      </c>
      <c r="G72" s="181"/>
      <c r="H72" s="17">
        <f>IF(Trabajos!H72&lt;&gt;"",E72-E72*G72,"")</f>
        <v>75816.538461520002</v>
      </c>
      <c r="I72" s="17">
        <f>IF(Trabajos!H72&lt;&gt;"",F72-F72*G72,"")</f>
        <v>0</v>
      </c>
      <c r="J72" s="16">
        <f>IF(Trabajos!H72&lt;&gt;"",H72*0.55,"")</f>
        <v>41699.096153836006</v>
      </c>
      <c r="K72" s="16">
        <f>IF(Trabajos!H72&lt;&gt;"",H72*0.45,"")</f>
        <v>34117.442307684003</v>
      </c>
      <c r="L72" s="16" t="str">
        <f>IF(Trabajos!L72="","",Trabajos!L72)</f>
        <v>Zoom</v>
      </c>
    </row>
    <row r="73" spans="2:15" x14ac:dyDescent="0.25">
      <c r="B73" s="52">
        <f>IF(Trabajos!B73="","",Trabajos!B73)</f>
        <v>45937</v>
      </c>
      <c r="C73" s="53" t="str">
        <f>IF(Trabajos!F73="","",Trabajos!F73)</f>
        <v>Espartina S.A.</v>
      </c>
      <c r="D73" s="54" t="str">
        <f>IF(Trabajos!D73="","",Trabajos!D73)</f>
        <v>Monitoreo de bb y bab</v>
      </c>
      <c r="E73" s="17">
        <f>IF(Trabajos!J73="","",Trabajos!J73)</f>
        <v>1365862.5</v>
      </c>
      <c r="F73" s="17">
        <f>IF(Trabajos!O73="","",Trabajos!O73)</f>
        <v>217560</v>
      </c>
      <c r="G73" s="181"/>
      <c r="H73" s="17">
        <f>IF(Trabajos!H73&lt;&gt;"",E73-E73*G73,"")</f>
        <v>1365862.5</v>
      </c>
      <c r="I73" s="17">
        <f>IF(Trabajos!H73&lt;&gt;"",F73-F73*G73,"")</f>
        <v>217560</v>
      </c>
      <c r="J73" s="16">
        <f>IF(Trabajos!H73&lt;&gt;"",H73*0.55,"")</f>
        <v>751224.37500000012</v>
      </c>
      <c r="K73" s="16">
        <f>IF(Trabajos!H73&lt;&gt;"",H73*0.45,"")</f>
        <v>614638.125</v>
      </c>
      <c r="L73" s="16" t="str">
        <f>IF(Trabajos!L73="","",Trabajos!L73)</f>
        <v>Tomas</v>
      </c>
    </row>
    <row r="74" spans="2:15" x14ac:dyDescent="0.25">
      <c r="B74" s="52">
        <f>IF(Trabajos!B74="","",Trabajos!B74)</f>
        <v>45938</v>
      </c>
      <c r="C74" s="53" t="str">
        <f>IF(Trabajos!F74="","",Trabajos!F74)</f>
        <v>Espartina S.A.</v>
      </c>
      <c r="D74" s="54" t="str">
        <f>IF(Trabajos!D74="","",Trabajos!D74)</f>
        <v>Monitoreo de bb y bab</v>
      </c>
      <c r="E74" s="17">
        <f>IF(Trabajos!J74="","",Trabajos!J74)</f>
        <v>382441.5</v>
      </c>
      <c r="F74" s="17">
        <f>IF(Trabajos!O74="","",Trabajos!O74)</f>
        <v>122304</v>
      </c>
      <c r="G74" s="181"/>
      <c r="H74" s="17">
        <f>IF(Trabajos!H74&lt;&gt;"",E74-E74*G74,"")</f>
        <v>382441.5</v>
      </c>
      <c r="I74" s="17">
        <f>IF(Trabajos!H74&lt;&gt;"",F74-F74*G74,"")</f>
        <v>122304</v>
      </c>
      <c r="J74" s="16">
        <f>IF(Trabajos!H74&lt;&gt;"",H74*0.55,"")</f>
        <v>210342.82500000001</v>
      </c>
      <c r="K74" s="16">
        <f>IF(Trabajos!H74&lt;&gt;"",H74*0.45,"")</f>
        <v>172098.67500000002</v>
      </c>
      <c r="L74" s="16" t="str">
        <f>IF(Trabajos!L74="","",Trabajos!L74)</f>
        <v>Paco</v>
      </c>
    </row>
    <row r="75" spans="2:15" x14ac:dyDescent="0.25">
      <c r="B75" s="52">
        <f>IF(Trabajos!B75="","",Trabajos!B75)</f>
        <v>45938</v>
      </c>
      <c r="C75" s="53" t="str">
        <f>IF(Trabajos!F75="","",Trabajos!F75)</f>
        <v>Espartina S.A.</v>
      </c>
      <c r="D75" s="54" t="str">
        <f>IF(Trabajos!D75="","",Trabajos!D75)</f>
        <v>Aplicación de cebos</v>
      </c>
      <c r="E75" s="17">
        <f>IF(Trabajos!J75="","",Trabajos!J75)</f>
        <v>1090125</v>
      </c>
      <c r="F75" s="17">
        <f>IF(Trabajos!O75="","",Trabajos!O75)</f>
        <v>98880.6</v>
      </c>
      <c r="G75" s="181"/>
      <c r="H75" s="17">
        <f>IF(Trabajos!H75&lt;&gt;"",E75-E75*G75,"")</f>
        <v>1090125</v>
      </c>
      <c r="I75" s="17">
        <f>IF(Trabajos!H75&lt;&gt;"",F75-F75*G75,"")</f>
        <v>98880.6</v>
      </c>
      <c r="J75" s="16">
        <f>IF(Trabajos!H75&lt;&gt;"",H75*0.55,"")</f>
        <v>599568.75</v>
      </c>
      <c r="K75" s="16">
        <f>IF(Trabajos!H75&lt;&gt;"",H75*0.45,"")</f>
        <v>490556.25</v>
      </c>
      <c r="L75" s="16" t="str">
        <f>IF(Trabajos!L75="","",Trabajos!L75)</f>
        <v>Tomas</v>
      </c>
    </row>
    <row r="76" spans="2:15" x14ac:dyDescent="0.25">
      <c r="B76" s="52">
        <f>IF(Trabajos!B76="","",Trabajos!B76)</f>
        <v>45938</v>
      </c>
      <c r="C76" s="53" t="str">
        <f>IF(Trabajos!F76="","",Trabajos!F76)</f>
        <v>Nugas S.A.</v>
      </c>
      <c r="D76" s="54" t="str">
        <f>IF(Trabajos!D76="","",Trabajos!D76)</f>
        <v>Monitoreo de bb y bab</v>
      </c>
      <c r="E76" s="17">
        <f>IF(Trabajos!J76="","",Trabajos!J76)</f>
        <v>830983.75</v>
      </c>
      <c r="F76" s="17">
        <f>IF(Trabajos!O76="","",Trabajos!O76)</f>
        <v>104000</v>
      </c>
      <c r="G76" s="181"/>
      <c r="H76" s="17">
        <f>IF(Trabajos!H76&lt;&gt;"",E76-E76*G76,"")</f>
        <v>830983.75</v>
      </c>
      <c r="I76" s="17">
        <f>IF(Trabajos!H76&lt;&gt;"",F76-F76*G76,"")</f>
        <v>104000</v>
      </c>
      <c r="J76" s="16">
        <f>IF(Trabajos!H76&lt;&gt;"",H76*0.55,"")</f>
        <v>457041.06250000006</v>
      </c>
      <c r="K76" s="16">
        <f>IF(Trabajos!H76&lt;&gt;"",H76*0.45,"")</f>
        <v>373942.6875</v>
      </c>
      <c r="L76" s="16" t="str">
        <f>IF(Trabajos!L76="","",Trabajos!L76)</f>
        <v>Zoom</v>
      </c>
    </row>
    <row r="77" spans="2:15" x14ac:dyDescent="0.25">
      <c r="B77" s="52">
        <f>IF(Trabajos!B77="","",Trabajos!B77)</f>
        <v>45938</v>
      </c>
      <c r="C77" s="53" t="str">
        <f>IF(Trabajos!F77="","",Trabajos!F77)</f>
        <v>La Nany S.A.</v>
      </c>
      <c r="D77" s="54" t="str">
        <f>IF(Trabajos!D77="","",Trabajos!D77)</f>
        <v>Muestreo de suelos</v>
      </c>
      <c r="E77" s="17">
        <f>IF(Trabajos!J77="","",Trabajos!J77)</f>
        <v>115800</v>
      </c>
      <c r="F77" s="17">
        <f>IF(Trabajos!O77="","",Trabajos!O77)</f>
        <v>0</v>
      </c>
      <c r="G77" s="181"/>
      <c r="H77" s="17">
        <f>IF(Trabajos!H77&lt;&gt;"",E77-E77*G77,"")</f>
        <v>115800</v>
      </c>
      <c r="I77" s="17">
        <f>IF(Trabajos!H77&lt;&gt;"",F77-F77*G77,"")</f>
        <v>0</v>
      </c>
      <c r="J77" s="16">
        <f>IF(Trabajos!H77&lt;&gt;"",H77*0.55,"")</f>
        <v>63690.000000000007</v>
      </c>
      <c r="K77" s="16">
        <f>IF(Trabajos!H77&lt;&gt;"",H77*0.45,"")</f>
        <v>52110</v>
      </c>
      <c r="L77" s="16" t="str">
        <f>IF(Trabajos!L77="","",Trabajos!L77)</f>
        <v>Zoom</v>
      </c>
    </row>
    <row r="78" spans="2:15" x14ac:dyDescent="0.25">
      <c r="B78" s="52">
        <f>IF(Trabajos!B78="","",Trabajos!B78)</f>
        <v>45938</v>
      </c>
      <c r="C78" s="53" t="str">
        <f>IF(Trabajos!F78="","",Trabajos!F78)</f>
        <v>La Nany S.A.</v>
      </c>
      <c r="D78" s="54" t="str">
        <f>IF(Trabajos!D78="","",Trabajos!D78)</f>
        <v>Muestreo de suelos</v>
      </c>
      <c r="E78" s="17">
        <f>IF(Trabajos!J78="","",Trabajos!J78)</f>
        <v>115800</v>
      </c>
      <c r="F78" s="17">
        <f>IF(Trabajos!O78="","",Trabajos!O78)</f>
        <v>67600</v>
      </c>
      <c r="G78" s="181"/>
      <c r="H78" s="17">
        <f>IF(Trabajos!H78&lt;&gt;"",E78-E78*G78,"")</f>
        <v>115800</v>
      </c>
      <c r="I78" s="17">
        <f>IF(Trabajos!H78&lt;&gt;"",F78-F78*G78,"")</f>
        <v>67600</v>
      </c>
      <c r="J78" s="16">
        <f>IF(Trabajos!H78&lt;&gt;"",H78*0.55,"")</f>
        <v>63690.000000000007</v>
      </c>
      <c r="K78" s="16">
        <f>IF(Trabajos!H78&lt;&gt;"",H78*0.45,"")</f>
        <v>52110</v>
      </c>
      <c r="L78" s="16" t="str">
        <f>IF(Trabajos!L78="","",Trabajos!L78)</f>
        <v>Zoom</v>
      </c>
    </row>
    <row r="79" spans="2:15" x14ac:dyDescent="0.25">
      <c r="B79" s="52">
        <f>IF(Trabajos!B79="","",Trabajos!B79)</f>
        <v>45939</v>
      </c>
      <c r="C79" s="53" t="str">
        <f>IF(Trabajos!F79="","",Trabajos!F79)</f>
        <v>Espartina S.A.</v>
      </c>
      <c r="D79" s="54" t="str">
        <f>IF(Trabajos!D79="","",Trabajos!D79)</f>
        <v>Monitoreo de bb y bab</v>
      </c>
      <c r="E79" s="17">
        <f>IF(Trabajos!J79="","",Trabajos!J79)</f>
        <v>449217</v>
      </c>
      <c r="F79" s="17">
        <f>IF(Trabajos!O79="","",Trabajos!O79)</f>
        <v>96432</v>
      </c>
      <c r="G79" s="181"/>
      <c r="H79" s="17">
        <f>IF(Trabajos!H79&lt;&gt;"",E79-E79*G79,"")</f>
        <v>449217</v>
      </c>
      <c r="I79" s="17">
        <f>IF(Trabajos!H79&lt;&gt;"",F79-F79*G79,"")</f>
        <v>96432</v>
      </c>
      <c r="J79" s="16">
        <f>IF(Trabajos!H79&lt;&gt;"",H79*0.55,"")</f>
        <v>247069.35</v>
      </c>
      <c r="K79" s="16">
        <f>IF(Trabajos!H79&lt;&gt;"",H79*0.45,"")</f>
        <v>202147.65</v>
      </c>
      <c r="L79" s="16" t="str">
        <f>IF(Trabajos!L79="","",Trabajos!L79)</f>
        <v>Paco</v>
      </c>
    </row>
    <row r="80" spans="2:15" x14ac:dyDescent="0.25">
      <c r="B80" s="52">
        <f>IF(Trabajos!B80="","",Trabajos!B80)</f>
        <v>45939</v>
      </c>
      <c r="C80" s="53" t="str">
        <f>IF(Trabajos!F80="","",Trabajos!F80)</f>
        <v>Campo Maipu S.A.</v>
      </c>
      <c r="D80" s="54" t="str">
        <f>IF(Trabajos!D80="","",Trabajos!D80)</f>
        <v>Monitoreo de bb y bab</v>
      </c>
      <c r="E80" s="17">
        <f>IF(Trabajos!J80="","",Trabajos!J80)</f>
        <v>490700</v>
      </c>
      <c r="F80" s="17">
        <f>IF(Trabajos!O80="","",Trabajos!O80)</f>
        <v>228800</v>
      </c>
      <c r="G80" s="181"/>
      <c r="H80" s="17">
        <f>IF(Trabajos!H80&lt;&gt;"",E80-E80*G80,"")</f>
        <v>490700</v>
      </c>
      <c r="I80" s="17">
        <f>IF(Trabajos!H80&lt;&gt;"",F80-F80*G80,"")</f>
        <v>228800</v>
      </c>
      <c r="J80" s="16">
        <f>IF(Trabajos!H80&lt;&gt;"",H80*0.55,"")</f>
        <v>269885</v>
      </c>
      <c r="K80" s="16">
        <f>IF(Trabajos!H80&lt;&gt;"",H80*0.45,"")</f>
        <v>220815</v>
      </c>
      <c r="L80" s="16" t="str">
        <f>IF(Trabajos!L80="","",Trabajos!L80)</f>
        <v>Zoom</v>
      </c>
    </row>
    <row r="81" spans="2:12" x14ac:dyDescent="0.25">
      <c r="B81" s="52">
        <f>IF(Trabajos!B81="","",Trabajos!B81)</f>
        <v>45939</v>
      </c>
      <c r="C81" s="53" t="str">
        <f>IF(Trabajos!F81="","",Trabajos!F81)</f>
        <v>Cofina Agro</v>
      </c>
      <c r="D81" s="54" t="str">
        <f>IF(Trabajos!D81="","",Trabajos!D81)</f>
        <v>Monitoreo de bb y bab</v>
      </c>
      <c r="E81" s="17">
        <f>IF(Trabajos!J81="","",Trabajos!J81)</f>
        <v>163406.25</v>
      </c>
      <c r="F81" s="17">
        <f>IF(Trabajos!O81="","",Trabajos!O81)</f>
        <v>40300</v>
      </c>
      <c r="G81" s="181"/>
      <c r="H81" s="17">
        <f>IF(Trabajos!H81&lt;&gt;"",E81-E81*G81,"")</f>
        <v>163406.25</v>
      </c>
      <c r="I81" s="17">
        <f>IF(Trabajos!H81&lt;&gt;"",F81-F81*G81,"")</f>
        <v>40300</v>
      </c>
      <c r="J81" s="16">
        <f>IF(Trabajos!H81&lt;&gt;"",H81*0.55,"")</f>
        <v>89873.4375</v>
      </c>
      <c r="K81" s="16">
        <f>IF(Trabajos!H81&lt;&gt;"",H81*0.45,"")</f>
        <v>73532.8125</v>
      </c>
      <c r="L81" s="16" t="str">
        <f>IF(Trabajos!L81="","",Trabajos!L81)</f>
        <v>Zoom</v>
      </c>
    </row>
    <row r="82" spans="2:12" x14ac:dyDescent="0.25">
      <c r="B82" s="52">
        <f>IF(Trabajos!B82="","",Trabajos!B82)</f>
        <v>45939</v>
      </c>
      <c r="C82" s="53" t="str">
        <f>IF(Trabajos!F82="","",Trabajos!F82)</f>
        <v>Nugas S.A.</v>
      </c>
      <c r="D82" s="54" t="str">
        <f>IF(Trabajos!D82="","",Trabajos!D82)</f>
        <v>Muestreo de suelos</v>
      </c>
      <c r="E82" s="17">
        <f>IF(Trabajos!J82="","",Trabajos!J82)</f>
        <v>224982.5</v>
      </c>
      <c r="F82" s="17">
        <f>IF(Trabajos!O82="","",Trabajos!O82)</f>
        <v>104000</v>
      </c>
      <c r="G82" s="181"/>
      <c r="H82" s="17">
        <f>IF(Trabajos!H82&lt;&gt;"",E82-E82*G82,"")</f>
        <v>224982.5</v>
      </c>
      <c r="I82" s="17">
        <f>IF(Trabajos!H82&lt;&gt;"",F82-F82*G82,"")</f>
        <v>104000</v>
      </c>
      <c r="J82" s="16">
        <f>IF(Trabajos!H82&lt;&gt;"",H82*0.55,"")</f>
        <v>123740.37500000001</v>
      </c>
      <c r="K82" s="16">
        <f>IF(Trabajos!H82&lt;&gt;"",H82*0.45,"")</f>
        <v>101242.125</v>
      </c>
      <c r="L82" s="16" t="str">
        <f>IF(Trabajos!L82="","",Trabajos!L82)</f>
        <v>Zoom</v>
      </c>
    </row>
    <row r="83" spans="2:12" x14ac:dyDescent="0.25">
      <c r="B83" s="52">
        <f>IF(Trabajos!B83="","",Trabajos!B83)</f>
        <v>45940</v>
      </c>
      <c r="C83" s="53" t="str">
        <f>IF(Trabajos!F83="","",Trabajos!F83)</f>
        <v>Espartina S.A.</v>
      </c>
      <c r="D83" s="54" t="str">
        <f>IF(Trabajos!D83="","",Trabajos!D83)</f>
        <v>Monitoreo de bb y bab</v>
      </c>
      <c r="E83" s="17">
        <f>IF(Trabajos!J83="","",Trabajos!J83)</f>
        <v>679896</v>
      </c>
      <c r="F83" s="17">
        <f>IF(Trabajos!O83="","",Trabajos!O83)</f>
        <v>96432</v>
      </c>
      <c r="G83" s="181"/>
      <c r="H83" s="17">
        <f>IF(Trabajos!H83&lt;&gt;"",E83-E83*G83,"")</f>
        <v>679896</v>
      </c>
      <c r="I83" s="17">
        <f>IF(Trabajos!H83&lt;&gt;"",F83-F83*G83,"")</f>
        <v>96432</v>
      </c>
      <c r="J83" s="16">
        <f>IF(Trabajos!H83&lt;&gt;"",H83*0.55,"")</f>
        <v>373942.80000000005</v>
      </c>
      <c r="K83" s="16">
        <f>IF(Trabajos!H83&lt;&gt;"",H83*0.45,"")</f>
        <v>305953.2</v>
      </c>
      <c r="L83" s="16" t="str">
        <f>IF(Trabajos!L83="","",Trabajos!L83)</f>
        <v>Paco</v>
      </c>
    </row>
    <row r="84" spans="2:12" x14ac:dyDescent="0.25">
      <c r="B84" s="52">
        <f>IF(Trabajos!B84="","",Trabajos!B84)</f>
        <v>45940</v>
      </c>
      <c r="C84" s="53" t="str">
        <f>IF(Trabajos!F84="","",Trabajos!F84)</f>
        <v>Espartina S.A.</v>
      </c>
      <c r="D84" s="54" t="str">
        <f>IF(Trabajos!D84="","",Trabajos!D84)</f>
        <v>Monitoreo de bb y bab</v>
      </c>
      <c r="E84" s="17">
        <f>IF(Trabajos!J84="","",Trabajos!J84)</f>
        <v>1238382</v>
      </c>
      <c r="F84" s="17">
        <f>IF(Trabajos!O84="","",Trabajos!O84)</f>
        <v>206976</v>
      </c>
      <c r="G84" s="181"/>
      <c r="H84" s="17">
        <f>IF(Trabajos!H84&lt;&gt;"",E84-E84*G84,"")</f>
        <v>1238382</v>
      </c>
      <c r="I84" s="17">
        <f>IF(Trabajos!H84&lt;&gt;"",F84-F84*G84,"")</f>
        <v>206976</v>
      </c>
      <c r="J84" s="16">
        <f>IF(Trabajos!H84&lt;&gt;"",H84*0.55,"")</f>
        <v>681110.10000000009</v>
      </c>
      <c r="K84" s="16">
        <f>IF(Trabajos!H84&lt;&gt;"",H84*0.45,"")</f>
        <v>557271.9</v>
      </c>
      <c r="L84" s="16" t="str">
        <f>IF(Trabajos!L84="","",Trabajos!L84)</f>
        <v>Zoom</v>
      </c>
    </row>
    <row r="85" spans="2:12" x14ac:dyDescent="0.25">
      <c r="B85" s="52">
        <f>IF(Trabajos!B85="","",Trabajos!B85)</f>
        <v>45940</v>
      </c>
      <c r="C85" s="53" t="str">
        <f>IF(Trabajos!F85="","",Trabajos!F85)</f>
        <v>Espartina S.A.</v>
      </c>
      <c r="D85" s="54" t="str">
        <f>IF(Trabajos!D85="","",Trabajos!D85)</f>
        <v>Monitoreo de bb y bab</v>
      </c>
      <c r="E85" s="17">
        <f>IF(Trabajos!J85="","",Trabajos!J85)</f>
        <v>370300.5</v>
      </c>
      <c r="F85" s="17">
        <f>IF(Trabajos!O85="","",Trabajos!O85)</f>
        <v>108192</v>
      </c>
      <c r="G85" s="181"/>
      <c r="H85" s="17">
        <f>IF(Trabajos!H85&lt;&gt;"",E85-E85*G85,"")</f>
        <v>370300.5</v>
      </c>
      <c r="I85" s="17">
        <f>IF(Trabajos!H85&lt;&gt;"",F85-F85*G85,"")</f>
        <v>108192</v>
      </c>
      <c r="J85" s="16">
        <f>IF(Trabajos!H85&lt;&gt;"",H85*0.55,"")</f>
        <v>203665.27500000002</v>
      </c>
      <c r="K85" s="16">
        <f>IF(Trabajos!H85&lt;&gt;"",H85*0.45,"")</f>
        <v>166635.22500000001</v>
      </c>
      <c r="L85" s="16" t="str">
        <f>IF(Trabajos!L85="","",Trabajos!L85)</f>
        <v>Zoom</v>
      </c>
    </row>
    <row r="86" spans="2:12" x14ac:dyDescent="0.25">
      <c r="B86" s="52">
        <f>IF(Trabajos!B86="","",Trabajos!B86)</f>
        <v>45940</v>
      </c>
      <c r="C86" s="53" t="str">
        <f>IF(Trabajos!F86="","",Trabajos!F86)</f>
        <v>Inalco</v>
      </c>
      <c r="D86" s="54" t="str">
        <f>IF(Trabajos!D86="","",Trabajos!D86)</f>
        <v>Monitoreo de bb y bab</v>
      </c>
      <c r="E86" s="17">
        <f>IF(Trabajos!J86="","",Trabajos!J86)</f>
        <v>334335</v>
      </c>
      <c r="F86" s="17">
        <f>IF(Trabajos!O86="","",Trabajos!O86)</f>
        <v>130000</v>
      </c>
      <c r="G86" s="181"/>
      <c r="H86" s="17">
        <f>IF(Trabajos!H86&lt;&gt;"",E86-E86*G86,"")</f>
        <v>334335</v>
      </c>
      <c r="I86" s="17">
        <f>IF(Trabajos!H86&lt;&gt;"",F86-F86*G86,"")</f>
        <v>130000</v>
      </c>
      <c r="J86" s="16">
        <f>IF(Trabajos!H86&lt;&gt;"",H86*0.55,"")</f>
        <v>183884.25000000003</v>
      </c>
      <c r="K86" s="16">
        <f>IF(Trabajos!H86&lt;&gt;"",H86*0.45,"")</f>
        <v>150450.75</v>
      </c>
      <c r="L86" s="16" t="str">
        <f>IF(Trabajos!L86="","",Trabajos!L86)</f>
        <v>Zoom</v>
      </c>
    </row>
    <row r="87" spans="2:12" x14ac:dyDescent="0.25">
      <c r="B87" s="52">
        <f>IF(Trabajos!B87="","",Trabajos!B87)</f>
        <v>45940</v>
      </c>
      <c r="C87" s="53" t="str">
        <f>IF(Trabajos!F87="","",Trabajos!F87)</f>
        <v>Espartina S.A.</v>
      </c>
      <c r="D87" s="54" t="str">
        <f>IF(Trabajos!D87="","",Trabajos!D87)</f>
        <v>Aplicación de cebos</v>
      </c>
      <c r="E87" s="17">
        <f>IF(Trabajos!J87="","",Trabajos!J87)</f>
        <v>777622.5</v>
      </c>
      <c r="F87" s="17">
        <f>IF(Trabajos!O87="","",Trabajos!O87)</f>
        <v>98880.6</v>
      </c>
      <c r="G87" s="181"/>
      <c r="H87" s="17">
        <f>IF(Trabajos!H87&lt;&gt;"",E87-E87*G87,"")</f>
        <v>777622.5</v>
      </c>
      <c r="I87" s="17">
        <f>IF(Trabajos!H87&lt;&gt;"",F87-F87*G87,"")</f>
        <v>98880.6</v>
      </c>
      <c r="J87" s="16">
        <f>IF(Trabajos!H87&lt;&gt;"",H87*0.55,"")</f>
        <v>427692.37500000006</v>
      </c>
      <c r="K87" s="16">
        <f>IF(Trabajos!H87&lt;&gt;"",H87*0.45,"")</f>
        <v>349930.125</v>
      </c>
      <c r="L87" s="16" t="str">
        <f>IF(Trabajos!L87="","",Trabajos!L87)</f>
        <v>Tomas</v>
      </c>
    </row>
    <row r="88" spans="2:12" x14ac:dyDescent="0.25">
      <c r="B88" s="52">
        <f>IF(Trabajos!B88="","",Trabajos!B88)</f>
        <v>45940</v>
      </c>
      <c r="C88" s="53" t="str">
        <f>IF(Trabajos!F88="","",Trabajos!F88)</f>
        <v>Domingo y Nestor Scioli</v>
      </c>
      <c r="D88" s="54" t="str">
        <f>IF(Trabajos!D88="","",Trabajos!D88)</f>
        <v>Mapeo Dron</v>
      </c>
      <c r="E88" s="17">
        <f>IF(Trabajos!J88="","",Trabajos!J88)</f>
        <v>1125009</v>
      </c>
      <c r="F88" s="17">
        <f>IF(Trabajos!O88="","",Trabajos!O88)</f>
        <v>0</v>
      </c>
      <c r="G88" s="181"/>
      <c r="H88" s="17">
        <f>IF(Trabajos!H88&lt;&gt;"",E88-E88*G88,"")</f>
        <v>1125009</v>
      </c>
      <c r="I88" s="17">
        <f>IF(Trabajos!H88&lt;&gt;"",F88-F88*G88,"")</f>
        <v>0</v>
      </c>
      <c r="J88" s="16">
        <f>IF(Trabajos!H88&lt;&gt;"",H88*0.55,"")</f>
        <v>618754.95000000007</v>
      </c>
      <c r="K88" s="16">
        <f>IF(Trabajos!H88&lt;&gt;"",H88*0.45,"")</f>
        <v>506254.05</v>
      </c>
      <c r="L88" s="16" t="str">
        <f>IF(Trabajos!L88="","",Trabajos!L88)</f>
        <v>Tomas</v>
      </c>
    </row>
    <row r="89" spans="2:12" x14ac:dyDescent="0.25">
      <c r="B89" s="52">
        <f>IF(Trabajos!B89="","",Trabajos!B89)</f>
        <v>45941</v>
      </c>
      <c r="C89" s="53" t="str">
        <f>IF(Trabajos!F89="","",Trabajos!F89)</f>
        <v>Espartina S.A.</v>
      </c>
      <c r="D89" s="54" t="str">
        <f>IF(Trabajos!D89="","",Trabajos!D89)</f>
        <v>Monitoreo de bb y bab</v>
      </c>
      <c r="E89" s="17">
        <f>IF(Trabajos!J89="","",Trabajos!J89)</f>
        <v>355124.25</v>
      </c>
      <c r="F89" s="17">
        <f>IF(Trabajos!O89="","",Trabajos!O89)</f>
        <v>0</v>
      </c>
      <c r="G89" s="181"/>
      <c r="H89" s="17">
        <f>IF(Trabajos!H89&lt;&gt;"",E89-E89*G89,"")</f>
        <v>355124.25</v>
      </c>
      <c r="I89" s="17">
        <f>IF(Trabajos!H89&lt;&gt;"",F89-F89*G89,"")</f>
        <v>0</v>
      </c>
      <c r="J89" s="16">
        <f>IF(Trabajos!H89&lt;&gt;"",H89*0.55,"")</f>
        <v>195318.33750000002</v>
      </c>
      <c r="K89" s="16">
        <f>IF(Trabajos!H89&lt;&gt;"",H89*0.45,"")</f>
        <v>159805.91250000001</v>
      </c>
      <c r="L89" s="16" t="str">
        <f>IF(Trabajos!L89="","",Trabajos!L89)</f>
        <v>Zoom</v>
      </c>
    </row>
    <row r="90" spans="2:12" x14ac:dyDescent="0.25">
      <c r="B90" s="52">
        <f>IF(Trabajos!B90="","",Trabajos!B90)</f>
        <v>45941</v>
      </c>
      <c r="C90" s="53" t="str">
        <f>IF(Trabajos!F90="","",Trabajos!F90)</f>
        <v>Espartina S.A.</v>
      </c>
      <c r="D90" s="54" t="str">
        <f>IF(Trabajos!D90="","",Trabajos!D90)</f>
        <v>Monitoreo de bb y bab</v>
      </c>
      <c r="E90" s="17">
        <f>IF(Trabajos!J90="","",Trabajos!J90)</f>
        <v>670790.25</v>
      </c>
      <c r="F90" s="17">
        <f>IF(Trabajos!O90="","",Trabajos!O90)</f>
        <v>103488</v>
      </c>
      <c r="G90" s="181"/>
      <c r="H90" s="17">
        <f>IF(Trabajos!H90&lt;&gt;"",E90-E90*G90,"")</f>
        <v>670790.25</v>
      </c>
      <c r="I90" s="17">
        <f>IF(Trabajos!H90&lt;&gt;"",F90-F90*G90,"")</f>
        <v>103488</v>
      </c>
      <c r="J90" s="16">
        <f>IF(Trabajos!H90&lt;&gt;"",H90*0.55,"")</f>
        <v>368934.63750000001</v>
      </c>
      <c r="K90" s="16">
        <f>IF(Trabajos!H90&lt;&gt;"",H90*0.45,"")</f>
        <v>301855.61249999999</v>
      </c>
      <c r="L90" s="16" t="str">
        <f>IF(Trabajos!L90="","",Trabajos!L90)</f>
        <v>Zoom</v>
      </c>
    </row>
    <row r="91" spans="2:12" x14ac:dyDescent="0.25">
      <c r="B91" s="52">
        <f>IF(Trabajos!B91="","",Trabajos!B91)</f>
        <v>45941</v>
      </c>
      <c r="C91" s="53" t="str">
        <f>IF(Trabajos!F91="","",Trabajos!F91)</f>
        <v>Espartina S.A.</v>
      </c>
      <c r="D91" s="54" t="str">
        <f>IF(Trabajos!D91="","",Trabajos!D91)</f>
        <v>Monitoreo de bb y bab</v>
      </c>
      <c r="E91" s="17">
        <f>IF(Trabajos!J91="","",Trabajos!J91)</f>
        <v>418864.5</v>
      </c>
      <c r="F91" s="17">
        <f>IF(Trabajos!O91="","",Trabajos!O91)</f>
        <v>89376</v>
      </c>
      <c r="G91" s="181"/>
      <c r="H91" s="17">
        <f>IF(Trabajos!H91&lt;&gt;"",E91-E91*G91,"")</f>
        <v>418864.5</v>
      </c>
      <c r="I91" s="17">
        <f>IF(Trabajos!H91&lt;&gt;"",F91-F91*G91,"")</f>
        <v>89376</v>
      </c>
      <c r="J91" s="16">
        <f>IF(Trabajos!H91&lt;&gt;"",H91*0.55,"")</f>
        <v>230375.47500000001</v>
      </c>
      <c r="K91" s="16">
        <f>IF(Trabajos!H91&lt;&gt;"",H91*0.45,"")</f>
        <v>188489.02499999999</v>
      </c>
      <c r="L91" s="16" t="str">
        <f>IF(Trabajos!L91="","",Trabajos!L91)</f>
        <v>Zoom</v>
      </c>
    </row>
    <row r="92" spans="2:12" x14ac:dyDescent="0.25">
      <c r="B92" s="52">
        <f>IF(Trabajos!B92="","",Trabajos!B92)</f>
        <v>45941</v>
      </c>
      <c r="C92" s="53" t="str">
        <f>IF(Trabajos!F92="","",Trabajos!F92)</f>
        <v>Espartina S.A.</v>
      </c>
      <c r="D92" s="54" t="str">
        <f>IF(Trabajos!D92="","",Trabajos!D92)</f>
        <v>Aplicación de cebos</v>
      </c>
      <c r="E92" s="17">
        <f>IF(Trabajos!J92="","",Trabajos!J92)</f>
        <v>305235</v>
      </c>
      <c r="F92" s="17">
        <f>IF(Trabajos!O92="","",Trabajos!O92)</f>
        <v>98880.6</v>
      </c>
      <c r="G92" s="181"/>
      <c r="H92" s="17">
        <f>IF(Trabajos!H92&lt;&gt;"",E92-E92*G92,"")</f>
        <v>305235</v>
      </c>
      <c r="I92" s="17">
        <f>IF(Trabajos!H92&lt;&gt;"",F92-F92*G92,"")</f>
        <v>98880.6</v>
      </c>
      <c r="J92" s="16">
        <f>IF(Trabajos!H92&lt;&gt;"",H92*0.55,"")</f>
        <v>167879.25</v>
      </c>
      <c r="K92" s="16">
        <f>IF(Trabajos!H92&lt;&gt;"",H92*0.45,"")</f>
        <v>137355.75</v>
      </c>
      <c r="L92" s="16" t="str">
        <f>IF(Trabajos!L92="","",Trabajos!L92)</f>
        <v>Tomas</v>
      </c>
    </row>
    <row r="93" spans="2:12" x14ac:dyDescent="0.25">
      <c r="B93" s="52">
        <f>IF(Trabajos!B93="","",Trabajos!B93)</f>
        <v>45941</v>
      </c>
      <c r="C93" s="53" t="str">
        <f>IF(Trabajos!F93="","",Trabajos!F93)</f>
        <v>Espartina S.A.</v>
      </c>
      <c r="D93" s="54" t="str">
        <f>IF(Trabajos!D93="","",Trabajos!D93)</f>
        <v>Aplicación de cebos</v>
      </c>
      <c r="E93" s="17">
        <f>IF(Trabajos!J93="","",Trabajos!J93)</f>
        <v>959310</v>
      </c>
      <c r="F93" s="17">
        <f>IF(Trabajos!O93="","",Trabajos!O93)</f>
        <v>57046.5</v>
      </c>
      <c r="G93" s="181"/>
      <c r="H93" s="17">
        <f>IF(Trabajos!H93&lt;&gt;"",E93-E93*G93,"")</f>
        <v>959310</v>
      </c>
      <c r="I93" s="17">
        <f>IF(Trabajos!H93&lt;&gt;"",F93-F93*G93,"")</f>
        <v>57046.5</v>
      </c>
      <c r="J93" s="16">
        <f>IF(Trabajos!H93&lt;&gt;"",H93*0.55,"")</f>
        <v>527620.5</v>
      </c>
      <c r="K93" s="16">
        <f>IF(Trabajos!H93&lt;&gt;"",H93*0.45,"")</f>
        <v>431689.5</v>
      </c>
      <c r="L93" s="16" t="str">
        <f>IF(Trabajos!L93="","",Trabajos!L93)</f>
        <v>Tomas</v>
      </c>
    </row>
    <row r="94" spans="2:12" x14ac:dyDescent="0.25">
      <c r="B94" s="52">
        <f>IF(Trabajos!B94="","",Trabajos!B94)</f>
        <v>45937</v>
      </c>
      <c r="C94" s="53" t="str">
        <f>IF(Trabajos!F94="","",Trabajos!F94)</f>
        <v>Espartina S.A.</v>
      </c>
      <c r="D94" s="54" t="str">
        <f>IF(Trabajos!D94="","",Trabajos!D94)</f>
        <v>Muestreo de suelos</v>
      </c>
      <c r="E94" s="17">
        <f>IF(Trabajos!J94="","",Trabajos!J94)</f>
        <v>75816.538461520002</v>
      </c>
      <c r="F94" s="17">
        <f>IF(Trabajos!O94="","",Trabajos!O94)</f>
        <v>0</v>
      </c>
      <c r="G94" s="181"/>
      <c r="H94" s="17">
        <f>IF(Trabajos!H94&lt;&gt;"",E94-E94*G94,"")</f>
        <v>75816.538461520002</v>
      </c>
      <c r="I94" s="17">
        <f>IF(Trabajos!H94&lt;&gt;"",F94-F94*G94,"")</f>
        <v>0</v>
      </c>
      <c r="J94" s="16">
        <f>IF(Trabajos!H94&lt;&gt;"",H94*0.55,"")</f>
        <v>41699.096153836006</v>
      </c>
      <c r="K94" s="16">
        <f>IF(Trabajos!H94&lt;&gt;"",H94*0.45,"")</f>
        <v>34117.442307684003</v>
      </c>
      <c r="L94" s="16" t="str">
        <f>IF(Trabajos!L94="","",Trabajos!L94)</f>
        <v>Tomas</v>
      </c>
    </row>
    <row r="95" spans="2:12" x14ac:dyDescent="0.25">
      <c r="B95" s="52">
        <f>IF(Trabajos!B95="","",Trabajos!B95)</f>
        <v>45944</v>
      </c>
      <c r="C95" s="53" t="str">
        <f>IF(Trabajos!F95="","",Trabajos!F95)</f>
        <v>Espartina S.A.</v>
      </c>
      <c r="D95" s="54" t="str">
        <f>IF(Trabajos!D95="","",Trabajos!D95)</f>
        <v>Monitoreo de bb y bab</v>
      </c>
      <c r="E95" s="17">
        <f>IF(Trabajos!J95="","",Trabajos!J95)</f>
        <v>394762.5</v>
      </c>
      <c r="F95" s="17">
        <f>IF(Trabajos!O95="","",Trabajos!O95)</f>
        <v>138179.30000000002</v>
      </c>
      <c r="G95" s="181"/>
      <c r="H95" s="17">
        <f>IF(Trabajos!H95&lt;&gt;"",E95-E95*G95,"")</f>
        <v>394762.5</v>
      </c>
      <c r="I95" s="17">
        <f>IF(Trabajos!H95&lt;&gt;"",F95-F95*G95,"")</f>
        <v>138179.30000000002</v>
      </c>
      <c r="J95" s="16">
        <f>IF(Trabajos!H95&lt;&gt;"",H95*0.55,"")</f>
        <v>217119.37500000003</v>
      </c>
      <c r="K95" s="16">
        <f>IF(Trabajos!H95&lt;&gt;"",H95*0.45,"")</f>
        <v>177643.125</v>
      </c>
      <c r="L95" s="16" t="str">
        <f>IF(Trabajos!L95="","",Trabajos!L95)</f>
        <v>Paco</v>
      </c>
    </row>
    <row r="96" spans="2:12" x14ac:dyDescent="0.25">
      <c r="B96" s="52">
        <f>IF(Trabajos!B96="","",Trabajos!B96)</f>
        <v>45944</v>
      </c>
      <c r="C96" s="53" t="str">
        <f>IF(Trabajos!F96="","",Trabajos!F96)</f>
        <v>Espartina S.A.</v>
      </c>
      <c r="D96" s="54" t="str">
        <f>IF(Trabajos!D96="","",Trabajos!D96)</f>
        <v>Monitoreo de bb y bab</v>
      </c>
      <c r="E96" s="17">
        <f>IF(Trabajos!J96="","",Trabajos!J96)</f>
        <v>61987.5</v>
      </c>
      <c r="F96" s="17">
        <f>IF(Trabajos!O96="","",Trabajos!O96)</f>
        <v>138179.30000000002</v>
      </c>
      <c r="G96" s="181"/>
      <c r="H96" s="17">
        <f>IF(Trabajos!H96&lt;&gt;"",E96-E96*G96,"")</f>
        <v>61987.5</v>
      </c>
      <c r="I96" s="17">
        <f>IF(Trabajos!H96&lt;&gt;"",F96-F96*G96,"")</f>
        <v>138179.30000000002</v>
      </c>
      <c r="J96" s="16">
        <f>IF(Trabajos!H96&lt;&gt;"",H96*0.55,"")</f>
        <v>34093.125</v>
      </c>
      <c r="K96" s="16">
        <f>IF(Trabajos!H96&lt;&gt;"",H96*0.45,"")</f>
        <v>27894.375</v>
      </c>
      <c r="L96" s="16" t="str">
        <f>IF(Trabajos!L96="","",Trabajos!L96)</f>
        <v>Paco</v>
      </c>
    </row>
    <row r="97" spans="2:12" x14ac:dyDescent="0.25">
      <c r="B97" s="52">
        <f>IF(Trabajos!B97="","",Trabajos!B97)</f>
        <v>45944</v>
      </c>
      <c r="C97" s="53" t="str">
        <f>IF(Trabajos!F97="","",Trabajos!F97)</f>
        <v>Domingo y Nestor Scioli</v>
      </c>
      <c r="D97" s="54" t="str">
        <f>IF(Trabajos!D97="","",Trabajos!D97)</f>
        <v>Mapeo Dron</v>
      </c>
      <c r="E97" s="17">
        <f>IF(Trabajos!J97="","",Trabajos!J97)</f>
        <v>562504.5</v>
      </c>
      <c r="F97" s="17">
        <f>IF(Trabajos!O97="","",Trabajos!O97)</f>
        <v>0</v>
      </c>
      <c r="G97" s="181"/>
      <c r="H97" s="17">
        <f>IF(Trabajos!H97&lt;&gt;"",E97-E97*G97,"")</f>
        <v>562504.5</v>
      </c>
      <c r="I97" s="17">
        <f>IF(Trabajos!H97&lt;&gt;"",F97-F97*G97,"")</f>
        <v>0</v>
      </c>
      <c r="J97" s="16">
        <f>IF(Trabajos!H97&lt;&gt;"",H97*0.55,"")</f>
        <v>309377.47500000003</v>
      </c>
      <c r="K97" s="16">
        <f>IF(Trabajos!H97&lt;&gt;"",H97*0.45,"")</f>
        <v>253127.02499999999</v>
      </c>
      <c r="L97" s="16" t="str">
        <f>IF(Trabajos!L97="","",Trabajos!L97)</f>
        <v>Tomas</v>
      </c>
    </row>
    <row r="98" spans="2:12" x14ac:dyDescent="0.25">
      <c r="B98" s="52">
        <f>IF(Trabajos!B98="","",Trabajos!B98)</f>
        <v>45945</v>
      </c>
      <c r="C98" s="53" t="str">
        <f>IF(Trabajos!F98="","",Trabajos!F98)</f>
        <v>La Nany S.A.</v>
      </c>
      <c r="D98" s="54" t="str">
        <f>IF(Trabajos!D98="","",Trabajos!D98)</f>
        <v>Monitoreo de bb y bab</v>
      </c>
      <c r="E98" s="17">
        <f>IF(Trabajos!J98="","",Trabajos!J98)</f>
        <v>875737.5</v>
      </c>
      <c r="F98" s="17">
        <f>IF(Trabajos!O98="","",Trabajos!O98)</f>
        <v>0</v>
      </c>
      <c r="G98" s="181"/>
      <c r="H98" s="17">
        <f>IF(Trabajos!H98&lt;&gt;"",E98-E98*G98,"")</f>
        <v>875737.5</v>
      </c>
      <c r="I98" s="17">
        <f>IF(Trabajos!H98&lt;&gt;"",F98-F98*G98,"")</f>
        <v>0</v>
      </c>
      <c r="J98" s="16">
        <f>IF(Trabajos!H98&lt;&gt;"",H98*0.55,"")</f>
        <v>481655.62500000006</v>
      </c>
      <c r="K98" s="16">
        <f>IF(Trabajos!H98&lt;&gt;"",H98*0.45,"")</f>
        <v>394081.875</v>
      </c>
      <c r="L98" s="16" t="str">
        <f>IF(Trabajos!L98="","",Trabajos!L98)</f>
        <v>Zoom</v>
      </c>
    </row>
    <row r="99" spans="2:12" x14ac:dyDescent="0.25">
      <c r="B99" s="52">
        <f>IF(Trabajos!B99="","",Trabajos!B99)</f>
        <v>45945</v>
      </c>
      <c r="C99" s="53" t="str">
        <f>IF(Trabajos!F99="","",Trabajos!F99)</f>
        <v>La Nany S.A.</v>
      </c>
      <c r="D99" s="54" t="str">
        <f>IF(Trabajos!D99="","",Trabajos!D99)</f>
        <v>Monitoreo de bb y bab</v>
      </c>
      <c r="E99" s="17">
        <f>IF(Trabajos!J99="","",Trabajos!J99)</f>
        <v>940875</v>
      </c>
      <c r="F99" s="17">
        <f>IF(Trabajos!O99="","",Trabajos!O99)</f>
        <v>67600</v>
      </c>
      <c r="G99" s="181"/>
      <c r="H99" s="17">
        <f>IF(Trabajos!H99&lt;&gt;"",E99-E99*G99,"")</f>
        <v>940875</v>
      </c>
      <c r="I99" s="17">
        <f>IF(Trabajos!H99&lt;&gt;"",F99-F99*G99,"")</f>
        <v>67600</v>
      </c>
      <c r="J99" s="16">
        <f>IF(Trabajos!H99&lt;&gt;"",H99*0.55,"")</f>
        <v>517481.25000000006</v>
      </c>
      <c r="K99" s="16">
        <f>IF(Trabajos!H99&lt;&gt;"",H99*0.45,"")</f>
        <v>423393.75</v>
      </c>
      <c r="L99" s="16" t="str">
        <f>IF(Trabajos!L99="","",Trabajos!L99)</f>
        <v>Zoom</v>
      </c>
    </row>
    <row r="100" spans="2:12" x14ac:dyDescent="0.25">
      <c r="B100" s="52">
        <f>IF(Trabajos!B100="","",Trabajos!B100)</f>
        <v>45945</v>
      </c>
      <c r="C100" s="53" t="str">
        <f>IF(Trabajos!F100="","",Trabajos!F100)</f>
        <v>Espartina S.A.</v>
      </c>
      <c r="D100" s="54" t="str">
        <f>IF(Trabajos!D100="","",Trabajos!D100)</f>
        <v>Aplicación de cebos</v>
      </c>
      <c r="E100" s="17">
        <f>IF(Trabajos!J100="","",Trabajos!J100)</f>
        <v>833750</v>
      </c>
      <c r="F100" s="17">
        <f>IF(Trabajos!O100="","",Trabajos!O100)</f>
        <v>117896.1</v>
      </c>
      <c r="G100" s="181"/>
      <c r="H100" s="17">
        <f>IF(Trabajos!H100&lt;&gt;"",E100-E100*G100,"")</f>
        <v>833750</v>
      </c>
      <c r="I100" s="17">
        <f>IF(Trabajos!H100&lt;&gt;"",F100-F100*G100,"")</f>
        <v>117896.1</v>
      </c>
      <c r="J100" s="16">
        <f>IF(Trabajos!H100&lt;&gt;"",H100*0.55,"")</f>
        <v>458562.50000000006</v>
      </c>
      <c r="K100" s="16">
        <f>IF(Trabajos!H100&lt;&gt;"",H100*0.45,"")</f>
        <v>375187.5</v>
      </c>
      <c r="L100" s="16" t="str">
        <f>IF(Trabajos!L100="","",Trabajos!L100)</f>
        <v>Paco</v>
      </c>
    </row>
    <row r="101" spans="2:12" x14ac:dyDescent="0.25">
      <c r="B101" s="52">
        <f>IF(Trabajos!B101="","",Trabajos!B101)</f>
        <v>45945</v>
      </c>
      <c r="C101" s="53" t="str">
        <f>IF(Trabajos!F101="","",Trabajos!F101)</f>
        <v>Espartina S.A.</v>
      </c>
      <c r="D101" s="54" t="str">
        <f>IF(Trabajos!D101="","",Trabajos!D101)</f>
        <v>Aplicación de cebos</v>
      </c>
      <c r="E101" s="17">
        <f>IF(Trabajos!J101="","",Trabajos!J101)</f>
        <v>959310</v>
      </c>
      <c r="F101" s="17">
        <f>IF(Trabajos!O101="","",Trabajos!O101)</f>
        <v>57046.5</v>
      </c>
      <c r="G101" s="181"/>
      <c r="H101" s="17">
        <f>IF(Trabajos!H101&lt;&gt;"",E101-E101*G101,"")</f>
        <v>959310</v>
      </c>
      <c r="I101" s="17">
        <f>IF(Trabajos!H101&lt;&gt;"",F101-F101*G101,"")</f>
        <v>57046.5</v>
      </c>
      <c r="J101" s="16">
        <f>IF(Trabajos!H101&lt;&gt;"",H101*0.55,"")</f>
        <v>527620.5</v>
      </c>
      <c r="K101" s="16">
        <f>IF(Trabajos!H101&lt;&gt;"",H101*0.45,"")</f>
        <v>431689.5</v>
      </c>
      <c r="L101" s="16" t="str">
        <f>IF(Trabajos!L101="","",Trabajos!L101)</f>
        <v>Tomas</v>
      </c>
    </row>
    <row r="102" spans="2:12" x14ac:dyDescent="0.25">
      <c r="B102" s="52">
        <f>IF(Trabajos!B102="","",Trabajos!B102)</f>
        <v>45945</v>
      </c>
      <c r="C102" s="53" t="str">
        <f>IF(Trabajos!F102="","",Trabajos!F102)</f>
        <v>Espartina S.A.</v>
      </c>
      <c r="D102" s="54" t="str">
        <f>IF(Trabajos!D102="","",Trabajos!D102)</f>
        <v>Aplicación de cebos</v>
      </c>
      <c r="E102" s="17">
        <f>IF(Trabajos!J102="","",Trabajos!J102)</f>
        <v>559597.5</v>
      </c>
      <c r="F102" s="17">
        <f>IF(Trabajos!O102="","",Trabajos!O102)</f>
        <v>117262.25</v>
      </c>
      <c r="G102" s="181"/>
      <c r="H102" s="17">
        <f>IF(Trabajos!H102&lt;&gt;"",E102-E102*G102,"")</f>
        <v>559597.5</v>
      </c>
      <c r="I102" s="17">
        <f>IF(Trabajos!H102&lt;&gt;"",F102-F102*G102,"")</f>
        <v>117262.25</v>
      </c>
      <c r="J102" s="16">
        <f>IF(Trabajos!H102&lt;&gt;"",H102*0.55,"")</f>
        <v>307778.625</v>
      </c>
      <c r="K102" s="16">
        <f>IF(Trabajos!H102&lt;&gt;"",H102*0.45,"")</f>
        <v>251818.875</v>
      </c>
      <c r="L102" s="16" t="str">
        <f>IF(Trabajos!L102="","",Trabajos!L102)</f>
        <v>Zoom</v>
      </c>
    </row>
    <row r="103" spans="2:12" x14ac:dyDescent="0.25">
      <c r="B103" s="52">
        <f>IF(Trabajos!B103="","",Trabajos!B103)</f>
        <v>45945</v>
      </c>
      <c r="C103" s="53" t="str">
        <f>IF(Trabajos!F103="","",Trabajos!F103)</f>
        <v>Espartina S.A.</v>
      </c>
      <c r="D103" s="54" t="str">
        <f>IF(Trabajos!D103="","",Trabajos!D103)</f>
        <v>Aplicación de cebos</v>
      </c>
      <c r="E103" s="17">
        <f>IF(Trabajos!J103="","",Trabajos!J103)</f>
        <v>261630</v>
      </c>
      <c r="F103" s="17">
        <f>IF(Trabajos!O103="","",Trabajos!O103)</f>
        <v>117262.25</v>
      </c>
      <c r="G103" s="181"/>
      <c r="H103" s="17">
        <f>IF(Trabajos!H103&lt;&gt;"",E103-E103*G103,"")</f>
        <v>261630</v>
      </c>
      <c r="I103" s="17">
        <f>IF(Trabajos!H103&lt;&gt;"",F103-F103*G103,"")</f>
        <v>117262.25</v>
      </c>
      <c r="J103" s="16">
        <f>IF(Trabajos!H103&lt;&gt;"",H103*0.55,"")</f>
        <v>143896.5</v>
      </c>
      <c r="K103" s="16">
        <f>IF(Trabajos!H103&lt;&gt;"",H103*0.45,"")</f>
        <v>117733.5</v>
      </c>
      <c r="L103" s="16" t="str">
        <f>IF(Trabajos!L103="","",Trabajos!L103)</f>
        <v>Zoom</v>
      </c>
    </row>
    <row r="104" spans="2:12" x14ac:dyDescent="0.25">
      <c r="B104" s="52">
        <f>IF(Trabajos!B104="","",Trabajos!B104)</f>
        <v>45941</v>
      </c>
      <c r="C104" s="53" t="str">
        <f>IF(Trabajos!F104="","",Trabajos!F104)</f>
        <v>Purtierra</v>
      </c>
      <c r="D104" s="54" t="str">
        <f>IF(Trabajos!D104="","",Trabajos!D104)</f>
        <v>Aplicación de cebos</v>
      </c>
      <c r="E104" s="17">
        <f>IF(Trabajos!J104="","",Trabajos!J104)</f>
        <v>910120</v>
      </c>
      <c r="F104" s="17">
        <f>IF(Trabajos!O104="","",Trabajos!O104)</f>
        <v>59800</v>
      </c>
      <c r="G104" s="181"/>
      <c r="H104" s="17">
        <f>IF(Trabajos!H104&lt;&gt;"",E104-E104*G104,"")</f>
        <v>910120</v>
      </c>
      <c r="I104" s="17">
        <f>IF(Trabajos!H104&lt;&gt;"",F104-F104*G104,"")</f>
        <v>59800</v>
      </c>
      <c r="J104" s="16">
        <f>IF(Trabajos!H104&lt;&gt;"",H104*0.55,"")</f>
        <v>500566.00000000006</v>
      </c>
      <c r="K104" s="16">
        <f>IF(Trabajos!H104&lt;&gt;"",H104*0.45,"")</f>
        <v>409554</v>
      </c>
      <c r="L104" s="16" t="str">
        <f>IF(Trabajos!L104="","",Trabajos!L104)</f>
        <v>Zoom</v>
      </c>
    </row>
    <row r="105" spans="2:12" x14ac:dyDescent="0.25">
      <c r="B105" s="52">
        <f>IF(Trabajos!B105="","",Trabajos!B105)</f>
        <v>45946</v>
      </c>
      <c r="C105" s="53" t="str">
        <f>IF(Trabajos!F105="","",Trabajos!F105)</f>
        <v>Espartina S.A.</v>
      </c>
      <c r="D105" s="54" t="str">
        <f>IF(Trabajos!D105="","",Trabajos!D105)</f>
        <v>Muestreo de suelos</v>
      </c>
      <c r="E105" s="17">
        <f>IF(Trabajos!J105="","",Trabajos!J105)</f>
        <v>75816.538461520002</v>
      </c>
      <c r="F105" s="17">
        <f>IF(Trabajos!O105="","",Trabajos!O105)</f>
        <v>0</v>
      </c>
      <c r="G105" s="181"/>
      <c r="H105" s="17">
        <f>IF(Trabajos!H105&lt;&gt;"",E105-E105*G105,"")</f>
        <v>75816.538461520002</v>
      </c>
      <c r="I105" s="17">
        <f>IF(Trabajos!H105&lt;&gt;"",F105-F105*G105,"")</f>
        <v>0</v>
      </c>
      <c r="J105" s="16">
        <f>IF(Trabajos!H105&lt;&gt;"",H105*0.55,"")</f>
        <v>41699.096153836006</v>
      </c>
      <c r="K105" s="16">
        <f>IF(Trabajos!H105&lt;&gt;"",H105*0.45,"")</f>
        <v>34117.442307684003</v>
      </c>
      <c r="L105" s="16" t="str">
        <f>IF(Trabajos!L105="","",Trabajos!L105)</f>
        <v>Zoom</v>
      </c>
    </row>
    <row r="106" spans="2:12" x14ac:dyDescent="0.25">
      <c r="B106" s="52">
        <f>IF(Trabajos!B106="","",Trabajos!B106)</f>
        <v>45946</v>
      </c>
      <c r="C106" s="53" t="str">
        <f>IF(Trabajos!F106="","",Trabajos!F106)</f>
        <v>Espartina S.A.</v>
      </c>
      <c r="D106" s="54" t="str">
        <f>IF(Trabajos!D106="","",Trabajos!D106)</f>
        <v>Muestreo de suelos</v>
      </c>
      <c r="E106" s="17">
        <f>IF(Trabajos!J106="","",Trabajos!J106)</f>
        <v>75816.538461520002</v>
      </c>
      <c r="F106" s="17">
        <f>IF(Trabajos!O106="","",Trabajos!O106)</f>
        <v>0</v>
      </c>
      <c r="G106" s="181"/>
      <c r="H106" s="17">
        <f>IF(Trabajos!H106&lt;&gt;"",E106-E106*G106,"")</f>
        <v>75816.538461520002</v>
      </c>
      <c r="I106" s="17">
        <f>IF(Trabajos!H106&lt;&gt;"",F106-F106*G106,"")</f>
        <v>0</v>
      </c>
      <c r="J106" s="16">
        <f>IF(Trabajos!H106&lt;&gt;"",H106*0.55,"")</f>
        <v>41699.096153836006</v>
      </c>
      <c r="K106" s="16">
        <f>IF(Trabajos!H106&lt;&gt;"",H106*0.45,"")</f>
        <v>34117.442307684003</v>
      </c>
      <c r="L106" s="16" t="str">
        <f>IF(Trabajos!L106="","",Trabajos!L106)</f>
        <v>Zoom</v>
      </c>
    </row>
    <row r="107" spans="2:12" x14ac:dyDescent="0.25">
      <c r="B107" s="52">
        <f>IF(Trabajos!B107="","",Trabajos!B107)</f>
        <v>45946</v>
      </c>
      <c r="C107" s="53" t="str">
        <f>IF(Trabajos!F107="","",Trabajos!F107)</f>
        <v>Espartina S.A.</v>
      </c>
      <c r="D107" s="54" t="str">
        <f>IF(Trabajos!D107="","",Trabajos!D107)</f>
        <v>Muestreo de suelos</v>
      </c>
      <c r="E107" s="17">
        <f>IF(Trabajos!J107="","",Trabajos!J107)</f>
        <v>75816.538461520002</v>
      </c>
      <c r="F107" s="17">
        <f>IF(Trabajos!O107="","",Trabajos!O107)</f>
        <v>0</v>
      </c>
      <c r="G107" s="181"/>
      <c r="H107" s="17">
        <f>IF(Trabajos!H107&lt;&gt;"",E107-E107*G107,"")</f>
        <v>75816.538461520002</v>
      </c>
      <c r="I107" s="17">
        <f>IF(Trabajos!H107&lt;&gt;"",F107-F107*G107,"")</f>
        <v>0</v>
      </c>
      <c r="J107" s="16">
        <f>IF(Trabajos!H107&lt;&gt;"",H107*0.55,"")</f>
        <v>41699.096153836006</v>
      </c>
      <c r="K107" s="16">
        <f>IF(Trabajos!H107&lt;&gt;"",H107*0.45,"")</f>
        <v>34117.442307684003</v>
      </c>
      <c r="L107" s="16" t="str">
        <f>IF(Trabajos!L107="","",Trabajos!L107)</f>
        <v>Zoom</v>
      </c>
    </row>
    <row r="108" spans="2:12" x14ac:dyDescent="0.25">
      <c r="B108" s="52">
        <f>IF(Trabajos!B108="","",Trabajos!B108)</f>
        <v>45946</v>
      </c>
      <c r="C108" s="53" t="str">
        <f>IF(Trabajos!F108="","",Trabajos!F108)</f>
        <v>Espartina S.A.</v>
      </c>
      <c r="D108" s="54" t="str">
        <f>IF(Trabajos!D108="","",Trabajos!D108)</f>
        <v>Muestreo de suelos</v>
      </c>
      <c r="E108" s="17">
        <f>IF(Trabajos!J108="","",Trabajos!J108)</f>
        <v>75816.538461520002</v>
      </c>
      <c r="F108" s="17">
        <f>IF(Trabajos!O108="","",Trabajos!O108)</f>
        <v>0</v>
      </c>
      <c r="G108" s="181"/>
      <c r="H108" s="17">
        <f>IF(Trabajos!H108&lt;&gt;"",E108-E108*G108,"")</f>
        <v>75816.538461520002</v>
      </c>
      <c r="I108" s="17">
        <f>IF(Trabajos!H108&lt;&gt;"",F108-F108*G108,"")</f>
        <v>0</v>
      </c>
      <c r="J108" s="16">
        <f>IF(Trabajos!H108&lt;&gt;"",H108*0.55,"")</f>
        <v>41699.096153836006</v>
      </c>
      <c r="K108" s="16">
        <f>IF(Trabajos!H108&lt;&gt;"",H108*0.45,"")</f>
        <v>34117.442307684003</v>
      </c>
      <c r="L108" s="16" t="str">
        <f>IF(Trabajos!L108="","",Trabajos!L108)</f>
        <v>Zoom</v>
      </c>
    </row>
    <row r="109" spans="2:12" x14ac:dyDescent="0.25">
      <c r="B109" s="52">
        <f>IF(Trabajos!B109="","",Trabajos!B109)</f>
        <v>45946</v>
      </c>
      <c r="C109" s="53" t="str">
        <f>IF(Trabajos!F109="","",Trabajos!F109)</f>
        <v>Espartina S.A.</v>
      </c>
      <c r="D109" s="54" t="str">
        <f>IF(Trabajos!D109="","",Trabajos!D109)</f>
        <v>Monitoreo de bb y bab</v>
      </c>
      <c r="E109" s="17">
        <f>IF(Trabajos!J109="","",Trabajos!J109)</f>
        <v>900450</v>
      </c>
      <c r="F109" s="17">
        <f>IF(Trabajos!O109="","",Trabajos!O109)</f>
        <v>252272.30000000002</v>
      </c>
      <c r="G109" s="181"/>
      <c r="H109" s="17">
        <f>IF(Trabajos!H109&lt;&gt;"",E109-E109*G109,"")</f>
        <v>900450</v>
      </c>
      <c r="I109" s="17">
        <f>IF(Trabajos!H109&lt;&gt;"",F109-F109*G109,"")</f>
        <v>252272.30000000002</v>
      </c>
      <c r="J109" s="16">
        <f>IF(Trabajos!H109&lt;&gt;"",H109*0.55,"")</f>
        <v>495247.50000000006</v>
      </c>
      <c r="K109" s="16">
        <f>IF(Trabajos!H109&lt;&gt;"",H109*0.45,"")</f>
        <v>405202.5</v>
      </c>
      <c r="L109" s="16" t="str">
        <f>IF(Trabajos!L109="","",Trabajos!L109)</f>
        <v>Zoom</v>
      </c>
    </row>
    <row r="110" spans="2:12" x14ac:dyDescent="0.25">
      <c r="B110" s="52">
        <f>IF(Trabajos!B110="","",Trabajos!B110)</f>
        <v>45946</v>
      </c>
      <c r="C110" s="53" t="str">
        <f>IF(Trabajos!F110="","",Trabajos!F110)</f>
        <v>Bruno Fioriti</v>
      </c>
      <c r="D110" s="54" t="str">
        <f>IF(Trabajos!D110="","",Trabajos!D110)</f>
        <v>Aplicación de cebos</v>
      </c>
      <c r="E110" s="17">
        <f>IF(Trabajos!J110="","",Trabajos!J110)</f>
        <v>490700</v>
      </c>
      <c r="F110" s="17">
        <f>IF(Trabajos!O110="","",Trabajos!O110)</f>
        <v>0</v>
      </c>
      <c r="G110" s="181"/>
      <c r="H110" s="17">
        <f>IF(Trabajos!H110&lt;&gt;"",E110-E110*G110,"")</f>
        <v>490700</v>
      </c>
      <c r="I110" s="17">
        <f>IF(Trabajos!H110&lt;&gt;"",F110-F110*G110,"")</f>
        <v>0</v>
      </c>
      <c r="J110" s="16">
        <f>IF(Trabajos!H110&lt;&gt;"",H110*0.55,"")</f>
        <v>269885</v>
      </c>
      <c r="K110" s="16">
        <f>IF(Trabajos!H110&lt;&gt;"",H110*0.45,"")</f>
        <v>220815</v>
      </c>
      <c r="L110" s="16" t="str">
        <f>IF(Trabajos!L110="","",Trabajos!L110)</f>
        <v>Tomas</v>
      </c>
    </row>
    <row r="111" spans="2:12" x14ac:dyDescent="0.25">
      <c r="B111" s="52">
        <f>IF(Trabajos!B111="","",Trabajos!B111)</f>
        <v>45946</v>
      </c>
      <c r="C111" s="53" t="str">
        <f>IF(Trabajos!F111="","",Trabajos!F111)</f>
        <v>Campo Maipu S.A.</v>
      </c>
      <c r="D111" s="54" t="str">
        <f>IF(Trabajos!D111="","",Trabajos!D111)</f>
        <v>Aplicación de cebos</v>
      </c>
      <c r="E111" s="17">
        <f>IF(Trabajos!J111="","",Trabajos!J111)</f>
        <v>364520</v>
      </c>
      <c r="F111" s="17">
        <f>IF(Trabajos!O111="","",Trabajos!O111)</f>
        <v>228800</v>
      </c>
      <c r="G111" s="181"/>
      <c r="H111" s="17">
        <f>IF(Trabajos!H111&lt;&gt;"",E111-E111*G111,"")</f>
        <v>364520</v>
      </c>
      <c r="I111" s="17">
        <f>IF(Trabajos!H111&lt;&gt;"",F111-F111*G111,"")</f>
        <v>228800</v>
      </c>
      <c r="J111" s="16">
        <f>IF(Trabajos!H111&lt;&gt;"",H111*0.55,"")</f>
        <v>200486.00000000003</v>
      </c>
      <c r="K111" s="16">
        <f>IF(Trabajos!H111&lt;&gt;"",H111*0.45,"")</f>
        <v>164034</v>
      </c>
      <c r="L111" s="16" t="str">
        <f>IF(Trabajos!L111="","",Trabajos!L111)</f>
        <v>Zoom</v>
      </c>
    </row>
    <row r="112" spans="2:12" x14ac:dyDescent="0.25">
      <c r="B112" s="52">
        <f>IF(Trabajos!B112="","",Trabajos!B112)</f>
        <v>45946</v>
      </c>
      <c r="C112" s="53" t="str">
        <f>IF(Trabajos!F112="","",Trabajos!F112)</f>
        <v>Campo Maipu S.A.</v>
      </c>
      <c r="D112" s="54" t="str">
        <f>IF(Trabajos!D112="","",Trabajos!D112)</f>
        <v>Monitoreo de bb y bab</v>
      </c>
      <c r="E112" s="17">
        <f>IF(Trabajos!J112="","",Trabajos!J112)</f>
        <v>115665</v>
      </c>
      <c r="F112" s="17">
        <f>IF(Trabajos!O112="","",Trabajos!O112)</f>
        <v>0</v>
      </c>
      <c r="G112" s="181"/>
      <c r="H112" s="17">
        <f>IF(Trabajos!H112&lt;&gt;"",E112-E112*G112,"")</f>
        <v>115665</v>
      </c>
      <c r="I112" s="17">
        <f>IF(Trabajos!H112&lt;&gt;"",F112-F112*G112,"")</f>
        <v>0</v>
      </c>
      <c r="J112" s="16">
        <f>IF(Trabajos!H112&lt;&gt;"",H112*0.55,"")</f>
        <v>63615.750000000007</v>
      </c>
      <c r="K112" s="16">
        <f>IF(Trabajos!H112&lt;&gt;"",H112*0.45,"")</f>
        <v>52049.25</v>
      </c>
      <c r="L112" s="16" t="str">
        <f>IF(Trabajos!L112="","",Trabajos!L112)</f>
        <v>Zoom</v>
      </c>
    </row>
    <row r="113" spans="2:12" x14ac:dyDescent="0.25">
      <c r="B113" s="52">
        <f>IF(Trabajos!B113="","",Trabajos!B113)</f>
        <v>45947</v>
      </c>
      <c r="C113" s="53" t="str">
        <f>IF(Trabajos!F113="","",Trabajos!F113)</f>
        <v>Espartina S.A.</v>
      </c>
      <c r="D113" s="54" t="str">
        <f>IF(Trabajos!D113="","",Trabajos!D113)</f>
        <v>Monitoreo de bb y bab</v>
      </c>
      <c r="E113" s="17">
        <f>IF(Trabajos!J113="","",Trabajos!J113)</f>
        <v>707962.5</v>
      </c>
      <c r="F113" s="17">
        <f>IF(Trabajos!O113="","",Trabajos!O113)</f>
        <v>117896.1</v>
      </c>
      <c r="G113" s="181"/>
      <c r="H113" s="17">
        <f>IF(Trabajos!H113&lt;&gt;"",E113-E113*G113,"")</f>
        <v>707962.5</v>
      </c>
      <c r="I113" s="17">
        <f>IF(Trabajos!H113&lt;&gt;"",F113-F113*G113,"")</f>
        <v>117896.1</v>
      </c>
      <c r="J113" s="16">
        <f>IF(Trabajos!H113&lt;&gt;"",H113*0.55,"")</f>
        <v>389379.37500000006</v>
      </c>
      <c r="K113" s="16">
        <f>IF(Trabajos!H113&lt;&gt;"",H113*0.45,"")</f>
        <v>318583.125</v>
      </c>
      <c r="L113" s="16" t="str">
        <f>IF(Trabajos!L113="","",Trabajos!L113)</f>
        <v>Paco</v>
      </c>
    </row>
    <row r="114" spans="2:12" x14ac:dyDescent="0.25">
      <c r="B114" s="52">
        <f>IF(Trabajos!B114="","",Trabajos!B114)</f>
        <v>45947</v>
      </c>
      <c r="C114" s="53" t="str">
        <f>IF(Trabajos!F114="","",Trabajos!F114)</f>
        <v>Espartina S.A.</v>
      </c>
      <c r="D114" s="54" t="str">
        <f>IF(Trabajos!D114="","",Trabajos!D114)</f>
        <v>Aplicación de cebos</v>
      </c>
      <c r="E114" s="17">
        <f>IF(Trabajos!J114="","",Trabajos!J114)</f>
        <v>326250</v>
      </c>
      <c r="F114" s="17">
        <f>IF(Trabajos!O114="","",Trabajos!O114)</f>
        <v>72892.75</v>
      </c>
      <c r="G114" s="181"/>
      <c r="H114" s="17">
        <f>IF(Trabajos!H114&lt;&gt;"",E114-E114*G114,"")</f>
        <v>326250</v>
      </c>
      <c r="I114" s="17">
        <f>IF(Trabajos!H114&lt;&gt;"",F114-F114*G114,"")</f>
        <v>72892.75</v>
      </c>
      <c r="J114" s="16">
        <f>IF(Trabajos!H114&lt;&gt;"",H114*0.55,"")</f>
        <v>179437.5</v>
      </c>
      <c r="K114" s="16">
        <f>IF(Trabajos!H114&lt;&gt;"",H114*0.45,"")</f>
        <v>146812.5</v>
      </c>
      <c r="L114" s="16" t="str">
        <f>IF(Trabajos!L114="","",Trabajos!L114)</f>
        <v>Paco</v>
      </c>
    </row>
    <row r="115" spans="2:12" x14ac:dyDescent="0.25">
      <c r="B115" s="52">
        <f>IF(Trabajos!B115="","",Trabajos!B115)</f>
        <v>45947</v>
      </c>
      <c r="C115" s="53" t="str">
        <f>IF(Trabajos!F115="","",Trabajos!F115)</f>
        <v>Espartina S.A.</v>
      </c>
      <c r="D115" s="54" t="str">
        <f>IF(Trabajos!D115="","",Trabajos!D115)</f>
        <v>Aplicación de cebos</v>
      </c>
      <c r="E115" s="17">
        <f>IF(Trabajos!J115="","",Trabajos!J115)</f>
        <v>507500</v>
      </c>
      <c r="F115" s="17">
        <f>IF(Trabajos!O115="","",Trabajos!O115)</f>
        <v>72892.75</v>
      </c>
      <c r="G115" s="181"/>
      <c r="H115" s="17">
        <f>IF(Trabajos!H115&lt;&gt;"",E115-E115*G115,"")</f>
        <v>507500</v>
      </c>
      <c r="I115" s="17">
        <f>IF(Trabajos!H115&lt;&gt;"",F115-F115*G115,"")</f>
        <v>72892.75</v>
      </c>
      <c r="J115" s="16">
        <f>IF(Trabajos!H115&lt;&gt;"",H115*0.55,"")</f>
        <v>279125</v>
      </c>
      <c r="K115" s="16">
        <f>IF(Trabajos!H115&lt;&gt;"",H115*0.45,"")</f>
        <v>228375</v>
      </c>
      <c r="L115" s="16" t="str">
        <f>IF(Trabajos!L115="","",Trabajos!L115)</f>
        <v>Paco</v>
      </c>
    </row>
    <row r="116" spans="2:12" x14ac:dyDescent="0.25">
      <c r="B116" s="52">
        <f>IF(Trabajos!B116="","",Trabajos!B116)</f>
        <v>45947</v>
      </c>
      <c r="C116" s="53" t="str">
        <f>IF(Trabajos!F116="","",Trabajos!F116)</f>
        <v>Inalco</v>
      </c>
      <c r="D116" s="54" t="str">
        <f>IF(Trabajos!D116="","",Trabajos!D116)</f>
        <v>Monitoreo de bb y bab</v>
      </c>
      <c r="E116" s="17">
        <f>IF(Trabajos!J116="","",Trabajos!J116)</f>
        <v>654290</v>
      </c>
      <c r="F116" s="17">
        <f>IF(Trabajos!O116="","",Trabajos!O116)</f>
        <v>0</v>
      </c>
      <c r="G116" s="181"/>
      <c r="H116" s="17">
        <f>IF(Trabajos!H116&lt;&gt;"",E116-E116*G116,"")</f>
        <v>654290</v>
      </c>
      <c r="I116" s="17">
        <f>IF(Trabajos!H116&lt;&gt;"",F116-F116*G116,"")</f>
        <v>0</v>
      </c>
      <c r="J116" s="16">
        <f>IF(Trabajos!H116&lt;&gt;"",H116*0.55,"")</f>
        <v>359859.5</v>
      </c>
      <c r="K116" s="16">
        <f>IF(Trabajos!H116&lt;&gt;"",H116*0.45,"")</f>
        <v>294430.5</v>
      </c>
      <c r="L116" s="16" t="str">
        <f>IF(Trabajos!L116="","",Trabajos!L116)</f>
        <v>Zoom</v>
      </c>
    </row>
    <row r="117" spans="2:12" x14ac:dyDescent="0.25">
      <c r="B117" s="52">
        <f>IF(Trabajos!B117="","",Trabajos!B117)</f>
        <v>45948</v>
      </c>
      <c r="C117" s="53" t="str">
        <f>IF(Trabajos!F117="","",Trabajos!F117)</f>
        <v>San Vicente</v>
      </c>
      <c r="D117" s="54" t="str">
        <f>IF(Trabajos!D117="","",Trabajos!D117)</f>
        <v>Monitoreo de bb y bab</v>
      </c>
      <c r="E117" s="17">
        <f>IF(Trabajos!J117="","",Trabajos!J117)</f>
        <v>445780</v>
      </c>
      <c r="F117" s="17">
        <f>IF(Trabajos!O117="","",Trabajos!O117)</f>
        <v>120900</v>
      </c>
      <c r="G117" s="181"/>
      <c r="H117" s="17">
        <f>IF(Trabajos!H117&lt;&gt;"",E117-E117*G117,"")</f>
        <v>445780</v>
      </c>
      <c r="I117" s="17">
        <f>IF(Trabajos!H117&lt;&gt;"",F117-F117*G117,"")</f>
        <v>120900</v>
      </c>
      <c r="J117" s="16">
        <f>IF(Trabajos!H117&lt;&gt;"",H117*0.55,"")</f>
        <v>245179.00000000003</v>
      </c>
      <c r="K117" s="16">
        <f>IF(Trabajos!H117&lt;&gt;"",H117*0.45,"")</f>
        <v>200601</v>
      </c>
      <c r="L117" s="16" t="str">
        <f>IF(Trabajos!L117="","",Trabajos!L117)</f>
        <v>Zoom</v>
      </c>
    </row>
    <row r="118" spans="2:12" x14ac:dyDescent="0.25">
      <c r="B118" s="52">
        <f>IF(Trabajos!B118="","",Trabajos!B118)</f>
        <v>45947</v>
      </c>
      <c r="C118" s="53" t="str">
        <f>IF(Trabajos!F118="","",Trabajos!F118)</f>
        <v>Espartina S.A.</v>
      </c>
      <c r="D118" s="54" t="str">
        <f>IF(Trabajos!D118="","",Trabajos!D118)</f>
        <v>Aplicación de cebos</v>
      </c>
      <c r="E118" s="17">
        <f>IF(Trabajos!J118="","",Trabajos!J118)</f>
        <v>697680</v>
      </c>
      <c r="F118" s="17">
        <f>IF(Trabajos!O118="","",Trabajos!O118)</f>
        <v>22818.600000000002</v>
      </c>
      <c r="G118" s="181"/>
      <c r="H118" s="17">
        <f>IF(Trabajos!H118&lt;&gt;"",E118-E118*G118,"")</f>
        <v>697680</v>
      </c>
      <c r="I118" s="17">
        <f>IF(Trabajos!H118&lt;&gt;"",F118-F118*G118,"")</f>
        <v>22818.600000000002</v>
      </c>
      <c r="J118" s="16">
        <f>IF(Trabajos!H118&lt;&gt;"",H118*0.55,"")</f>
        <v>383724.00000000006</v>
      </c>
      <c r="K118" s="16">
        <f>IF(Trabajos!H118&lt;&gt;"",H118*0.45,"")</f>
        <v>313956</v>
      </c>
      <c r="L118" s="16" t="str">
        <f>IF(Trabajos!L118="","",Trabajos!L118)</f>
        <v>Tomas</v>
      </c>
    </row>
    <row r="119" spans="2:12" x14ac:dyDescent="0.25">
      <c r="B119" s="52">
        <f>IF(Trabajos!B119="","",Trabajos!B119)</f>
        <v>45948</v>
      </c>
      <c r="C119" s="53" t="str">
        <f>IF(Trabajos!F119="","",Trabajos!F119)</f>
        <v>Espartina S.A.</v>
      </c>
      <c r="D119" s="54" t="str">
        <f>IF(Trabajos!D119="","",Trabajos!D119)</f>
        <v>Aplicación de cebos</v>
      </c>
      <c r="E119" s="17">
        <f>IF(Trabajos!J119="","",Trabajos!J119)</f>
        <v>725000</v>
      </c>
      <c r="F119" s="17">
        <f>IF(Trabajos!O119="","",Trabajos!O119)</f>
        <v>145785.5</v>
      </c>
      <c r="G119" s="181"/>
      <c r="H119" s="17">
        <f>IF(Trabajos!H119&lt;&gt;"",E119-E119*G119,"")</f>
        <v>725000</v>
      </c>
      <c r="I119" s="17">
        <f>IF(Trabajos!H119&lt;&gt;"",F119-F119*G119,"")</f>
        <v>145785.5</v>
      </c>
      <c r="J119" s="16">
        <f>IF(Trabajos!H119&lt;&gt;"",H119*0.55,"")</f>
        <v>398750.00000000006</v>
      </c>
      <c r="K119" s="16">
        <f>IF(Trabajos!H119&lt;&gt;"",H119*0.45,"")</f>
        <v>326250</v>
      </c>
      <c r="L119" s="16" t="str">
        <f>IF(Trabajos!L119="","",Trabajos!L119)</f>
        <v>Paco</v>
      </c>
    </row>
    <row r="120" spans="2:12" x14ac:dyDescent="0.25">
      <c r="B120" s="52">
        <f>IF(Trabajos!B120="","",Trabajos!B120)</f>
        <v>45948</v>
      </c>
      <c r="C120" s="53" t="str">
        <f>IF(Trabajos!F120="","",Trabajos!F120)</f>
        <v>Espartina S.A.</v>
      </c>
      <c r="D120" s="54" t="str">
        <f>IF(Trabajos!D120="","",Trabajos!D120)</f>
        <v>Aplicación de cebos</v>
      </c>
      <c r="E120" s="17">
        <f>IF(Trabajos!J120="","",Trabajos!J120)</f>
        <v>792157.5</v>
      </c>
      <c r="F120" s="17">
        <f>IF(Trabajos!O120="","",Trabajos!O120)</f>
        <v>98880.6</v>
      </c>
      <c r="G120" s="181"/>
      <c r="H120" s="17">
        <f>IF(Trabajos!H120&lt;&gt;"",E120-E120*G120,"")</f>
        <v>792157.5</v>
      </c>
      <c r="I120" s="17">
        <f>IF(Trabajos!H120&lt;&gt;"",F120-F120*G120,"")</f>
        <v>98880.6</v>
      </c>
      <c r="J120" s="16">
        <f>IF(Trabajos!H120&lt;&gt;"",H120*0.55,"")</f>
        <v>435686.62500000006</v>
      </c>
      <c r="K120" s="16">
        <f>IF(Trabajos!H120&lt;&gt;"",H120*0.45,"")</f>
        <v>356470.875</v>
      </c>
      <c r="L120" s="16" t="str">
        <f>IF(Trabajos!L120="","",Trabajos!L120)</f>
        <v>Tomas</v>
      </c>
    </row>
    <row r="121" spans="2:12" x14ac:dyDescent="0.25">
      <c r="B121" s="52">
        <f>IF(Trabajos!B121="","",Trabajos!B121)</f>
        <v>45949</v>
      </c>
      <c r="C121" s="53" t="str">
        <f>IF(Trabajos!F121="","",Trabajos!F121)</f>
        <v>Nugas S.A.</v>
      </c>
      <c r="D121" s="54" t="str">
        <f>IF(Trabajos!D121="","",Trabajos!D121)</f>
        <v>Aplicación de cebos</v>
      </c>
      <c r="E121" s="17">
        <f>IF(Trabajos!J121="","",Trabajos!J121)</f>
        <v>776552.5</v>
      </c>
      <c r="F121" s="17">
        <f>IF(Trabajos!O121="","",Trabajos!O121)</f>
        <v>104000</v>
      </c>
      <c r="G121" s="181"/>
      <c r="H121" s="17">
        <f>IF(Trabajos!H121&lt;&gt;"",E121-E121*G121,"")</f>
        <v>776552.5</v>
      </c>
      <c r="I121" s="17">
        <f>IF(Trabajos!H121&lt;&gt;"",F121-F121*G121,"")</f>
        <v>104000</v>
      </c>
      <c r="J121" s="16">
        <f>IF(Trabajos!H121&lt;&gt;"",H121*0.55,"")</f>
        <v>427103.87500000006</v>
      </c>
      <c r="K121" s="16">
        <f>IF(Trabajos!H121&lt;&gt;"",H121*0.45,"")</f>
        <v>349448.625</v>
      </c>
      <c r="L121" s="16" t="str">
        <f>IF(Trabajos!L121="","",Trabajos!L121)</f>
        <v>Zoom</v>
      </c>
    </row>
    <row r="122" spans="2:12" x14ac:dyDescent="0.25">
      <c r="B122" s="52">
        <f>IF(Trabajos!B122="","",Trabajos!B122)</f>
        <v>45949</v>
      </c>
      <c r="C122" s="53" t="str">
        <f>IF(Trabajos!F122="","",Trabajos!F122)</f>
        <v>Espartina S.A.</v>
      </c>
      <c r="D122" s="54" t="str">
        <f>IF(Trabajos!D122="","",Trabajos!D122)</f>
        <v>Aplicación de cebos</v>
      </c>
      <c r="E122" s="17">
        <f>IF(Trabajos!J122="","",Trabajos!J122)</f>
        <v>436050</v>
      </c>
      <c r="F122" s="17">
        <f>IF(Trabajos!O122="","",Trabajos!O122)</f>
        <v>117262.25</v>
      </c>
      <c r="G122" s="181"/>
      <c r="H122" s="17">
        <f>IF(Trabajos!H122&lt;&gt;"",E122-E122*G122,"")</f>
        <v>436050</v>
      </c>
      <c r="I122" s="17">
        <f>IF(Trabajos!H122&lt;&gt;"",F122-F122*G122,"")</f>
        <v>117262.25</v>
      </c>
      <c r="J122" s="16">
        <f>IF(Trabajos!H122&lt;&gt;"",H122*0.55,"")</f>
        <v>239827.50000000003</v>
      </c>
      <c r="K122" s="16">
        <f>IF(Trabajos!H122&lt;&gt;"",H122*0.45,"")</f>
        <v>196222.5</v>
      </c>
      <c r="L122" s="16" t="str">
        <f>IF(Trabajos!L122="","",Trabajos!L122)</f>
        <v>Tomas</v>
      </c>
    </row>
    <row r="123" spans="2:12" x14ac:dyDescent="0.25">
      <c r="B123" s="52">
        <f>IF(Trabajos!B123="","",Trabajos!B123)</f>
        <v>45949</v>
      </c>
      <c r="C123" s="53" t="str">
        <f>IF(Trabajos!F123="","",Trabajos!F123)</f>
        <v>Espartina S.A.</v>
      </c>
      <c r="D123" s="54" t="str">
        <f>IF(Trabajos!D123="","",Trabajos!D123)</f>
        <v>Aplicación de cebos</v>
      </c>
      <c r="E123" s="17">
        <f>IF(Trabajos!J123="","",Trabajos!J123)</f>
        <v>327037.5</v>
      </c>
      <c r="F123" s="17">
        <f>IF(Trabajos!O123="","",Trabajos!O123)</f>
        <v>98880.6</v>
      </c>
      <c r="G123" s="181"/>
      <c r="H123" s="17">
        <f>IF(Trabajos!H123&lt;&gt;"",E123-E123*G123,"")</f>
        <v>327037.5</v>
      </c>
      <c r="I123" s="17">
        <f>IF(Trabajos!H123&lt;&gt;"",F123-F123*G123,"")</f>
        <v>98880.6</v>
      </c>
      <c r="J123" s="16">
        <f>IF(Trabajos!H123&lt;&gt;"",H123*0.55,"")</f>
        <v>179870.625</v>
      </c>
      <c r="K123" s="16">
        <f>IF(Trabajos!H123&lt;&gt;"",H123*0.45,"")</f>
        <v>147166.875</v>
      </c>
      <c r="L123" s="16" t="str">
        <f>IF(Trabajos!L123="","",Trabajos!L123)</f>
        <v>Tomas</v>
      </c>
    </row>
    <row r="124" spans="2:12" x14ac:dyDescent="0.25">
      <c r="B124" s="52">
        <f>IF(Trabajos!B124="","",Trabajos!B124)</f>
        <v>45949</v>
      </c>
      <c r="C124" s="53" t="str">
        <f>IF(Trabajos!F124="","",Trabajos!F124)</f>
        <v>Espartina S.A.</v>
      </c>
      <c r="D124" s="54" t="str">
        <f>IF(Trabajos!D124="","",Trabajos!D124)</f>
        <v>Monitoreo de bb y bab</v>
      </c>
      <c r="E124" s="17">
        <f>IF(Trabajos!J124="","",Trabajos!J124)</f>
        <v>241425</v>
      </c>
      <c r="F124" s="17">
        <f>IF(Trabajos!O124="","",Trabajos!O124)</f>
        <v>186351.9</v>
      </c>
      <c r="G124" s="181"/>
      <c r="H124" s="17">
        <f>IF(Trabajos!H124&lt;&gt;"",E124-E124*G124,"")</f>
        <v>241425</v>
      </c>
      <c r="I124" s="17">
        <f>IF(Trabajos!H124&lt;&gt;"",F124-F124*G124,"")</f>
        <v>186351.9</v>
      </c>
      <c r="J124" s="16">
        <f>IF(Trabajos!H124&lt;&gt;"",H124*0.55,"")</f>
        <v>132783.75</v>
      </c>
      <c r="K124" s="16">
        <f>IF(Trabajos!H124&lt;&gt;"",H124*0.45,"")</f>
        <v>108641.25</v>
      </c>
      <c r="L124" s="16" t="str">
        <f>IF(Trabajos!L124="","",Trabajos!L124)</f>
        <v>Paco</v>
      </c>
    </row>
    <row r="125" spans="2:12" x14ac:dyDescent="0.25">
      <c r="B125" s="52">
        <f>IF(Trabajos!B125="","",Trabajos!B125)</f>
        <v>45950</v>
      </c>
      <c r="C125" s="53" t="str">
        <f>IF(Trabajos!F125="","",Trabajos!F125)</f>
        <v>Espartina S.A.</v>
      </c>
      <c r="D125" s="54" t="str">
        <f>IF(Trabajos!D125="","",Trabajos!D125)</f>
        <v>Monitoreo de bb y bab</v>
      </c>
      <c r="E125" s="17">
        <f>IF(Trabajos!J125="","",Trabajos!J125)</f>
        <v>552692.53</v>
      </c>
      <c r="F125" s="17">
        <f>IF(Trabajos!O125="","",Trabajos!O125)</f>
        <v>0</v>
      </c>
      <c r="G125" s="181"/>
      <c r="H125" s="17">
        <f>IF(Trabajos!H125&lt;&gt;"",E125-E125*G125,"")</f>
        <v>552692.53</v>
      </c>
      <c r="I125" s="17">
        <f>IF(Trabajos!H125&lt;&gt;"",F125-F125*G125,"")</f>
        <v>0</v>
      </c>
      <c r="J125" s="16">
        <f>IF(Trabajos!H125&lt;&gt;"",H125*0.55,"")</f>
        <v>303980.89150000003</v>
      </c>
      <c r="K125" s="16">
        <f>IF(Trabajos!H125&lt;&gt;"",H125*0.45,"")</f>
        <v>248711.63850000003</v>
      </c>
      <c r="L125" s="16" t="str">
        <f>IF(Trabajos!L125="","",Trabajos!L125)</f>
        <v>Zoom</v>
      </c>
    </row>
    <row r="126" spans="2:12" x14ac:dyDescent="0.25">
      <c r="B126" s="52">
        <f>IF(Trabajos!B126="","",Trabajos!B126)</f>
        <v>45950</v>
      </c>
      <c r="C126" s="53" t="str">
        <f>IF(Trabajos!F126="","",Trabajos!F126)</f>
        <v>Espartina S.A.</v>
      </c>
      <c r="D126" s="54" t="str">
        <f>IF(Trabajos!D126="","",Trabajos!D126)</f>
        <v>Monitoreo de bb y bab</v>
      </c>
      <c r="E126" s="17">
        <f>IF(Trabajos!J126="","",Trabajos!J126)</f>
        <v>430650</v>
      </c>
      <c r="F126" s="17">
        <f>IF(Trabajos!O126="","",Trabajos!O126)</f>
        <v>186351.9</v>
      </c>
      <c r="G126" s="181"/>
      <c r="H126" s="17">
        <f>IF(Trabajos!H126&lt;&gt;"",E126-E126*G126,"")</f>
        <v>430650</v>
      </c>
      <c r="I126" s="17">
        <f>IF(Trabajos!H126&lt;&gt;"",F126-F126*G126,"")</f>
        <v>186351.9</v>
      </c>
      <c r="J126" s="16">
        <f>IF(Trabajos!H126&lt;&gt;"",H126*0.55,"")</f>
        <v>236857.50000000003</v>
      </c>
      <c r="K126" s="16">
        <f>IF(Trabajos!H126&lt;&gt;"",H126*0.45,"")</f>
        <v>193792.5</v>
      </c>
      <c r="L126" s="16" t="str">
        <f>IF(Trabajos!L126="","",Trabajos!L126)</f>
        <v>Zoom</v>
      </c>
    </row>
    <row r="127" spans="2:12" x14ac:dyDescent="0.25">
      <c r="B127" s="52">
        <f>IF(Trabajos!B127="","",Trabajos!B127)</f>
        <v>45950</v>
      </c>
      <c r="C127" s="53" t="str">
        <f>IF(Trabajos!F127="","",Trabajos!F127)</f>
        <v>Espartina S.A.</v>
      </c>
      <c r="D127" s="54" t="str">
        <f>IF(Trabajos!D127="","",Trabajos!D127)</f>
        <v>Aplicación de cebos</v>
      </c>
      <c r="E127" s="17">
        <f>IF(Trabajos!J127="","",Trabajos!J127)</f>
        <v>1740000</v>
      </c>
      <c r="F127" s="17">
        <f>IF(Trabajos!O127="","",Trabajos!O127)</f>
        <v>186351.9</v>
      </c>
      <c r="G127" s="181"/>
      <c r="H127" s="17">
        <f>IF(Trabajos!H127&lt;&gt;"",E127-E127*G127,"")</f>
        <v>1740000</v>
      </c>
      <c r="I127" s="17">
        <f>IF(Trabajos!H127&lt;&gt;"",F127-F127*G127,"")</f>
        <v>186351.9</v>
      </c>
      <c r="J127" s="16">
        <f>IF(Trabajos!H127&lt;&gt;"",H127*0.55,"")</f>
        <v>957000.00000000012</v>
      </c>
      <c r="K127" s="16">
        <f>IF(Trabajos!H127&lt;&gt;"",H127*0.45,"")</f>
        <v>783000</v>
      </c>
      <c r="L127" s="16" t="str">
        <f>IF(Trabajos!L127="","",Trabajos!L127)</f>
        <v>Paco</v>
      </c>
    </row>
    <row r="128" spans="2:12" x14ac:dyDescent="0.25">
      <c r="B128" s="52">
        <f>IF(Trabajos!B128="","",Trabajos!B128)</f>
        <v>45950</v>
      </c>
      <c r="C128" s="53" t="str">
        <f>IF(Trabajos!F128="","",Trabajos!F128)</f>
        <v>Juan Rodriguez Rivas</v>
      </c>
      <c r="D128" s="54" t="str">
        <f>IF(Trabajos!D128="","",Trabajos!D128)</f>
        <v>Aplicación de cebos</v>
      </c>
      <c r="E128" s="17">
        <f>IF(Trabajos!J128="","",Trabajos!J128)</f>
        <v>133617.5</v>
      </c>
      <c r="F128" s="17">
        <f>IF(Trabajos!O128="","",Trabajos!O128)</f>
        <v>170300</v>
      </c>
      <c r="G128" s="181"/>
      <c r="H128" s="17">
        <f>IF(Trabajos!H128&lt;&gt;"",E128-E128*G128,"")</f>
        <v>133617.5</v>
      </c>
      <c r="I128" s="17">
        <f>IF(Trabajos!H128&lt;&gt;"",F128-F128*G128,"")</f>
        <v>170300</v>
      </c>
      <c r="J128" s="16">
        <f>IF(Trabajos!H128&lt;&gt;"",H128*0.55,"")</f>
        <v>73489.625</v>
      </c>
      <c r="K128" s="16">
        <f>IF(Trabajos!H128&lt;&gt;"",H128*0.45,"")</f>
        <v>60127.875</v>
      </c>
      <c r="L128" s="16" t="str">
        <f>IF(Trabajos!L128="","",Trabajos!L128)</f>
        <v>Paco</v>
      </c>
    </row>
    <row r="129" spans="2:12" x14ac:dyDescent="0.25">
      <c r="B129" s="52">
        <f>IF(Trabajos!B129="","",Trabajos!B129)</f>
        <v>45951</v>
      </c>
      <c r="C129" s="53" t="str">
        <f>IF(Trabajos!F129="","",Trabajos!F129)</f>
        <v>Espartina S.A.</v>
      </c>
      <c r="D129" s="54" t="str">
        <f>IF(Trabajos!D129="","",Trabajos!D129)</f>
        <v>Aplicación de cebos</v>
      </c>
      <c r="E129" s="17">
        <f>IF(Trabajos!J129="","",Trabajos!J129)</f>
        <v>1239750</v>
      </c>
      <c r="F129" s="17">
        <f>IF(Trabajos!O129="","",Trabajos!O129)</f>
        <v>86837.45</v>
      </c>
      <c r="G129" s="181"/>
      <c r="H129" s="17">
        <f>IF(Trabajos!H129&lt;&gt;"",E129-E129*G129,"")</f>
        <v>1239750</v>
      </c>
      <c r="I129" s="17">
        <f>IF(Trabajos!H129&lt;&gt;"",F129-F129*G129,"")</f>
        <v>86837.45</v>
      </c>
      <c r="J129" s="16">
        <f>IF(Trabajos!H129&lt;&gt;"",H129*0.55,"")</f>
        <v>681862.5</v>
      </c>
      <c r="K129" s="16">
        <f>IF(Trabajos!H129&lt;&gt;"",H129*0.45,"")</f>
        <v>557887.5</v>
      </c>
      <c r="L129" s="16" t="str">
        <f>IF(Trabajos!L129="","",Trabajos!L129)</f>
        <v>Paco</v>
      </c>
    </row>
    <row r="130" spans="2:12" x14ac:dyDescent="0.25">
      <c r="B130" s="52">
        <f>IF(Trabajos!B130="","",Trabajos!B130)</f>
        <v>45951</v>
      </c>
      <c r="C130" s="53" t="str">
        <f>IF(Trabajos!F130="","",Trabajos!F130)</f>
        <v>Espartina S.A.</v>
      </c>
      <c r="D130" s="54" t="str">
        <f>IF(Trabajos!D130="","",Trabajos!D130)</f>
        <v>Aplicación de cebos</v>
      </c>
      <c r="E130" s="17">
        <f>IF(Trabajos!J130="","",Trabajos!J130)</f>
        <v>616250</v>
      </c>
      <c r="F130" s="17">
        <f>IF(Trabajos!O130="","",Trabajos!O130)</f>
        <v>86837.45</v>
      </c>
      <c r="G130" s="181"/>
      <c r="H130" s="17">
        <f>IF(Trabajos!H130&lt;&gt;"",E130-E130*G130,"")</f>
        <v>616250</v>
      </c>
      <c r="I130" s="17">
        <f>IF(Trabajos!H130&lt;&gt;"",F130-F130*G130,"")</f>
        <v>86837.45</v>
      </c>
      <c r="J130" s="16">
        <f>IF(Trabajos!H130&lt;&gt;"",H130*0.55,"")</f>
        <v>338937.5</v>
      </c>
      <c r="K130" s="16">
        <f>IF(Trabajos!H130&lt;&gt;"",H130*0.45,"")</f>
        <v>277312.5</v>
      </c>
      <c r="L130" s="16" t="str">
        <f>IF(Trabajos!L130="","",Trabajos!L130)</f>
        <v>Paco</v>
      </c>
    </row>
    <row r="131" spans="2:12" x14ac:dyDescent="0.25">
      <c r="B131" s="52">
        <f>IF(Trabajos!B131="","",Trabajos!B131)</f>
        <v>45951</v>
      </c>
      <c r="C131" s="53" t="str">
        <f>IF(Trabajos!F131="","",Trabajos!F131)</f>
        <v>Cía. de Tierras Sud Argentino S.A.</v>
      </c>
      <c r="D131" s="54" t="str">
        <f>IF(Trabajos!D131="","",Trabajos!D131)</f>
        <v>Aplicación de cebos</v>
      </c>
      <c r="E131" s="17">
        <f>IF(Trabajos!J131="","",Trabajos!J131)</f>
        <v>1606117.5</v>
      </c>
      <c r="F131" s="17">
        <f>IF(Trabajos!O131="","",Trabajos!O131)</f>
        <v>32500</v>
      </c>
      <c r="G131" s="181"/>
      <c r="H131" s="17">
        <f>IF(Trabajos!H131&lt;&gt;"",E131-E131*G131,"")</f>
        <v>1606117.5</v>
      </c>
      <c r="I131" s="17">
        <f>IF(Trabajos!H131&lt;&gt;"",F131-F131*G131,"")</f>
        <v>32500</v>
      </c>
      <c r="J131" s="16">
        <f>IF(Trabajos!H131&lt;&gt;"",H131*0.55,"")</f>
        <v>883364.62500000012</v>
      </c>
      <c r="K131" s="16">
        <f>IF(Trabajos!H131&lt;&gt;"",H131*0.45,"")</f>
        <v>722752.875</v>
      </c>
      <c r="L131" s="16" t="str">
        <f>IF(Trabajos!L131="","",Trabajos!L131)</f>
        <v>Tomas</v>
      </c>
    </row>
    <row r="132" spans="2:12" x14ac:dyDescent="0.25">
      <c r="B132" s="52">
        <f>IF(Trabajos!B132="","",Trabajos!B132)</f>
        <v>45951</v>
      </c>
      <c r="C132" s="53" t="str">
        <f>IF(Trabajos!F132="","",Trabajos!F132)</f>
        <v>Espartina S.A.</v>
      </c>
      <c r="D132" s="54" t="str">
        <f>IF(Trabajos!D132="","",Trabajos!D132)</f>
        <v>Aplicación de cebos</v>
      </c>
      <c r="E132" s="17">
        <f>IF(Trabajos!J132="","",Trabajos!J132)</f>
        <v>775750</v>
      </c>
      <c r="F132" s="17">
        <f>IF(Trabajos!O132="","",Trabajos!O132)</f>
        <v>164801</v>
      </c>
      <c r="G132" s="181"/>
      <c r="H132" s="17">
        <f>IF(Trabajos!H132&lt;&gt;"",E132-E132*G132,"")</f>
        <v>775750</v>
      </c>
      <c r="I132" s="17">
        <f>IF(Trabajos!H132&lt;&gt;"",F132-F132*G132,"")</f>
        <v>164801</v>
      </c>
      <c r="J132" s="16">
        <f>IF(Trabajos!H132&lt;&gt;"",H132*0.55,"")</f>
        <v>426662.50000000006</v>
      </c>
      <c r="K132" s="16">
        <f>IF(Trabajos!H132&lt;&gt;"",H132*0.45,"")</f>
        <v>349087.5</v>
      </c>
      <c r="L132" s="16" t="str">
        <f>IF(Trabajos!L132="","",Trabajos!L132)</f>
        <v>Zoom</v>
      </c>
    </row>
    <row r="133" spans="2:12" x14ac:dyDescent="0.25">
      <c r="B133" s="52">
        <f>IF(Trabajos!B133="","",Trabajos!B133)</f>
        <v>45951</v>
      </c>
      <c r="C133" s="53" t="str">
        <f>IF(Trabajos!F133="","",Trabajos!F133)</f>
        <v>Espartina S.A.</v>
      </c>
      <c r="D133" s="54" t="str">
        <f>IF(Trabajos!D133="","",Trabajos!D133)</f>
        <v>Monitoreo de bb y bab</v>
      </c>
      <c r="E133" s="17">
        <f>IF(Trabajos!J133="","",Trabajos!J133)</f>
        <v>352350</v>
      </c>
      <c r="F133" s="17">
        <f>IF(Trabajos!O133="","",Trabajos!O133)</f>
        <v>58314.200000000004</v>
      </c>
      <c r="G133" s="181"/>
      <c r="H133" s="17">
        <f>IF(Trabajos!H133&lt;&gt;"",E133-E133*G133,"")</f>
        <v>352350</v>
      </c>
      <c r="I133" s="17">
        <f>IF(Trabajos!H133&lt;&gt;"",F133-F133*G133,"")</f>
        <v>58314.200000000004</v>
      </c>
      <c r="J133" s="16">
        <f>IF(Trabajos!H133&lt;&gt;"",H133*0.55,"")</f>
        <v>193792.50000000003</v>
      </c>
      <c r="K133" s="16">
        <f>IF(Trabajos!H133&lt;&gt;"",H133*0.45,"")</f>
        <v>158557.5</v>
      </c>
      <c r="L133" s="16" t="str">
        <f>IF(Trabajos!L133="","",Trabajos!L133)</f>
        <v>Zoom</v>
      </c>
    </row>
    <row r="134" spans="2:12" x14ac:dyDescent="0.25">
      <c r="B134" s="52">
        <f>IF(Trabajos!B134="","",Trabajos!B134)</f>
        <v>45951</v>
      </c>
      <c r="C134" s="53" t="str">
        <f>IF(Trabajos!F134="","",Trabajos!F134)</f>
        <v>Espartina S.A.</v>
      </c>
      <c r="D134" s="54" t="str">
        <f>IF(Trabajos!D134="","",Trabajos!D134)</f>
        <v>Monitoreo de bb y bab</v>
      </c>
      <c r="E134" s="17">
        <f>IF(Trabajos!J134="","",Trabajos!J134)</f>
        <v>287100</v>
      </c>
      <c r="F134" s="17">
        <f>IF(Trabajos!O134="","",Trabajos!O134)</f>
        <v>58314.200000000004</v>
      </c>
      <c r="G134" s="181"/>
      <c r="H134" s="17">
        <f>IF(Trabajos!H134&lt;&gt;"",E134-E134*G134,"")</f>
        <v>287100</v>
      </c>
      <c r="I134" s="17">
        <f>IF(Trabajos!H134&lt;&gt;"",F134-F134*G134,"")</f>
        <v>58314.200000000004</v>
      </c>
      <c r="J134" s="16">
        <f>IF(Trabajos!H134&lt;&gt;"",H134*0.55,"")</f>
        <v>157905</v>
      </c>
      <c r="K134" s="16">
        <f>IF(Trabajos!H134&lt;&gt;"",H134*0.45,"")</f>
        <v>129195</v>
      </c>
      <c r="L134" s="16" t="str">
        <f>IF(Trabajos!L134="","",Trabajos!L134)</f>
        <v>Zoom</v>
      </c>
    </row>
    <row r="135" spans="2:12" x14ac:dyDescent="0.25">
      <c r="B135" s="52">
        <f>IF(Trabajos!B135="","",Trabajos!B135)</f>
        <v>45951</v>
      </c>
      <c r="C135" s="53" t="str">
        <f>IF(Trabajos!F135="","",Trabajos!F135)</f>
        <v>Espartina S.A.</v>
      </c>
      <c r="D135" s="54" t="str">
        <f>IF(Trabajos!D135="","",Trabajos!D135)</f>
        <v>Monitoreo de bb y bab</v>
      </c>
      <c r="E135" s="17">
        <f>IF(Trabajos!J135="","",Trabajos!J135)</f>
        <v>238162.5</v>
      </c>
      <c r="F135" s="17">
        <f>IF(Trabajos!O135="","",Trabajos!O135)</f>
        <v>51975.700000000004</v>
      </c>
      <c r="G135" s="181"/>
      <c r="H135" s="17">
        <f>IF(Trabajos!H135&lt;&gt;"",E135-E135*G135,"")</f>
        <v>238162.5</v>
      </c>
      <c r="I135" s="17">
        <f>IF(Trabajos!H135&lt;&gt;"",F135-F135*G135,"")</f>
        <v>51975.700000000004</v>
      </c>
      <c r="J135" s="16">
        <f>IF(Trabajos!H135&lt;&gt;"",H135*0.55,"")</f>
        <v>130989.37500000001</v>
      </c>
      <c r="K135" s="16">
        <f>IF(Trabajos!H135&lt;&gt;"",H135*0.45,"")</f>
        <v>107173.125</v>
      </c>
      <c r="L135" s="16" t="str">
        <f>IF(Trabajos!L135="","",Trabajos!L135)</f>
        <v>Zoom</v>
      </c>
    </row>
    <row r="136" spans="2:12" x14ac:dyDescent="0.25">
      <c r="B136" s="52">
        <f>IF(Trabajos!B136="","",Trabajos!B136)</f>
        <v>45951</v>
      </c>
      <c r="C136" s="53" t="str">
        <f>IF(Trabajos!F136="","",Trabajos!F136)</f>
        <v>Espartina S.A.</v>
      </c>
      <c r="D136" s="54" t="str">
        <f>IF(Trabajos!D136="","",Trabajos!D136)</f>
        <v>Monitoreo de bb y bab</v>
      </c>
      <c r="E136" s="17">
        <f>IF(Trabajos!J136="","",Trabajos!J136)</f>
        <v>600300</v>
      </c>
      <c r="F136" s="17">
        <f>IF(Trabajos!O136="","",Trabajos!O136)</f>
        <v>51975.700000000004</v>
      </c>
      <c r="G136" s="181"/>
      <c r="H136" s="17">
        <f>IF(Trabajos!H136&lt;&gt;"",E136-E136*G136,"")</f>
        <v>600300</v>
      </c>
      <c r="I136" s="17">
        <f>IF(Trabajos!H136&lt;&gt;"",F136-F136*G136,"")</f>
        <v>51975.700000000004</v>
      </c>
      <c r="J136" s="16">
        <f>IF(Trabajos!H136&lt;&gt;"",H136*0.55,"")</f>
        <v>330165</v>
      </c>
      <c r="K136" s="16">
        <f>IF(Trabajos!H136&lt;&gt;"",H136*0.45,"")</f>
        <v>270135</v>
      </c>
      <c r="L136" s="16" t="str">
        <f>IF(Trabajos!L136="","",Trabajos!L136)</f>
        <v>Zoom</v>
      </c>
    </row>
    <row r="137" spans="2:12" x14ac:dyDescent="0.25">
      <c r="B137" s="52">
        <f>IF(Trabajos!B137="","",Trabajos!B137)</f>
        <v>45953</v>
      </c>
      <c r="C137" s="53" t="str">
        <f>IF(Trabajos!F137="","",Trabajos!F137)</f>
        <v>Juan Ignacio Franco</v>
      </c>
      <c r="D137" s="54" t="str">
        <f>IF(Trabajos!D137="","",Trabajos!D137)</f>
        <v>Monitoreo de bb y bab</v>
      </c>
      <c r="E137" s="17">
        <f>IF(Trabajos!J137="","",Trabajos!J137)</f>
        <v>204582.5</v>
      </c>
      <c r="F137" s="17">
        <f>IF(Trabajos!O137="","",Trabajos!O137)</f>
        <v>27300</v>
      </c>
      <c r="G137" s="181"/>
      <c r="H137" s="17">
        <f>IF(Trabajos!H137&lt;&gt;"",E137-E137*G137,"")</f>
        <v>204582.5</v>
      </c>
      <c r="I137" s="17">
        <f>IF(Trabajos!H137&lt;&gt;"",F137-F137*G137,"")</f>
        <v>27300</v>
      </c>
      <c r="J137" s="16">
        <f>IF(Trabajos!H137&lt;&gt;"",H137*0.55,"")</f>
        <v>112520.37500000001</v>
      </c>
      <c r="K137" s="16">
        <f>IF(Trabajos!H137&lt;&gt;"",H137*0.45,"")</f>
        <v>92062.125</v>
      </c>
      <c r="L137" s="16" t="str">
        <f>IF(Trabajos!L137="","",Trabajos!L137)</f>
        <v>Zoom</v>
      </c>
    </row>
    <row r="138" spans="2:12" x14ac:dyDescent="0.25">
      <c r="B138" s="52">
        <f>IF(Trabajos!B138="","",Trabajos!B138)</f>
        <v>45953</v>
      </c>
      <c r="C138" s="53" t="str">
        <f>IF(Trabajos!F138="","",Trabajos!F138)</f>
        <v>La Mylucha</v>
      </c>
      <c r="D138" s="54" t="str">
        <f>IF(Trabajos!D138="","",Trabajos!D138)</f>
        <v>Monitoreo de bb y bab</v>
      </c>
      <c r="E138" s="17">
        <f>IF(Trabajos!J138="","",Trabajos!J138)</f>
        <v>272156.25</v>
      </c>
      <c r="F138" s="17">
        <f>IF(Trabajos!O138="","",Trabajos!O138)</f>
        <v>26000</v>
      </c>
      <c r="G138" s="181"/>
      <c r="H138" s="17">
        <f>IF(Trabajos!H138&lt;&gt;"",E138-E138*G138,"")</f>
        <v>272156.25</v>
      </c>
      <c r="I138" s="17">
        <f>IF(Trabajos!H138&lt;&gt;"",F138-F138*G138,"")</f>
        <v>26000</v>
      </c>
      <c r="J138" s="16">
        <f>IF(Trabajos!H138&lt;&gt;"",H138*0.55,"")</f>
        <v>149685.9375</v>
      </c>
      <c r="K138" s="16">
        <f>IF(Trabajos!H138&lt;&gt;"",H138*0.45,"")</f>
        <v>122470.3125</v>
      </c>
      <c r="L138" s="16" t="str">
        <f>IF(Trabajos!L138="","",Trabajos!L138)</f>
        <v>Zoom</v>
      </c>
    </row>
    <row r="139" spans="2:12" x14ac:dyDescent="0.25">
      <c r="B139" s="52">
        <f>IF(Trabajos!B139="","",Trabajos!B139)</f>
        <v>45953</v>
      </c>
      <c r="C139" s="53" t="str">
        <f>IF(Trabajos!F139="","",Trabajos!F139)</f>
        <v>Espartina S.A.</v>
      </c>
      <c r="D139" s="54" t="str">
        <f>IF(Trabajos!D139="","",Trabajos!D139)</f>
        <v>Aplicación de cebos</v>
      </c>
      <c r="E139" s="17">
        <f>IF(Trabajos!J139="","",Trabajos!J139)</f>
        <v>821227.5</v>
      </c>
      <c r="F139" s="17">
        <f>IF(Trabajos!O139="","",Trabajos!O139)</f>
        <v>111557.6</v>
      </c>
      <c r="G139" s="181"/>
      <c r="H139" s="17">
        <f>IF(Trabajos!H139&lt;&gt;"",E139-E139*G139,"")</f>
        <v>821227.5</v>
      </c>
      <c r="I139" s="17">
        <f>IF(Trabajos!H139&lt;&gt;"",F139-F139*G139,"")</f>
        <v>111557.6</v>
      </c>
      <c r="J139" s="16">
        <f>IF(Trabajos!H139&lt;&gt;"",H139*0.55,"")</f>
        <v>451675.12500000006</v>
      </c>
      <c r="K139" s="16">
        <f>IF(Trabajos!H139&lt;&gt;"",H139*0.45,"")</f>
        <v>369552.375</v>
      </c>
      <c r="L139" s="16" t="str">
        <f>IF(Trabajos!L139="","",Trabajos!L139)</f>
        <v>Zoom</v>
      </c>
    </row>
    <row r="140" spans="2:12" x14ac:dyDescent="0.25">
      <c r="B140" s="52">
        <f>IF(Trabajos!B140="","",Trabajos!B140)</f>
        <v>45956</v>
      </c>
      <c r="C140" s="53" t="str">
        <f>IF(Trabajos!F140="","",Trabajos!F140)</f>
        <v>Espartina S.A.</v>
      </c>
      <c r="D140" s="54" t="str">
        <f>IF(Trabajos!D140="","",Trabajos!D140)</f>
        <v>Monitoreo de bb y bab</v>
      </c>
      <c r="E140" s="17">
        <f>IF(Trabajos!J140="","",Trabajos!J140)</f>
        <v>506907.35</v>
      </c>
      <c r="F140" s="17">
        <f>IF(Trabajos!O140="","",Trabajos!O140)</f>
        <v>31692.5</v>
      </c>
      <c r="G140" s="181"/>
      <c r="H140" s="17">
        <f>IF(Trabajos!H140&lt;&gt;"",E140-E140*G140,"")</f>
        <v>506907.35</v>
      </c>
      <c r="I140" s="17">
        <f>IF(Trabajos!H140&lt;&gt;"",F140-F140*G140,"")</f>
        <v>31692.5</v>
      </c>
      <c r="J140" s="16">
        <f>IF(Trabajos!H140&lt;&gt;"",H140*0.55,"")</f>
        <v>278799.04249999998</v>
      </c>
      <c r="K140" s="16">
        <f>IF(Trabajos!H140&lt;&gt;"",H140*0.45,"")</f>
        <v>228108.3075</v>
      </c>
      <c r="L140" s="16" t="str">
        <f>IF(Trabajos!L140="","",Trabajos!L140)</f>
        <v>Zoom</v>
      </c>
    </row>
    <row r="141" spans="2:12" x14ac:dyDescent="0.25">
      <c r="B141" s="52">
        <f>IF(Trabajos!B141="","",Trabajos!B141)</f>
        <v>45957</v>
      </c>
      <c r="C141" s="53" t="str">
        <f>IF(Trabajos!F141="","",Trabajos!F141)</f>
        <v>Juan Rodriguez Rivas</v>
      </c>
      <c r="D141" s="54" t="str">
        <f>IF(Trabajos!D141="","",Trabajos!D141)</f>
        <v>Aplicación de cebos</v>
      </c>
      <c r="E141" s="17">
        <f>IF(Trabajos!J141="","",Trabajos!J141)</f>
        <v>703250</v>
      </c>
      <c r="F141" s="17">
        <f>IF(Trabajos!O141="","",Trabajos!O141)</f>
        <v>170300</v>
      </c>
      <c r="G141" s="181"/>
      <c r="H141" s="17">
        <f>IF(Trabajos!H141&lt;&gt;"",E141-E141*G141,"")</f>
        <v>703250</v>
      </c>
      <c r="I141" s="17">
        <f>IF(Trabajos!H141&lt;&gt;"",F141-F141*G141,"")</f>
        <v>170300</v>
      </c>
      <c r="J141" s="16">
        <f>IF(Trabajos!H141&lt;&gt;"",H141*0.55,"")</f>
        <v>386787.50000000006</v>
      </c>
      <c r="K141" s="16">
        <f>IF(Trabajos!H141&lt;&gt;"",H141*0.45,"")</f>
        <v>316462.5</v>
      </c>
      <c r="L141" s="16" t="str">
        <f>IF(Trabajos!L141="","",Trabajos!L141)</f>
        <v>Paco</v>
      </c>
    </row>
    <row r="142" spans="2:12" x14ac:dyDescent="0.25">
      <c r="B142" s="52">
        <f>IF(Trabajos!B142="","",Trabajos!B142)</f>
        <v>45957</v>
      </c>
      <c r="C142" s="53" t="str">
        <f>IF(Trabajos!F142="","",Trabajos!F142)</f>
        <v>La Nany S.A.</v>
      </c>
      <c r="D142" s="54" t="str">
        <f>IF(Trabajos!D142="","",Trabajos!D142)</f>
        <v>Aplicación de cebos</v>
      </c>
      <c r="E142" s="17">
        <f>IF(Trabajos!J142="","",Trabajos!J142)</f>
        <v>1411312.5</v>
      </c>
      <c r="F142" s="17">
        <f>IF(Trabajos!O142="","",Trabajos!O142)</f>
        <v>67600</v>
      </c>
      <c r="G142" s="181"/>
      <c r="H142" s="17">
        <f>IF(Trabajos!H142&lt;&gt;"",E142-E142*G142,"")</f>
        <v>1411312.5</v>
      </c>
      <c r="I142" s="17">
        <f>IF(Trabajos!H142&lt;&gt;"",F142-F142*G142,"")</f>
        <v>67600</v>
      </c>
      <c r="J142" s="16">
        <f>IF(Trabajos!H142&lt;&gt;"",H142*0.55,"")</f>
        <v>776221.87500000012</v>
      </c>
      <c r="K142" s="16">
        <f>IF(Trabajos!H142&lt;&gt;"",H142*0.45,"")</f>
        <v>635090.625</v>
      </c>
      <c r="L142" s="16" t="str">
        <f>IF(Trabajos!L142="","",Trabajos!L142)</f>
        <v>Tomas</v>
      </c>
    </row>
    <row r="143" spans="2:12" x14ac:dyDescent="0.25">
      <c r="B143" s="52">
        <f>IF(Trabajos!B143="","",Trabajos!B143)</f>
        <v>45957</v>
      </c>
      <c r="C143" s="53" t="str">
        <f>IF(Trabajos!F143="","",Trabajos!F143)</f>
        <v>Juan Rodriguez Rivas</v>
      </c>
      <c r="D143" s="54" t="str">
        <f>IF(Trabajos!D143="","",Trabajos!D143)</f>
        <v>Monitoreo de bb y bab</v>
      </c>
      <c r="E143" s="17">
        <f>IF(Trabajos!J143="","",Trabajos!J143)</f>
        <v>1283431.25</v>
      </c>
      <c r="F143" s="17">
        <f>IF(Trabajos!O143="","",Trabajos!O143)</f>
        <v>159900</v>
      </c>
      <c r="G143" s="181"/>
      <c r="H143" s="17">
        <f>IF(Trabajos!H143&lt;&gt;"",E143-E143*G143,"")</f>
        <v>1283431.25</v>
      </c>
      <c r="I143" s="17">
        <f>IF(Trabajos!H143&lt;&gt;"",F143-F143*G143,"")</f>
        <v>159900</v>
      </c>
      <c r="J143" s="16">
        <f>IF(Trabajos!H143&lt;&gt;"",H143*0.55,"")</f>
        <v>705887.1875</v>
      </c>
      <c r="K143" s="16">
        <f>IF(Trabajos!H143&lt;&gt;"",H143*0.45,"")</f>
        <v>577544.0625</v>
      </c>
      <c r="L143" s="16" t="str">
        <f>IF(Trabajos!L143="","",Trabajos!L143)</f>
        <v>Zoom</v>
      </c>
    </row>
    <row r="144" spans="2:12" x14ac:dyDescent="0.25">
      <c r="B144" s="52">
        <f>IF(Trabajos!B144="","",Trabajos!B144)</f>
        <v>45957</v>
      </c>
      <c r="C144" s="53" t="str">
        <f>IF(Trabajos!F144="","",Trabajos!F144)</f>
        <v>Espartina S.A.</v>
      </c>
      <c r="D144" s="54" t="str">
        <f>IF(Trabajos!D144="","",Trabajos!D144)</f>
        <v>Aplicación de cebos</v>
      </c>
      <c r="E144" s="17">
        <f>IF(Trabajos!J144="","",Trabajos!J144)</f>
        <v>471250</v>
      </c>
      <c r="F144" s="17">
        <f>IF(Trabajos!O144="","",Trabajos!O144)</f>
        <v>134376.20000000001</v>
      </c>
      <c r="G144" s="181"/>
      <c r="H144" s="17">
        <f>IF(Trabajos!H144&lt;&gt;"",E144-E144*G144,"")</f>
        <v>471250</v>
      </c>
      <c r="I144" s="17">
        <f>IF(Trabajos!H144&lt;&gt;"",F144-F144*G144,"")</f>
        <v>134376.20000000001</v>
      </c>
      <c r="J144" s="16">
        <f>IF(Trabajos!H144&lt;&gt;"",H144*0.55,"")</f>
        <v>259187.50000000003</v>
      </c>
      <c r="K144" s="16">
        <f>IF(Trabajos!H144&lt;&gt;"",H144*0.45,"")</f>
        <v>212062.5</v>
      </c>
      <c r="L144" s="16" t="str">
        <f>IF(Trabajos!L144="","",Trabajos!L144)</f>
        <v>Zoom</v>
      </c>
    </row>
    <row r="145" spans="2:12" x14ac:dyDescent="0.25">
      <c r="B145" s="52">
        <f>IF(Trabajos!B145="","",Trabajos!B145)</f>
        <v>45958</v>
      </c>
      <c r="C145" s="53" t="str">
        <f>IF(Trabajos!F145="","",Trabajos!F145)</f>
        <v>Espartina S.A.</v>
      </c>
      <c r="D145" s="54" t="str">
        <f>IF(Trabajos!D145="","",Trabajos!D145)</f>
        <v>Aplicación de cebos</v>
      </c>
      <c r="E145" s="17">
        <f>IF(Trabajos!J145="","",Trabajos!J145)</f>
        <v>913500</v>
      </c>
      <c r="F145" s="17">
        <f>IF(Trabajos!O145="","",Trabajos!O145)</f>
        <v>131840.80000000002</v>
      </c>
      <c r="G145" s="181"/>
      <c r="H145" s="17">
        <f>IF(Trabajos!H145&lt;&gt;"",E145-E145*G145,"")</f>
        <v>913500</v>
      </c>
      <c r="I145" s="17">
        <f>IF(Trabajos!H145&lt;&gt;"",F145-F145*G145,"")</f>
        <v>131840.80000000002</v>
      </c>
      <c r="J145" s="16">
        <f>IF(Trabajos!H145&lt;&gt;"",H145*0.55,"")</f>
        <v>502425.00000000006</v>
      </c>
      <c r="K145" s="16">
        <f>IF(Trabajos!H145&lt;&gt;"",H145*0.45,"")</f>
        <v>411075</v>
      </c>
      <c r="L145" s="16" t="str">
        <f>IF(Trabajos!L145="","",Trabajos!L145)</f>
        <v>Paco</v>
      </c>
    </row>
    <row r="146" spans="2:12" x14ac:dyDescent="0.25">
      <c r="B146" s="52">
        <f>IF(Trabajos!B146="","",Trabajos!B146)</f>
        <v>45958</v>
      </c>
      <c r="C146" s="53" t="str">
        <f>IF(Trabajos!F146="","",Trabajos!F146)</f>
        <v>Espartina S.A.</v>
      </c>
      <c r="D146" s="54" t="str">
        <f>IF(Trabajos!D146="","",Trabajos!D146)</f>
        <v>Aplicación de cebos</v>
      </c>
      <c r="E146" s="17">
        <f>IF(Trabajos!J146="","",Trabajos!J146)</f>
        <v>813960</v>
      </c>
      <c r="F146" s="17">
        <f>IF(Trabajos!O146="","",Trabajos!O146)</f>
        <v>103951.40000000001</v>
      </c>
      <c r="G146" s="181"/>
      <c r="H146" s="17">
        <f>IF(Trabajos!H146&lt;&gt;"",E146-E146*G146,"")</f>
        <v>813960</v>
      </c>
      <c r="I146" s="17">
        <f>IF(Trabajos!H146&lt;&gt;"",F146-F146*G146,"")</f>
        <v>103951.40000000001</v>
      </c>
      <c r="J146" s="16">
        <f>IF(Trabajos!H146&lt;&gt;"",H146*0.55,"")</f>
        <v>447678.00000000006</v>
      </c>
      <c r="K146" s="16">
        <f>IF(Trabajos!H146&lt;&gt;"",H146*0.45,"")</f>
        <v>366282</v>
      </c>
      <c r="L146" s="16" t="str">
        <f>IF(Trabajos!L146="","",Trabajos!L146)</f>
        <v>Tomas</v>
      </c>
    </row>
    <row r="147" spans="2:12" x14ac:dyDescent="0.25">
      <c r="B147" s="52">
        <f>IF(Trabajos!B147="","",Trabajos!B147)</f>
        <v>45957</v>
      </c>
      <c r="C147" s="53" t="str">
        <f>IF(Trabajos!F147="","",Trabajos!F147)</f>
        <v>Espartina S.A.</v>
      </c>
      <c r="D147" s="54" t="str">
        <f>IF(Trabajos!D147="","",Trabajos!D147)</f>
        <v>Monitoreo de bb y bab</v>
      </c>
      <c r="E147" s="17">
        <f>IF(Trabajos!J147="","",Trabajos!J147)</f>
        <v>667155.48</v>
      </c>
      <c r="F147" s="17">
        <f>IF(Trabajos!O147="","",Trabajos!O147)</f>
        <v>31692.5</v>
      </c>
      <c r="G147" s="181"/>
      <c r="H147" s="17">
        <f>IF(Trabajos!H147&lt;&gt;"",E147-E147*G147,"")</f>
        <v>667155.48</v>
      </c>
      <c r="I147" s="17">
        <f>IF(Trabajos!H147&lt;&gt;"",F147-F147*G147,"")</f>
        <v>31692.5</v>
      </c>
      <c r="J147" s="16">
        <f>IF(Trabajos!H147&lt;&gt;"",H147*0.55,"")</f>
        <v>366935.51400000002</v>
      </c>
      <c r="K147" s="16">
        <f>IF(Trabajos!H147&lt;&gt;"",H147*0.45,"")</f>
        <v>300219.96600000001</v>
      </c>
      <c r="L147" s="16" t="str">
        <f>IF(Trabajos!L147="","",Trabajos!L147)</f>
        <v>Zoom</v>
      </c>
    </row>
    <row r="148" spans="2:12" x14ac:dyDescent="0.25">
      <c r="B148" s="52">
        <f>IF(Trabajos!B148="","",Trabajos!B148)</f>
        <v>45958</v>
      </c>
      <c r="C148" s="53" t="str">
        <f>IF(Trabajos!F148="","",Trabajos!F148)</f>
        <v>Espartina S.A.</v>
      </c>
      <c r="D148" s="54" t="str">
        <f>IF(Trabajos!D148="","",Trabajos!D148)</f>
        <v>Monitoreo de bb y bab</v>
      </c>
      <c r="E148" s="17">
        <f>IF(Trabajos!J148="","",Trabajos!J148)</f>
        <v>555962.9</v>
      </c>
      <c r="F148" s="17">
        <f>IF(Trabajos!O148="","",Trabajos!O148)</f>
        <v>38031</v>
      </c>
      <c r="G148" s="181"/>
      <c r="H148" s="17">
        <f>IF(Trabajos!H148&lt;&gt;"",E148-E148*G148,"")</f>
        <v>555962.9</v>
      </c>
      <c r="I148" s="17">
        <f>IF(Trabajos!H148&lt;&gt;"",F148-F148*G148,"")</f>
        <v>38031</v>
      </c>
      <c r="J148" s="16">
        <f>IF(Trabajos!H148&lt;&gt;"",H148*0.55,"")</f>
        <v>305779.59500000003</v>
      </c>
      <c r="K148" s="16">
        <f>IF(Trabajos!H148&lt;&gt;"",H148*0.45,"")</f>
        <v>250183.30500000002</v>
      </c>
      <c r="L148" s="16" t="str">
        <f>IF(Trabajos!L148="","",Trabajos!L148)</f>
        <v>Zoom</v>
      </c>
    </row>
    <row r="149" spans="2:12" x14ac:dyDescent="0.25">
      <c r="B149" s="52">
        <f>IF(Trabajos!B149="","",Trabajos!B149)</f>
        <v>45958</v>
      </c>
      <c r="C149" s="53" t="str">
        <f>IF(Trabajos!F149="","",Trabajos!F149)</f>
        <v>Espartina S.A.</v>
      </c>
      <c r="D149" s="54" t="str">
        <f>IF(Trabajos!D149="","",Trabajos!D149)</f>
        <v>Aplicación de cebos</v>
      </c>
      <c r="E149" s="17">
        <f>IF(Trabajos!J149="","",Trabajos!J149)</f>
        <v>414247.5</v>
      </c>
      <c r="F149" s="17">
        <f>IF(Trabajos!O149="","",Trabajos!O149)</f>
        <v>98880.6</v>
      </c>
      <c r="G149" s="181"/>
      <c r="H149" s="17">
        <f>IF(Trabajos!H149&lt;&gt;"",E149-E149*G149,"")</f>
        <v>414247.5</v>
      </c>
      <c r="I149" s="17">
        <f>IF(Trabajos!H149&lt;&gt;"",F149-F149*G149,"")</f>
        <v>98880.6</v>
      </c>
      <c r="J149" s="16">
        <f>IF(Trabajos!H149&lt;&gt;"",H149*0.55,"")</f>
        <v>227836.12500000003</v>
      </c>
      <c r="K149" s="16">
        <f>IF(Trabajos!H149&lt;&gt;"",H149*0.45,"")</f>
        <v>186411.375</v>
      </c>
      <c r="L149" s="16" t="str">
        <f>IF(Trabajos!L149="","",Trabajos!L149)</f>
        <v>Zoom</v>
      </c>
    </row>
    <row r="150" spans="2:12" x14ac:dyDescent="0.25">
      <c r="B150" s="52">
        <f>IF(Trabajos!B150="","",Trabajos!B150)</f>
        <v>45959</v>
      </c>
      <c r="C150" s="53" t="str">
        <f>IF(Trabajos!F150="","",Trabajos!F150)</f>
        <v>Espartina S.A.</v>
      </c>
      <c r="D150" s="54" t="str">
        <f>IF(Trabajos!D150="","",Trabajos!D150)</f>
        <v>Monitoreo de bb y bab</v>
      </c>
      <c r="E150" s="17">
        <f>IF(Trabajos!J150="","",Trabajos!J150)</f>
        <v>567675</v>
      </c>
      <c r="F150" s="17">
        <f>IF(Trabajos!O150="","",Trabajos!O150)</f>
        <v>131840.80000000002</v>
      </c>
      <c r="G150" s="181"/>
      <c r="H150" s="17">
        <f>IF(Trabajos!H150&lt;&gt;"",E150-E150*G150,"")</f>
        <v>567675</v>
      </c>
      <c r="I150" s="17">
        <f>IF(Trabajos!H150&lt;&gt;"",F150-F150*G150,"")</f>
        <v>131840.80000000002</v>
      </c>
      <c r="J150" s="16">
        <f>IF(Trabajos!H150&lt;&gt;"",H150*0.55,"")</f>
        <v>312221.25</v>
      </c>
      <c r="K150" s="16">
        <f>IF(Trabajos!H150&lt;&gt;"",H150*0.45,"")</f>
        <v>255453.75</v>
      </c>
      <c r="L150" s="16" t="str">
        <f>IF(Trabajos!L150="","",Trabajos!L150)</f>
        <v>Paco</v>
      </c>
    </row>
    <row r="151" spans="2:12" x14ac:dyDescent="0.25">
      <c r="B151" s="52">
        <f>IF(Trabajos!B151="","",Trabajos!B151)</f>
        <v>45959</v>
      </c>
      <c r="C151" s="53" t="str">
        <f>IF(Trabajos!F151="","",Trabajos!F151)</f>
        <v>Espartina S.A.</v>
      </c>
      <c r="D151" s="54" t="str">
        <f>IF(Trabajos!D151="","",Trabajos!D151)</f>
        <v>Aplicación de cebos</v>
      </c>
      <c r="E151" s="17">
        <f>IF(Trabajos!J151="","",Trabajos!J151)</f>
        <v>797500</v>
      </c>
      <c r="F151" s="17">
        <f>IF(Trabajos!O151="","",Trabajos!O151)</f>
        <v>117896.1</v>
      </c>
      <c r="G151" s="181"/>
      <c r="H151" s="17">
        <f>IF(Trabajos!H151&lt;&gt;"",E151-E151*G151,"")</f>
        <v>797500</v>
      </c>
      <c r="I151" s="17">
        <f>IF(Trabajos!H151&lt;&gt;"",F151-F151*G151,"")</f>
        <v>117896.1</v>
      </c>
      <c r="J151" s="16">
        <f>IF(Trabajos!H151&lt;&gt;"",H151*0.55,"")</f>
        <v>438625.00000000006</v>
      </c>
      <c r="K151" s="16">
        <f>IF(Trabajos!H151&lt;&gt;"",H151*0.45,"")</f>
        <v>358875</v>
      </c>
      <c r="L151" s="16" t="str">
        <f>IF(Trabajos!L151="","",Trabajos!L151)</f>
        <v>Paco</v>
      </c>
    </row>
    <row r="152" spans="2:12" x14ac:dyDescent="0.25">
      <c r="B152" s="52">
        <f>IF(Trabajos!B152="","",Trabajos!B152)</f>
        <v>45959</v>
      </c>
      <c r="C152" s="53" t="str">
        <f>IF(Trabajos!F152="","",Trabajos!F152)</f>
        <v xml:space="preserve">EDM </v>
      </c>
      <c r="D152" s="54" t="str">
        <f>IF(Trabajos!D152="","",Trabajos!D152)</f>
        <v>Aplicación de cebos</v>
      </c>
      <c r="E152" s="17">
        <f>IF(Trabajos!J152="","",Trabajos!J152)</f>
        <v>29000</v>
      </c>
      <c r="F152" s="17">
        <f>IF(Trabajos!O152="","",Trabajos!O152)</f>
        <v>6500</v>
      </c>
      <c r="G152" s="181"/>
      <c r="H152" s="17">
        <f>IF(Trabajos!H152&lt;&gt;"",E152-E152*G152,"")</f>
        <v>29000</v>
      </c>
      <c r="I152" s="17">
        <f>IF(Trabajos!H152&lt;&gt;"",F152-F152*G152,"")</f>
        <v>6500</v>
      </c>
      <c r="J152" s="16">
        <f>IF(Trabajos!H152&lt;&gt;"",H152*0.55,"")</f>
        <v>15950.000000000002</v>
      </c>
      <c r="K152" s="16">
        <f>IF(Trabajos!H152&lt;&gt;"",H152*0.45,"")</f>
        <v>13050</v>
      </c>
      <c r="L152" s="16" t="str">
        <f>IF(Trabajos!L152="","",Trabajos!L152)</f>
        <v>Tomas</v>
      </c>
    </row>
    <row r="153" spans="2:12" x14ac:dyDescent="0.25">
      <c r="B153" s="52">
        <f>IF(Trabajos!B153="","",Trabajos!B153)</f>
        <v>45959</v>
      </c>
      <c r="C153" s="53" t="str">
        <f>IF(Trabajos!F153="","",Trabajos!F153)</f>
        <v>Ignacio Loscalzo</v>
      </c>
      <c r="D153" s="54" t="str">
        <f>IF(Trabajos!D153="","",Trabajos!D153)</f>
        <v>Aplicación de cebos</v>
      </c>
      <c r="E153" s="17">
        <f>IF(Trabajos!J153="","",Trabajos!J153)</f>
        <v>242725</v>
      </c>
      <c r="F153" s="17">
        <f>IF(Trabajos!O153="","",Trabajos!O153)</f>
        <v>0</v>
      </c>
      <c r="G153" s="181"/>
      <c r="H153" s="17">
        <f>IF(Trabajos!H153&lt;&gt;"",E153-E153*G153,"")</f>
        <v>242725</v>
      </c>
      <c r="I153" s="17">
        <f>IF(Trabajos!H153&lt;&gt;"",F153-F153*G153,"")</f>
        <v>0</v>
      </c>
      <c r="J153" s="16">
        <f>IF(Trabajos!H153&lt;&gt;"",H153*0.55,"")</f>
        <v>133498.75</v>
      </c>
      <c r="K153" s="16">
        <f>IF(Trabajos!H153&lt;&gt;"",H153*0.45,"")</f>
        <v>109226.25</v>
      </c>
      <c r="L153" s="16" t="str">
        <f>IF(Trabajos!L153="","",Trabajos!L153)</f>
        <v>Tomas</v>
      </c>
    </row>
    <row r="154" spans="2:12" x14ac:dyDescent="0.25">
      <c r="B154" s="52">
        <f>IF(Trabajos!B154="","",Trabajos!B154)</f>
        <v>45959</v>
      </c>
      <c r="C154" s="53" t="str">
        <f>IF(Trabajos!F154="","",Trabajos!F154)</f>
        <v>Juan Ignacio Franco</v>
      </c>
      <c r="D154" s="54" t="str">
        <f>IF(Trabajos!D154="","",Trabajos!D154)</f>
        <v>Aplicación de cebos</v>
      </c>
      <c r="E154" s="17">
        <f>IF(Trabajos!J154="","",Trabajos!J154)</f>
        <v>409165</v>
      </c>
      <c r="F154" s="17">
        <f>IF(Trabajos!O154="","",Trabajos!O154)</f>
        <v>27300</v>
      </c>
      <c r="G154" s="181"/>
      <c r="H154" s="17">
        <f>IF(Trabajos!H154&lt;&gt;"",E154-E154*G154,"")</f>
        <v>409165</v>
      </c>
      <c r="I154" s="17">
        <f>IF(Trabajos!H154&lt;&gt;"",F154-F154*G154,"")</f>
        <v>27300</v>
      </c>
      <c r="J154" s="16">
        <f>IF(Trabajos!H154&lt;&gt;"",H154*0.55,"")</f>
        <v>225040.75000000003</v>
      </c>
      <c r="K154" s="16">
        <f>IF(Trabajos!H154&lt;&gt;"",H154*0.45,"")</f>
        <v>184124.25</v>
      </c>
      <c r="L154" s="16" t="str">
        <f>IF(Trabajos!L154="","",Trabajos!L154)</f>
        <v>Tomas</v>
      </c>
    </row>
    <row r="155" spans="2:12" x14ac:dyDescent="0.25">
      <c r="B155" s="52">
        <f>IF(Trabajos!B155="","",Trabajos!B155)</f>
        <v>45959</v>
      </c>
      <c r="C155" s="53" t="str">
        <f>IF(Trabajos!F155="","",Trabajos!F155)</f>
        <v>Espartina S.A.</v>
      </c>
      <c r="D155" s="54" t="str">
        <f>IF(Trabajos!D155="","",Trabajos!D155)</f>
        <v>Monitoreo de bb y bab</v>
      </c>
      <c r="E155" s="17">
        <f>IF(Trabajos!J155="","",Trabajos!J155)</f>
        <v>362137.5</v>
      </c>
      <c r="F155" s="17">
        <f>IF(Trabajos!O155="","",Trabajos!O155)</f>
        <v>86837.45</v>
      </c>
      <c r="G155" s="181"/>
      <c r="H155" s="17">
        <f>IF(Trabajos!H155&lt;&gt;"",E155-E155*G155,"")</f>
        <v>362137.5</v>
      </c>
      <c r="I155" s="17">
        <f>IF(Trabajos!H155&lt;&gt;"",F155-F155*G155,"")</f>
        <v>86837.45</v>
      </c>
      <c r="J155" s="16">
        <f>IF(Trabajos!H155&lt;&gt;"",H155*0.55,"")</f>
        <v>199175.62500000003</v>
      </c>
      <c r="K155" s="16">
        <f>IF(Trabajos!H155&lt;&gt;"",H155*0.45,"")</f>
        <v>162961.875</v>
      </c>
      <c r="L155" s="16" t="str">
        <f>IF(Trabajos!L155="","",Trabajos!L155)</f>
        <v>Zoom</v>
      </c>
    </row>
    <row r="156" spans="2:12" x14ac:dyDescent="0.25">
      <c r="B156" s="52">
        <f>IF(Trabajos!B156="","",Trabajos!B156)</f>
        <v>45959</v>
      </c>
      <c r="C156" s="53" t="str">
        <f>IF(Trabajos!F156="","",Trabajos!F156)</f>
        <v>Espartina S.A.</v>
      </c>
      <c r="D156" s="54" t="str">
        <f>IF(Trabajos!D156="","",Trabajos!D156)</f>
        <v>Monitoreo de bb y bab</v>
      </c>
      <c r="E156" s="17">
        <f>IF(Trabajos!J156="","",Trabajos!J156)</f>
        <v>319725</v>
      </c>
      <c r="F156" s="17">
        <f>IF(Trabajos!O156="","",Trabajos!O156)</f>
        <v>86837.45</v>
      </c>
      <c r="G156" s="181"/>
      <c r="H156" s="17">
        <f>IF(Trabajos!H156&lt;&gt;"",E156-E156*G156,"")</f>
        <v>319725</v>
      </c>
      <c r="I156" s="17">
        <f>IF(Trabajos!H156&lt;&gt;"",F156-F156*G156,"")</f>
        <v>86837.45</v>
      </c>
      <c r="J156" s="16">
        <f>IF(Trabajos!H156&lt;&gt;"",H156*0.55,"")</f>
        <v>175848.75</v>
      </c>
      <c r="K156" s="16">
        <f>IF(Trabajos!H156&lt;&gt;"",H156*0.45,"")</f>
        <v>143876.25</v>
      </c>
      <c r="L156" s="16" t="str">
        <f>IF(Trabajos!L156="","",Trabajos!L156)</f>
        <v>Zoom</v>
      </c>
    </row>
    <row r="157" spans="2:12" x14ac:dyDescent="0.25">
      <c r="B157" s="52">
        <f>IF(Trabajos!B157="","",Trabajos!B157)</f>
        <v>45959</v>
      </c>
      <c r="C157" s="53" t="str">
        <f>IF(Trabajos!F157="","",Trabajos!F157)</f>
        <v>Espartina S.A.</v>
      </c>
      <c r="D157" s="54" t="str">
        <f>IF(Trabajos!D157="","",Trabajos!D157)</f>
        <v>Monitoreo de bb y bab</v>
      </c>
      <c r="E157" s="17">
        <f>IF(Trabajos!J157="","",Trabajos!J157)</f>
        <v>433912.5</v>
      </c>
      <c r="F157" s="17">
        <f>IF(Trabajos!O157="","",Trabajos!O157)</f>
        <v>164801</v>
      </c>
      <c r="G157" s="181"/>
      <c r="H157" s="17">
        <f>IF(Trabajos!H157&lt;&gt;"",E157-E157*G157,"")</f>
        <v>433912.5</v>
      </c>
      <c r="I157" s="17">
        <f>IF(Trabajos!H157&lt;&gt;"",F157-F157*G157,"")</f>
        <v>164801</v>
      </c>
      <c r="J157" s="16">
        <f>IF(Trabajos!H157&lt;&gt;"",H157*0.55,"")</f>
        <v>238651.87500000003</v>
      </c>
      <c r="K157" s="16">
        <f>IF(Trabajos!H157&lt;&gt;"",H157*0.45,"")</f>
        <v>195260.625</v>
      </c>
      <c r="L157" s="16" t="str">
        <f>IF(Trabajos!L157="","",Trabajos!L157)</f>
        <v>Zoom</v>
      </c>
    </row>
    <row r="158" spans="2:12" x14ac:dyDescent="0.25">
      <c r="B158" s="52">
        <f>IF(Trabajos!B158="","",Trabajos!B158)</f>
        <v>45959</v>
      </c>
      <c r="C158" s="53" t="str">
        <f>IF(Trabajos!F158="","",Trabajos!F158)</f>
        <v>Espartina S.A.</v>
      </c>
      <c r="D158" s="54" t="str">
        <f>IF(Trabajos!D158="","",Trabajos!D158)</f>
        <v>Aplicación de cebos</v>
      </c>
      <c r="E158" s="17">
        <f>IF(Trabajos!J158="","",Trabajos!J158)</f>
        <v>993250</v>
      </c>
      <c r="F158" s="17">
        <f>IF(Trabajos!O158="","",Trabajos!O158)</f>
        <v>164801</v>
      </c>
      <c r="G158" s="181"/>
      <c r="H158" s="17">
        <f>IF(Trabajos!H158&lt;&gt;"",E158-E158*G158,"")</f>
        <v>993250</v>
      </c>
      <c r="I158" s="17">
        <f>IF(Trabajos!H158&lt;&gt;"",F158-F158*G158,"")</f>
        <v>164801</v>
      </c>
      <c r="J158" s="16">
        <f>IF(Trabajos!H158&lt;&gt;"",H158*0.55,"")</f>
        <v>546287.5</v>
      </c>
      <c r="K158" s="16">
        <f>IF(Trabajos!H158&lt;&gt;"",H158*0.45,"")</f>
        <v>446962.5</v>
      </c>
      <c r="L158" s="16" t="str">
        <f>IF(Trabajos!L158="","",Trabajos!L158)</f>
        <v>Zoom</v>
      </c>
    </row>
    <row r="159" spans="2:12" x14ac:dyDescent="0.25">
      <c r="B159" s="52">
        <f>IF(Trabajos!B159="","",Trabajos!B159)</f>
        <v>45960</v>
      </c>
      <c r="C159" s="53" t="str">
        <f>IF(Trabajos!F159="","",Trabajos!F159)</f>
        <v>Espartina S.A.</v>
      </c>
      <c r="D159" s="54" t="str">
        <f>IF(Trabajos!D159="","",Trabajos!D159)</f>
        <v>Aplicación de cebos</v>
      </c>
      <c r="E159" s="17">
        <f>IF(Trabajos!J159="","",Trabajos!J159)</f>
        <v>819250</v>
      </c>
      <c r="F159" s="17">
        <f>IF(Trabajos!O159="","",Trabajos!O159)</f>
        <v>173674.9</v>
      </c>
      <c r="G159" s="181"/>
      <c r="H159" s="17">
        <f>IF(Trabajos!H159&lt;&gt;"",E159-E159*G159,"")</f>
        <v>819250</v>
      </c>
      <c r="I159" s="17">
        <f>IF(Trabajos!H159&lt;&gt;"",F159-F159*G159,"")</f>
        <v>173674.9</v>
      </c>
      <c r="J159" s="16">
        <f>IF(Trabajos!H159&lt;&gt;"",H159*0.55,"")</f>
        <v>450587.50000000006</v>
      </c>
      <c r="K159" s="16">
        <f>IF(Trabajos!H159&lt;&gt;"",H159*0.45,"")</f>
        <v>368662.5</v>
      </c>
      <c r="L159" s="16" t="str">
        <f>IF(Trabajos!L159="","",Trabajos!L159)</f>
        <v>Paco</v>
      </c>
    </row>
    <row r="160" spans="2:12" x14ac:dyDescent="0.25">
      <c r="B160" s="52">
        <f>IF(Trabajos!B160="","",Trabajos!B160)</f>
        <v>45960</v>
      </c>
      <c r="C160" s="53" t="str">
        <f>IF(Trabajos!F160="","",Trabajos!F160)</f>
        <v>Cía. de Tierras Sud Argentino S.A.</v>
      </c>
      <c r="D160" s="54" t="str">
        <f>IF(Trabajos!D160="","",Trabajos!D160)</f>
        <v>Aplicación de cebos</v>
      </c>
      <c r="E160" s="17">
        <f>IF(Trabajos!J160="","",Trabajos!J160)</f>
        <v>523260</v>
      </c>
      <c r="F160" s="17">
        <f>IF(Trabajos!O160="","",Trabajos!O160)</f>
        <v>32500</v>
      </c>
      <c r="G160" s="181"/>
      <c r="H160" s="17">
        <f>IF(Trabajos!H160&lt;&gt;"",E160-E160*G160,"")</f>
        <v>523260</v>
      </c>
      <c r="I160" s="17">
        <f>IF(Trabajos!H160&lt;&gt;"",F160-F160*G160,"")</f>
        <v>32500</v>
      </c>
      <c r="J160" s="16">
        <f>IF(Trabajos!H160&lt;&gt;"",H160*0.55,"")</f>
        <v>287793</v>
      </c>
      <c r="K160" s="16">
        <f>IF(Trabajos!H160&lt;&gt;"",H160*0.45,"")</f>
        <v>235467</v>
      </c>
      <c r="L160" s="16" t="str">
        <f>IF(Trabajos!L160="","",Trabajos!L160)</f>
        <v>Tomas</v>
      </c>
    </row>
    <row r="161" spans="2:14" x14ac:dyDescent="0.25">
      <c r="B161" s="52">
        <f>IF(Trabajos!B161="","",Trabajos!B161)</f>
        <v>45960</v>
      </c>
      <c r="C161" s="53" t="str">
        <f>IF(Trabajos!F161="","",Trabajos!F161)</f>
        <v>Espartina S.A.</v>
      </c>
      <c r="D161" s="54" t="str">
        <f>IF(Trabajos!D161="","",Trabajos!D161)</f>
        <v>Aplicación de cebos</v>
      </c>
      <c r="E161" s="17">
        <f>IF(Trabajos!J161="","",Trabajos!J161)</f>
        <v>661342.5</v>
      </c>
      <c r="F161" s="17">
        <f>IF(Trabajos!O161="","",Trabajos!O161)</f>
        <v>116628.40000000001</v>
      </c>
      <c r="G161" s="181"/>
      <c r="H161" s="17">
        <f>IF(Trabajos!H161&lt;&gt;"",E161-E161*G161,"")</f>
        <v>661342.5</v>
      </c>
      <c r="I161" s="17">
        <f>IF(Trabajos!H161&lt;&gt;"",F161-F161*G161,"")</f>
        <v>116628.40000000001</v>
      </c>
      <c r="J161" s="16">
        <f>IF(Trabajos!H161&lt;&gt;"",H161*0.55,"")</f>
        <v>363738.37500000006</v>
      </c>
      <c r="K161" s="16">
        <f>IF(Trabajos!H161&lt;&gt;"",H161*0.45,"")</f>
        <v>297604.125</v>
      </c>
      <c r="L161" s="16" t="str">
        <f>IF(Trabajos!L161="","",Trabajos!L161)</f>
        <v>Zoom</v>
      </c>
      <c r="N161" t="s">
        <v>4</v>
      </c>
    </row>
    <row r="162" spans="2:14" x14ac:dyDescent="0.25">
      <c r="B162" s="52">
        <f>IF(Trabajos!B162="","",Trabajos!B162)</f>
        <v>45960</v>
      </c>
      <c r="C162" s="53" t="str">
        <f>IF(Trabajos!F162="","",Trabajos!F162)</f>
        <v>La Mylucha</v>
      </c>
      <c r="D162" s="54" t="str">
        <f>IF(Trabajos!D162="","",Trabajos!D162)</f>
        <v>Aplicación de cebos</v>
      </c>
      <c r="E162" s="17">
        <f>IF(Trabajos!J162="","",Trabajos!J162)</f>
        <v>544312.5</v>
      </c>
      <c r="F162" s="17">
        <f>IF(Trabajos!O162="","",Trabajos!O162)</f>
        <v>26000</v>
      </c>
      <c r="G162" s="181"/>
      <c r="H162" s="17">
        <f>IF(Trabajos!H162&lt;&gt;"",E162-E162*G162,"")</f>
        <v>544312.5</v>
      </c>
      <c r="I162" s="17">
        <f>IF(Trabajos!H162&lt;&gt;"",F162-F162*G162,"")</f>
        <v>26000</v>
      </c>
      <c r="J162" s="16">
        <f>IF(Trabajos!H162&lt;&gt;"",H162*0.55,"")</f>
        <v>299371.875</v>
      </c>
      <c r="K162" s="16">
        <f>IF(Trabajos!H162&lt;&gt;"",H162*0.45,"")</f>
        <v>244940.625</v>
      </c>
      <c r="L162" s="16" t="str">
        <f>IF(Trabajos!L162="","",Trabajos!L162)</f>
        <v>Zoom</v>
      </c>
    </row>
    <row r="163" spans="2:14" x14ac:dyDescent="0.25">
      <c r="B163" s="52">
        <f>IF(Trabajos!B163="","",Trabajos!B163)</f>
        <v>45960</v>
      </c>
      <c r="C163" s="53" t="str">
        <f>IF(Trabajos!F163="","",Trabajos!F163)</f>
        <v>Cía. de Tierras Sud Argentino S.A.</v>
      </c>
      <c r="D163" s="54" t="str">
        <f>IF(Trabajos!D163="","",Trabajos!D163)</f>
        <v>Monitoreo de bb y bab</v>
      </c>
      <c r="E163" s="17">
        <f>IF(Trabajos!J163="","",Trabajos!J163)</f>
        <v>610470</v>
      </c>
      <c r="F163" s="17">
        <f>IF(Trabajos!O163="","",Trabajos!O163)</f>
        <v>32500</v>
      </c>
      <c r="G163" s="181"/>
      <c r="H163" s="17">
        <f>IF(Trabajos!H163&lt;&gt;"",E163-E163*G163,"")</f>
        <v>610470</v>
      </c>
      <c r="I163" s="17">
        <f>IF(Trabajos!H163&lt;&gt;"",F163-F163*G163,"")</f>
        <v>32500</v>
      </c>
      <c r="J163" s="16">
        <f>IF(Trabajos!H163&lt;&gt;"",H163*0.55,"")</f>
        <v>335758.5</v>
      </c>
      <c r="K163" s="16">
        <f>IF(Trabajos!H163&lt;&gt;"",H163*0.45,"")</f>
        <v>274711.5</v>
      </c>
      <c r="L163" s="16" t="str">
        <f>IF(Trabajos!L163="","",Trabajos!L163)</f>
        <v>Zoom</v>
      </c>
    </row>
    <row r="164" spans="2:14" x14ac:dyDescent="0.25">
      <c r="B164" s="52">
        <f>IF(Trabajos!B164="","",Trabajos!B164)</f>
        <v>45960</v>
      </c>
      <c r="C164" s="53" t="str">
        <f>IF(Trabajos!F164="","",Trabajos!F164)</f>
        <v>Baltan Agropecuaria</v>
      </c>
      <c r="D164" s="54" t="str">
        <f>IF(Trabajos!D164="","",Trabajos!D164)</f>
        <v>Monitoreo de bb y bab</v>
      </c>
      <c r="E164" s="17">
        <f>IF(Trabajos!J164="","",Trabajos!J164)</f>
        <v>141131.25</v>
      </c>
      <c r="F164" s="17">
        <f>IF(Trabajos!O164="","",Trabajos!O164)</f>
        <v>23400</v>
      </c>
      <c r="G164" s="181"/>
      <c r="H164" s="17">
        <f>IF(Trabajos!H164&lt;&gt;"",E164-E164*G164,"")</f>
        <v>141131.25</v>
      </c>
      <c r="I164" s="17">
        <f>IF(Trabajos!H164&lt;&gt;"",F164-F164*G164,"")</f>
        <v>23400</v>
      </c>
      <c r="J164" s="16">
        <f>IF(Trabajos!H164&lt;&gt;"",H164*0.55,"")</f>
        <v>77622.1875</v>
      </c>
      <c r="K164" s="16">
        <f>IF(Trabajos!H164&lt;&gt;"",H164*0.45,"")</f>
        <v>63509.0625</v>
      </c>
      <c r="L164" s="16" t="str">
        <f>IF(Trabajos!L164="","",Trabajos!L164)</f>
        <v>Zoom</v>
      </c>
    </row>
    <row r="165" spans="2:14" x14ac:dyDescent="0.25">
      <c r="B165" s="52">
        <f>IF(Trabajos!B165="","",Trabajos!B165)</f>
        <v>45960</v>
      </c>
      <c r="C165" s="53" t="str">
        <f>IF(Trabajos!F165="","",Trabajos!F165)</f>
        <v>Cofina Agro</v>
      </c>
      <c r="D165" s="54" t="str">
        <f>IF(Trabajos!D165="","",Trabajos!D165)</f>
        <v>Monitoreo de bb y bab</v>
      </c>
      <c r="E165" s="17">
        <f>IF(Trabajos!J165="","",Trabajos!J165)</f>
        <v>323181.25</v>
      </c>
      <c r="F165" s="17">
        <f>IF(Trabajos!O165="","",Trabajos!O165)</f>
        <v>71500</v>
      </c>
      <c r="G165" s="181"/>
      <c r="H165" s="17">
        <f>IF(Trabajos!H165&lt;&gt;"",E165-E165*G165,"")</f>
        <v>323181.25</v>
      </c>
      <c r="I165" s="17">
        <f>IF(Trabajos!H165&lt;&gt;"",F165-F165*G165,"")</f>
        <v>71500</v>
      </c>
      <c r="J165" s="16">
        <f>IF(Trabajos!H165&lt;&gt;"",H165*0.55,"")</f>
        <v>177749.6875</v>
      </c>
      <c r="K165" s="16">
        <f>IF(Trabajos!H165&lt;&gt;"",H165*0.45,"")</f>
        <v>145431.5625</v>
      </c>
      <c r="L165" s="16" t="str">
        <f>IF(Trabajos!L165="","",Trabajos!L165)</f>
        <v>Zoom</v>
      </c>
    </row>
    <row r="166" spans="2:14" x14ac:dyDescent="0.25">
      <c r="B166" s="52">
        <f>IF(Trabajos!B166="","",Trabajos!B166)</f>
        <v>45960</v>
      </c>
      <c r="C166" s="53" t="str">
        <f>IF(Trabajos!F166="","",Trabajos!F166)</f>
        <v>Martin Juarez</v>
      </c>
      <c r="D166" s="54" t="str">
        <f>IF(Trabajos!D166="","",Trabajos!D166)</f>
        <v>Monitoreo de bb y bab</v>
      </c>
      <c r="E166" s="17">
        <f>IF(Trabajos!J166="","",Trabajos!J166)</f>
        <v>250728.75</v>
      </c>
      <c r="F166" s="17">
        <f>IF(Trabajos!O166="","",Trabajos!O166)</f>
        <v>35100</v>
      </c>
      <c r="G166" s="181"/>
      <c r="H166" s="17">
        <f>IF(Trabajos!H166&lt;&gt;"",E166-E166*G166,"")</f>
        <v>250728.75</v>
      </c>
      <c r="I166" s="17">
        <f>IF(Trabajos!H166&lt;&gt;"",F166-F166*G166,"")</f>
        <v>35100</v>
      </c>
      <c r="J166" s="16">
        <f>IF(Trabajos!H166&lt;&gt;"",H166*0.55,"")</f>
        <v>137900.8125</v>
      </c>
      <c r="K166" s="16">
        <f>IF(Trabajos!H166&lt;&gt;"",H166*0.45,"")</f>
        <v>112827.9375</v>
      </c>
      <c r="L166" s="16" t="str">
        <f>IF(Trabajos!L166="","",Trabajos!L166)</f>
        <v>Zoom</v>
      </c>
    </row>
    <row r="167" spans="2:14" x14ac:dyDescent="0.25">
      <c r="B167" s="52">
        <f>IF(Trabajos!B167="","",Trabajos!B167)</f>
        <v>45961</v>
      </c>
      <c r="C167" s="53" t="str">
        <f>IF(Trabajos!F167="","",Trabajos!F167)</f>
        <v>Espartina S.A.</v>
      </c>
      <c r="D167" s="54" t="str">
        <f>IF(Trabajos!D167="","",Trabajos!D167)</f>
        <v>Aplicación de cebos</v>
      </c>
      <c r="E167" s="17">
        <f>IF(Trabajos!J167="","",Trabajos!J167)</f>
        <v>696000</v>
      </c>
      <c r="F167" s="17">
        <f>IF(Trabajos!O167="","",Trabajos!O167)</f>
        <v>173674.9</v>
      </c>
      <c r="G167" s="181"/>
      <c r="H167" s="17">
        <f>IF(Trabajos!H167&lt;&gt;"",E167-E167*G167,"")</f>
        <v>696000</v>
      </c>
      <c r="I167" s="17">
        <f>IF(Trabajos!H167&lt;&gt;"",F167-F167*G167,"")</f>
        <v>173674.9</v>
      </c>
      <c r="J167" s="16">
        <f>IF(Trabajos!H167&lt;&gt;"",H167*0.55,"")</f>
        <v>382800.00000000006</v>
      </c>
      <c r="K167" s="16">
        <f>IF(Trabajos!H167&lt;&gt;"",H167*0.45,"")</f>
        <v>313200</v>
      </c>
      <c r="L167" s="16" t="str">
        <f>IF(Trabajos!L167="","",Trabajos!L167)</f>
        <v>Paco</v>
      </c>
    </row>
    <row r="168" spans="2:14" x14ac:dyDescent="0.25">
      <c r="B168" s="52">
        <f>IF(Trabajos!B168="","",Trabajos!B168)</f>
        <v>45961</v>
      </c>
      <c r="C168" s="53" t="str">
        <f>IF(Trabajos!F168="","",Trabajos!F168)</f>
        <v>Cía. de Tierras Sud Argentino S.A.</v>
      </c>
      <c r="D168" s="54" t="str">
        <f>IF(Trabajos!D168="","",Trabajos!D168)</f>
        <v>Aplicación de cebos</v>
      </c>
      <c r="E168" s="17">
        <f>IF(Trabajos!J168="","",Trabajos!J168)</f>
        <v>1308150</v>
      </c>
      <c r="F168" s="17">
        <f>IF(Trabajos!O168="","",Trabajos!O168)</f>
        <v>32500</v>
      </c>
      <c r="G168" s="181"/>
      <c r="H168" s="17">
        <f>IF(Trabajos!H168&lt;&gt;"",E168-E168*G168,"")</f>
        <v>1308150</v>
      </c>
      <c r="I168" s="17">
        <f>IF(Trabajos!H168&lt;&gt;"",F168-F168*G168,"")</f>
        <v>32500</v>
      </c>
      <c r="J168" s="16">
        <f>IF(Trabajos!H168&lt;&gt;"",H168*0.55,"")</f>
        <v>719482.5</v>
      </c>
      <c r="K168" s="16">
        <f>IF(Trabajos!H168&lt;&gt;"",H168*0.45,"")</f>
        <v>588667.5</v>
      </c>
      <c r="L168" s="16" t="str">
        <f>IF(Trabajos!L168="","",Trabajos!L168)</f>
        <v>Tomas</v>
      </c>
    </row>
    <row r="169" spans="2:14" x14ac:dyDescent="0.25">
      <c r="B169" s="52">
        <f>IF(Trabajos!B169="","",Trabajos!B169)</f>
        <v>45961</v>
      </c>
      <c r="C169" s="53" t="str">
        <f>IF(Trabajos!F169="","",Trabajos!F169)</f>
        <v>La Mezquita-La Mostaza</v>
      </c>
      <c r="D169" s="54" t="str">
        <f>IF(Trabajos!D169="","",Trabajos!D169)</f>
        <v>Monitoreo de bb y bab</v>
      </c>
      <c r="E169" s="17">
        <f>IF(Trabajos!J169="","",Trabajos!J169)</f>
        <v>635031.25</v>
      </c>
      <c r="F169" s="17">
        <f>IF(Trabajos!O169="","",Trabajos!O169)</f>
        <v>71500</v>
      </c>
      <c r="G169" s="181"/>
      <c r="H169" s="17">
        <f>IF(Trabajos!H169&lt;&gt;"",E169-E169*G169,"")</f>
        <v>635031.25</v>
      </c>
      <c r="I169" s="17">
        <f>IF(Trabajos!H169&lt;&gt;"",F169-F169*G169,"")</f>
        <v>71500</v>
      </c>
      <c r="J169" s="16">
        <f>IF(Trabajos!H169&lt;&gt;"",H169*0.55,"")</f>
        <v>349267.1875</v>
      </c>
      <c r="K169" s="16">
        <f>IF(Trabajos!H169&lt;&gt;"",H169*0.45,"")</f>
        <v>285764.0625</v>
      </c>
      <c r="L169" s="16" t="str">
        <f>IF(Trabajos!L169="","",Trabajos!L169)</f>
        <v>Zoom</v>
      </c>
    </row>
    <row r="170" spans="2:14" x14ac:dyDescent="0.25">
      <c r="B170" s="52">
        <f>IF(Trabajos!B170="","",Trabajos!B170)</f>
        <v>45961</v>
      </c>
      <c r="C170" s="53" t="str">
        <f>IF(Trabajos!F170="","",Trabajos!F170)</f>
        <v>Cía. de Tierras Sud Argentino S.A.</v>
      </c>
      <c r="D170" s="54" t="str">
        <f>IF(Trabajos!D170="","",Trabajos!D170)</f>
        <v>Monitoreo de bb y bab</v>
      </c>
      <c r="E170" s="17">
        <f>IF(Trabajos!J170="","",Trabajos!J170)</f>
        <v>581400</v>
      </c>
      <c r="F170" s="17">
        <f>IF(Trabajos!O170="","",Trabajos!O170)</f>
        <v>32500</v>
      </c>
      <c r="G170" s="181"/>
      <c r="H170" s="17">
        <f>IF(Trabajos!H170&lt;&gt;"",E170-E170*G170,"")</f>
        <v>581400</v>
      </c>
      <c r="I170" s="17">
        <f>IF(Trabajos!H170&lt;&gt;"",F170-F170*G170,"")</f>
        <v>32500</v>
      </c>
      <c r="J170" s="16">
        <f>IF(Trabajos!H170&lt;&gt;"",H170*0.55,"")</f>
        <v>319770</v>
      </c>
      <c r="K170" s="16">
        <f>IF(Trabajos!H170&lt;&gt;"",H170*0.45,"")</f>
        <v>261630</v>
      </c>
      <c r="L170" s="16" t="str">
        <f>IF(Trabajos!L170="","",Trabajos!L170)</f>
        <v>Zoom</v>
      </c>
    </row>
    <row r="171" spans="2:14" x14ac:dyDescent="0.25">
      <c r="B171" s="52">
        <f>IF(Trabajos!B171="","",Trabajos!B171)</f>
        <v>45962</v>
      </c>
      <c r="C171" s="53" t="str">
        <f>IF(Trabajos!F171="","",Trabajos!F171)</f>
        <v>Espartina S.A.</v>
      </c>
      <c r="D171" s="54" t="str">
        <f>IF(Trabajos!D171="","",Trabajos!D171)</f>
        <v>Aplicación de cebos</v>
      </c>
      <c r="E171" s="17">
        <f>IF(Trabajos!J171="","",Trabajos!J171)</f>
        <v>543750</v>
      </c>
      <c r="F171" s="17">
        <f>IF(Trabajos!O171="","",Trabajos!O171)</f>
        <v>70991.199999999997</v>
      </c>
      <c r="G171" s="181"/>
      <c r="H171" s="17">
        <f>IF(Trabajos!H171&lt;&gt;"",E171-E171*G171,"")</f>
        <v>543750</v>
      </c>
      <c r="I171" s="17">
        <f>IF(Trabajos!H171&lt;&gt;"",F171-F171*G171,"")</f>
        <v>70991.199999999997</v>
      </c>
      <c r="J171" s="16">
        <f>IF(Trabajos!H171&lt;&gt;"",H171*0.55,"")</f>
        <v>299062.5</v>
      </c>
      <c r="K171" s="16">
        <f>IF(Trabajos!H171&lt;&gt;"",H171*0.45,"")</f>
        <v>244687.5</v>
      </c>
      <c r="L171" s="16" t="str">
        <f>IF(Trabajos!L171="","",Trabajos!L171)</f>
        <v>Paco</v>
      </c>
    </row>
    <row r="172" spans="2:14" x14ac:dyDescent="0.25">
      <c r="B172" s="52">
        <f>IF(Trabajos!B172="","",Trabajos!B172)</f>
        <v>45962</v>
      </c>
      <c r="C172" s="53" t="str">
        <f>IF(Trabajos!F172="","",Trabajos!F172)</f>
        <v>Espartina S.A.</v>
      </c>
      <c r="D172" s="54" t="str">
        <f>IF(Trabajos!D172="","",Trabajos!D172)</f>
        <v>Aplicación de cebos</v>
      </c>
      <c r="E172" s="17">
        <f>IF(Trabajos!J172="","",Trabajos!J172)</f>
        <v>217500</v>
      </c>
      <c r="F172" s="17">
        <f>IF(Trabajos!O172="","",Trabajos!O172)</f>
        <v>70991.199999999997</v>
      </c>
      <c r="G172" s="181"/>
      <c r="H172" s="17">
        <f>IF(Trabajos!H172&lt;&gt;"",E172-E172*G172,"")</f>
        <v>217500</v>
      </c>
      <c r="I172" s="17">
        <f>IF(Trabajos!H172&lt;&gt;"",F172-F172*G172,"")</f>
        <v>70991.199999999997</v>
      </c>
      <c r="J172" s="16">
        <f>IF(Trabajos!H172&lt;&gt;"",H172*0.55,"")</f>
        <v>119625.00000000001</v>
      </c>
      <c r="K172" s="16">
        <f>IF(Trabajos!H172&lt;&gt;"",H172*0.45,"")</f>
        <v>97875</v>
      </c>
      <c r="L172" s="16" t="str">
        <f>IF(Trabajos!L172="","",Trabajos!L172)</f>
        <v>Paco</v>
      </c>
    </row>
    <row r="173" spans="2:14" x14ac:dyDescent="0.25">
      <c r="B173" s="52">
        <f>IF(Trabajos!B173="","",Trabajos!B173)</f>
        <v>45962</v>
      </c>
      <c r="C173" s="53" t="str">
        <f>IF(Trabajos!F173="","",Trabajos!F173)</f>
        <v>Espartina S.A.</v>
      </c>
      <c r="D173" s="54" t="str">
        <f>IF(Trabajos!D173="","",Trabajos!D173)</f>
        <v>Aplicación de cebos</v>
      </c>
      <c r="E173" s="17">
        <f>IF(Trabajos!J173="","",Trabajos!J173)</f>
        <v>870000</v>
      </c>
      <c r="F173" s="17">
        <f>IF(Trabajos!O173="","",Trabajos!O173)</f>
        <v>70991.199999999997</v>
      </c>
      <c r="G173" s="181"/>
      <c r="H173" s="17">
        <f>IF(Trabajos!H173&lt;&gt;"",E173-E173*G173,"")</f>
        <v>870000</v>
      </c>
      <c r="I173" s="17">
        <f>IF(Trabajos!H173&lt;&gt;"",F173-F173*G173,"")</f>
        <v>70991.199999999997</v>
      </c>
      <c r="J173" s="16">
        <f>IF(Trabajos!H173&lt;&gt;"",H173*0.55,"")</f>
        <v>478500.00000000006</v>
      </c>
      <c r="K173" s="16">
        <f>IF(Trabajos!H173&lt;&gt;"",H173*0.45,"")</f>
        <v>391500</v>
      </c>
      <c r="L173" s="16" t="str">
        <f>IF(Trabajos!L173="","",Trabajos!L173)</f>
        <v>Paco</v>
      </c>
    </row>
    <row r="174" spans="2:14" x14ac:dyDescent="0.25">
      <c r="B174" s="52">
        <f>IF(Trabajos!B174="","",Trabajos!B174)</f>
        <v>45962</v>
      </c>
      <c r="C174" s="53" t="str">
        <f>IF(Trabajos!F174="","",Trabajos!F174)</f>
        <v>Ignacio Loscalzo</v>
      </c>
      <c r="D174" s="54" t="str">
        <f>IF(Trabajos!D174="","",Trabajos!D174)</f>
        <v>Aplicación de cebos</v>
      </c>
      <c r="E174" s="17">
        <f>IF(Trabajos!J174="","",Trabajos!J174)</f>
        <v>492385</v>
      </c>
      <c r="F174" s="17">
        <f>IF(Trabajos!O174="","",Trabajos!O174)</f>
        <v>16900</v>
      </c>
      <c r="G174" s="181"/>
      <c r="H174" s="17">
        <f>IF(Trabajos!H174&lt;&gt;"",E174-E174*G174,"")</f>
        <v>492385</v>
      </c>
      <c r="I174" s="17">
        <f>IF(Trabajos!H174&lt;&gt;"",F174-F174*G174,"")</f>
        <v>16900</v>
      </c>
      <c r="J174" s="16">
        <f>IF(Trabajos!H174&lt;&gt;"",H174*0.55,"")</f>
        <v>270811.75</v>
      </c>
      <c r="K174" s="16">
        <f>IF(Trabajos!H174&lt;&gt;"",H174*0.45,"")</f>
        <v>221573.25</v>
      </c>
      <c r="L174" s="16" t="str">
        <f>IF(Trabajos!L174="","",Trabajos!L174)</f>
        <v>Tomas</v>
      </c>
    </row>
    <row r="175" spans="2:14" x14ac:dyDescent="0.25">
      <c r="B175" s="52">
        <f>IF(Trabajos!B175="","",Trabajos!B175)</f>
        <v>45962</v>
      </c>
      <c r="C175" s="53" t="str">
        <f>IF(Trabajos!F175="","",Trabajos!F175)</f>
        <v>Espartina S.A.</v>
      </c>
      <c r="D175" s="54" t="str">
        <f>IF(Trabajos!D175="","",Trabajos!D175)</f>
        <v>Aplicación de cebos</v>
      </c>
      <c r="E175" s="17">
        <f>IF(Trabajos!J175="","",Trabajos!J175)</f>
        <v>145350</v>
      </c>
      <c r="F175" s="17">
        <f>IF(Trabajos!O175="","",Trabajos!O175)</f>
        <v>103951.40000000001</v>
      </c>
      <c r="G175" s="181"/>
      <c r="H175" s="17">
        <f>IF(Trabajos!H175&lt;&gt;"",E175-E175*G175,"")</f>
        <v>145350</v>
      </c>
      <c r="I175" s="17">
        <f>IF(Trabajos!H175&lt;&gt;"",F175-F175*G175,"")</f>
        <v>103951.40000000001</v>
      </c>
      <c r="J175" s="16">
        <f>IF(Trabajos!H175&lt;&gt;"",H175*0.55,"")</f>
        <v>79942.5</v>
      </c>
      <c r="K175" s="16">
        <f>IF(Trabajos!H175&lt;&gt;"",H175*0.45,"")</f>
        <v>65407.5</v>
      </c>
      <c r="L175" s="16" t="str">
        <f>IF(Trabajos!L175="","",Trabajos!L175)</f>
        <v>Tomas</v>
      </c>
    </row>
    <row r="176" spans="2:14" x14ac:dyDescent="0.25">
      <c r="B176" s="52">
        <f>IF(Trabajos!B176="","",Trabajos!B176)</f>
        <v>45962</v>
      </c>
      <c r="C176" s="53" t="str">
        <f>IF(Trabajos!F176="","",Trabajos!F176)</f>
        <v>Espartina S.A.</v>
      </c>
      <c r="D176" s="54" t="str">
        <f>IF(Trabajos!D176="","",Trabajos!D176)</f>
        <v>Monitoreo de bb y bab</v>
      </c>
      <c r="E176" s="17">
        <f>IF(Trabajos!J176="","",Trabajos!J176)</f>
        <v>815625</v>
      </c>
      <c r="F176" s="17">
        <f>IF(Trabajos!O176="","",Trabajos!O176)</f>
        <v>207902.80000000002</v>
      </c>
      <c r="G176" s="181"/>
      <c r="H176" s="17">
        <f>IF(Trabajos!H176&lt;&gt;"",E176-E176*G176,"")</f>
        <v>815625</v>
      </c>
      <c r="I176" s="17">
        <f>IF(Trabajos!H176&lt;&gt;"",F176-F176*G176,"")</f>
        <v>207902.80000000002</v>
      </c>
      <c r="J176" s="16">
        <f>IF(Trabajos!H176&lt;&gt;"",H176*0.55,"")</f>
        <v>448593.75000000006</v>
      </c>
      <c r="K176" s="16">
        <f>IF(Trabajos!H176&lt;&gt;"",H176*0.45,"")</f>
        <v>367031.25</v>
      </c>
      <c r="L176" s="16" t="str">
        <f>IF(Trabajos!L176="","",Trabajos!L176)</f>
        <v>Zoom</v>
      </c>
    </row>
    <row r="177" spans="2:12" x14ac:dyDescent="0.25">
      <c r="B177" s="52">
        <f>IF(Trabajos!B177="","",Trabajos!B177)</f>
        <v>45963</v>
      </c>
      <c r="C177" s="53" t="str">
        <f>IF(Trabajos!F177="","",Trabajos!F177)</f>
        <v>Espartina S.A.</v>
      </c>
      <c r="D177" s="54" t="str">
        <f>IF(Trabajos!D177="","",Trabajos!D177)</f>
        <v>Aplicación de cebos</v>
      </c>
      <c r="E177" s="17">
        <f>IF(Trabajos!J177="","",Trabajos!J177)</f>
        <v>1725500</v>
      </c>
      <c r="F177" s="17">
        <f>IF(Trabajos!O177="","",Trabajos!O177)</f>
        <v>152124</v>
      </c>
      <c r="G177" s="181"/>
      <c r="H177" s="17">
        <f>IF(Trabajos!H177&lt;&gt;"",E177-E177*G177,"")</f>
        <v>1725500</v>
      </c>
      <c r="I177" s="17">
        <f>IF(Trabajos!H177&lt;&gt;"",F177-F177*G177,"")</f>
        <v>152124</v>
      </c>
      <c r="J177" s="16">
        <f>IF(Trabajos!H177&lt;&gt;"",H177*0.55,"")</f>
        <v>949025.00000000012</v>
      </c>
      <c r="K177" s="16">
        <f>IF(Trabajos!H177&lt;&gt;"",H177*0.45,"")</f>
        <v>776475</v>
      </c>
      <c r="L177" s="16" t="str">
        <f>IF(Trabajos!L177="","",Trabajos!L177)</f>
        <v>Paco</v>
      </c>
    </row>
    <row r="178" spans="2:12" x14ac:dyDescent="0.25">
      <c r="B178" s="52">
        <f>IF(Trabajos!B178="","",Trabajos!B178)</f>
        <v>45963</v>
      </c>
      <c r="C178" s="53" t="str">
        <f>IF(Trabajos!F178="","",Trabajos!F178)</f>
        <v>Baltan Agropecuaria</v>
      </c>
      <c r="D178" s="54" t="str">
        <f>IF(Trabajos!D178="","",Trabajos!D178)</f>
        <v>Aplicación de cebos</v>
      </c>
      <c r="E178" s="17">
        <f>IF(Trabajos!J178="","",Trabajos!J178)</f>
        <v>282262.5</v>
      </c>
      <c r="F178" s="17">
        <f>IF(Trabajos!O178="","",Trabajos!O178)</f>
        <v>23400</v>
      </c>
      <c r="G178" s="181"/>
      <c r="H178" s="17">
        <f>IF(Trabajos!H178&lt;&gt;"",E178-E178*G178,"")</f>
        <v>282262.5</v>
      </c>
      <c r="I178" s="17">
        <f>IF(Trabajos!H178&lt;&gt;"",F178-F178*G178,"")</f>
        <v>23400</v>
      </c>
      <c r="J178" s="16">
        <f>IF(Trabajos!H178&lt;&gt;"",H178*0.55,"")</f>
        <v>155244.375</v>
      </c>
      <c r="K178" s="16">
        <f>IF(Trabajos!H178&lt;&gt;"",H178*0.45,"")</f>
        <v>127018.125</v>
      </c>
      <c r="L178" s="16" t="str">
        <f>IF(Trabajos!L178="","",Trabajos!L178)</f>
        <v>Tomas</v>
      </c>
    </row>
    <row r="179" spans="2:12" x14ac:dyDescent="0.25">
      <c r="B179" s="52">
        <f>IF(Trabajos!B179="","",Trabajos!B179)</f>
        <v>45963</v>
      </c>
      <c r="C179" s="53" t="str">
        <f>IF(Trabajos!F179="","",Trabajos!F179)</f>
        <v>Cía. de Tierras Sud Argentino S.A.</v>
      </c>
      <c r="D179" s="54" t="str">
        <f>IF(Trabajos!D179="","",Trabajos!D179)</f>
        <v>Aplicación de cebos</v>
      </c>
      <c r="E179" s="17">
        <f>IF(Trabajos!J179="","",Trabajos!J179)</f>
        <v>588667.5</v>
      </c>
      <c r="F179" s="17">
        <f>IF(Trabajos!O179="","",Trabajos!O179)</f>
        <v>32500</v>
      </c>
      <c r="G179" s="181"/>
      <c r="H179" s="17">
        <f>IF(Trabajos!H179&lt;&gt;"",E179-E179*G179,"")</f>
        <v>588667.5</v>
      </c>
      <c r="I179" s="17">
        <f>IF(Trabajos!H179&lt;&gt;"",F179-F179*G179,"")</f>
        <v>32500</v>
      </c>
      <c r="J179" s="16">
        <f>IF(Trabajos!H179&lt;&gt;"",H179*0.55,"")</f>
        <v>323767.125</v>
      </c>
      <c r="K179" s="16">
        <f>IF(Trabajos!H179&lt;&gt;"",H179*0.45,"")</f>
        <v>264900.375</v>
      </c>
      <c r="L179" s="16" t="str">
        <f>IF(Trabajos!L179="","",Trabajos!L179)</f>
        <v>Tomas</v>
      </c>
    </row>
    <row r="180" spans="2:12" x14ac:dyDescent="0.25">
      <c r="B180" s="52">
        <f>IF(Trabajos!B180="","",Trabajos!B180)</f>
        <v>45963</v>
      </c>
      <c r="C180" s="53" t="str">
        <f>IF(Trabajos!F180="","",Trabajos!F180)</f>
        <v>Espartina S.A.</v>
      </c>
      <c r="D180" s="54" t="str">
        <f>IF(Trabajos!D180="","",Trabajos!D180)</f>
        <v>Aplicación de cebos</v>
      </c>
      <c r="E180" s="17">
        <f>IF(Trabajos!J180="","",Trabajos!J180)</f>
        <v>725000</v>
      </c>
      <c r="F180" s="17">
        <f>IF(Trabajos!O180="","",Trabajos!O180)</f>
        <v>152124</v>
      </c>
      <c r="G180" s="181"/>
      <c r="H180" s="17">
        <f>IF(Trabajos!H180&lt;&gt;"",E180-E180*G180,"")</f>
        <v>725000</v>
      </c>
      <c r="I180" s="17">
        <f>IF(Trabajos!H180&lt;&gt;"",F180-F180*G180,"")</f>
        <v>152124</v>
      </c>
      <c r="J180" s="16">
        <f>IF(Trabajos!H180&lt;&gt;"",H180*0.55,"")</f>
        <v>398750.00000000006</v>
      </c>
      <c r="K180" s="16">
        <f>IF(Trabajos!H180&lt;&gt;"",H180*0.45,"")</f>
        <v>326250</v>
      </c>
      <c r="L180" s="16" t="str">
        <f>IF(Trabajos!L180="","",Trabajos!L180)</f>
        <v>Zoom</v>
      </c>
    </row>
    <row r="181" spans="2:12" x14ac:dyDescent="0.25">
      <c r="B181" s="52">
        <f>IF(Trabajos!B181="","",Trabajos!B181)</f>
        <v>45964</v>
      </c>
      <c r="C181" s="53" t="str">
        <f>IF(Trabajos!F181="","",Trabajos!F181)</f>
        <v>Espartina S.A.</v>
      </c>
      <c r="D181" s="54" t="str">
        <f>IF(Trabajos!D181="","",Trabajos!D181)</f>
        <v>Aplicación de cebos</v>
      </c>
      <c r="E181" s="17">
        <f>IF(Trabajos!J181="","",Trabajos!J181)</f>
        <v>775750</v>
      </c>
      <c r="F181" s="17">
        <f>IF(Trabajos!O181="","",Trabajos!O181)</f>
        <v>117896.1</v>
      </c>
      <c r="G181" s="181"/>
      <c r="H181" s="17">
        <f>IF(Trabajos!H181&lt;&gt;"",E181-E181*G181,"")</f>
        <v>775750</v>
      </c>
      <c r="I181" s="17">
        <f>IF(Trabajos!H181&lt;&gt;"",F181-F181*G181,"")</f>
        <v>117896.1</v>
      </c>
      <c r="J181" s="16">
        <f>IF(Trabajos!H181&lt;&gt;"",H181*0.55,"")</f>
        <v>426662.50000000006</v>
      </c>
      <c r="K181" s="16">
        <f>IF(Trabajos!H181&lt;&gt;"",H181*0.45,"")</f>
        <v>349087.5</v>
      </c>
      <c r="L181" s="16" t="str">
        <f>IF(Trabajos!L181="","",Trabajos!L181)</f>
        <v>Paco</v>
      </c>
    </row>
    <row r="182" spans="2:12" x14ac:dyDescent="0.25">
      <c r="B182" s="52">
        <f>IF(Trabajos!B182="","",Trabajos!B182)</f>
        <v>45964</v>
      </c>
      <c r="C182" s="53" t="str">
        <f>IF(Trabajos!F182="","",Trabajos!F182)</f>
        <v>Cía. de Tierras Sud Argentino S.A.</v>
      </c>
      <c r="D182" s="54" t="str">
        <f>IF(Trabajos!D182="","",Trabajos!D182)</f>
        <v>Monitoreo de bb y bab</v>
      </c>
      <c r="E182" s="17">
        <f>IF(Trabajos!J182="","",Trabajos!J182)</f>
        <v>1115561.25</v>
      </c>
      <c r="F182" s="17">
        <f>IF(Trabajos!O182="","",Trabajos!O182)</f>
        <v>32500</v>
      </c>
      <c r="G182" s="181"/>
      <c r="H182" s="17">
        <f>IF(Trabajos!H182&lt;&gt;"",E182-E182*G182,"")</f>
        <v>1115561.25</v>
      </c>
      <c r="I182" s="17">
        <f>IF(Trabajos!H182&lt;&gt;"",F182-F182*G182,"")</f>
        <v>32500</v>
      </c>
      <c r="J182" s="16">
        <f>IF(Trabajos!H182&lt;&gt;"",H182*0.55,"")</f>
        <v>613558.6875</v>
      </c>
      <c r="K182" s="16">
        <f>IF(Trabajos!H182&lt;&gt;"",H182*0.45,"")</f>
        <v>502002.5625</v>
      </c>
      <c r="L182" s="16" t="str">
        <f>IF(Trabajos!L182="","",Trabajos!L182)</f>
        <v>Zoom</v>
      </c>
    </row>
    <row r="183" spans="2:12" x14ac:dyDescent="0.25">
      <c r="B183" s="52">
        <f>IF(Trabajos!B183="","",Trabajos!B183)</f>
        <v>45964</v>
      </c>
      <c r="C183" s="53" t="str">
        <f>IF(Trabajos!F183="","",Trabajos!F183)</f>
        <v>Espartina S.A.</v>
      </c>
      <c r="D183" s="54" t="str">
        <f>IF(Trabajos!D183="","",Trabajos!D183)</f>
        <v>Monitoreo de bb y bab</v>
      </c>
      <c r="E183" s="17">
        <f>IF(Trabajos!J183="","",Trabajos!J183)</f>
        <v>936337.5</v>
      </c>
      <c r="F183" s="17">
        <f>IF(Trabajos!O183="","",Trabajos!O183)</f>
        <v>171139.5</v>
      </c>
      <c r="G183" s="181"/>
      <c r="H183" s="17">
        <f>IF(Trabajos!H183&lt;&gt;"",E183-E183*G183,"")</f>
        <v>936337.5</v>
      </c>
      <c r="I183" s="17">
        <f>IF(Trabajos!H183&lt;&gt;"",F183-F183*G183,"")</f>
        <v>171139.5</v>
      </c>
      <c r="J183" s="16">
        <f>IF(Trabajos!H183&lt;&gt;"",H183*0.55,"")</f>
        <v>514985.62500000006</v>
      </c>
      <c r="K183" s="16">
        <f>IF(Trabajos!H183&lt;&gt;"",H183*0.45,"")</f>
        <v>421351.875</v>
      </c>
      <c r="L183" s="16" t="str">
        <f>IF(Trabajos!L183="","",Trabajos!L183)</f>
        <v>Zoom</v>
      </c>
    </row>
    <row r="184" spans="2:12" x14ac:dyDescent="0.25">
      <c r="B184" s="52">
        <f>IF(Trabajos!B184="","",Trabajos!B184)</f>
        <v>45966</v>
      </c>
      <c r="C184" s="53" t="str">
        <f>IF(Trabajos!F184="","",Trabajos!F184)</f>
        <v>Espartina S.A.</v>
      </c>
      <c r="D184" s="54" t="str">
        <f>IF(Trabajos!D184="","",Trabajos!D184)</f>
        <v>Aplicación de cebos</v>
      </c>
      <c r="E184" s="17">
        <f>IF(Trabajos!J184="","",Trabajos!J184)</f>
        <v>857565</v>
      </c>
      <c r="F184" s="17">
        <f>IF(Trabajos!O184="","",Trabajos!O184)</f>
        <v>111557.6</v>
      </c>
      <c r="G184" s="181"/>
      <c r="H184" s="17">
        <f>IF(Trabajos!H184&lt;&gt;"",E184-E184*G184,"")</f>
        <v>857565</v>
      </c>
      <c r="I184" s="17">
        <f>IF(Trabajos!H184&lt;&gt;"",F184-F184*G184,"")</f>
        <v>111557.6</v>
      </c>
      <c r="J184" s="16">
        <f>IF(Trabajos!H184&lt;&gt;"",H184*0.55,"")</f>
        <v>471660.75000000006</v>
      </c>
      <c r="K184" s="16">
        <f>IF(Trabajos!H184&lt;&gt;"",H184*0.45,"")</f>
        <v>385904.25</v>
      </c>
      <c r="L184" s="16" t="str">
        <f>IF(Trabajos!L184="","",Trabajos!L184)</f>
        <v>Zoom</v>
      </c>
    </row>
    <row r="185" spans="2:12" x14ac:dyDescent="0.25">
      <c r="B185" s="52">
        <f>IF(Trabajos!B185="","",Trabajos!B185)</f>
        <v>45966</v>
      </c>
      <c r="C185" s="53" t="str">
        <f>IF(Trabajos!F185="","",Trabajos!F185)</f>
        <v>Cía. de Tierras Sud Argentino S.A.</v>
      </c>
      <c r="D185" s="54" t="str">
        <f>IF(Trabajos!D185="","",Trabajos!D185)</f>
        <v>Monitoreo de bb y bab</v>
      </c>
      <c r="E185" s="17">
        <f>IF(Trabajos!J185="","",Trabajos!J185)</f>
        <v>1217306.25</v>
      </c>
      <c r="F185" s="17">
        <f>IF(Trabajos!O185="","",Trabajos!O185)</f>
        <v>32500</v>
      </c>
      <c r="G185" s="181"/>
      <c r="H185" s="17">
        <f>IF(Trabajos!H185&lt;&gt;"",E185-E185*G185,"")</f>
        <v>1217306.25</v>
      </c>
      <c r="I185" s="17">
        <f>IF(Trabajos!H185&lt;&gt;"",F185-F185*G185,"")</f>
        <v>32500</v>
      </c>
      <c r="J185" s="16">
        <f>IF(Trabajos!H185&lt;&gt;"",H185*0.55,"")</f>
        <v>669518.4375</v>
      </c>
      <c r="K185" s="16">
        <f>IF(Trabajos!H185&lt;&gt;"",H185*0.45,"")</f>
        <v>547787.8125</v>
      </c>
      <c r="L185" s="16" t="str">
        <f>IF(Trabajos!L185="","",Trabajos!L185)</f>
        <v>Zoom</v>
      </c>
    </row>
    <row r="186" spans="2:12" x14ac:dyDescent="0.25">
      <c r="B186" s="52">
        <f>IF(Trabajos!B186="","",Trabajos!B186)</f>
        <v>45966</v>
      </c>
      <c r="C186" s="53" t="str">
        <f>IF(Trabajos!F186="","",Trabajos!F186)</f>
        <v>Espartina S.A.</v>
      </c>
      <c r="D186" s="54" t="str">
        <f>IF(Trabajos!D186="","",Trabajos!D186)</f>
        <v>Monitoreo de bb y bab</v>
      </c>
      <c r="E186" s="17">
        <f>IF(Trabajos!J186="","",Trabajos!J186)</f>
        <v>876459.15999999992</v>
      </c>
      <c r="F186" s="17">
        <f>IF(Trabajos!O186="","",Trabajos!O186)</f>
        <v>74160.45</v>
      </c>
      <c r="G186" s="181"/>
      <c r="H186" s="17">
        <f>IF(Trabajos!H186&lt;&gt;"",E186-E186*G186,"")</f>
        <v>876459.15999999992</v>
      </c>
      <c r="I186" s="17">
        <f>IF(Trabajos!H186&lt;&gt;"",F186-F186*G186,"")</f>
        <v>74160.45</v>
      </c>
      <c r="J186" s="16">
        <f>IF(Trabajos!H186&lt;&gt;"",H186*0.55,"")</f>
        <v>482052.538</v>
      </c>
      <c r="K186" s="16">
        <f>IF(Trabajos!H186&lt;&gt;"",H186*0.45,"")</f>
        <v>394406.62199999997</v>
      </c>
      <c r="L186" s="16" t="str">
        <f>IF(Trabajos!L186="","",Trabajos!L186)</f>
        <v>Zoom</v>
      </c>
    </row>
    <row r="187" spans="2:12" x14ac:dyDescent="0.25">
      <c r="B187" s="52">
        <f>IF(Trabajos!B187="","",Trabajos!B187)</f>
        <v>45966</v>
      </c>
      <c r="C187" s="53" t="str">
        <f>IF(Trabajos!F187="","",Trabajos!F187)</f>
        <v>Carlos Fernando Fuertes</v>
      </c>
      <c r="D187" s="54" t="str">
        <f>IF(Trabajos!D187="","",Trabajos!D187)</f>
        <v>Monitoreo de bb y bab</v>
      </c>
      <c r="E187" s="17">
        <f>IF(Trabajos!J187="","",Trabajos!J187)</f>
        <v>684420</v>
      </c>
      <c r="F187" s="17">
        <f>IF(Trabajos!O187="","",Trabajos!O187)</f>
        <v>78000</v>
      </c>
      <c r="G187" s="181"/>
      <c r="H187" s="17">
        <f>IF(Trabajos!H187&lt;&gt;"",E187-E187*G187,"")</f>
        <v>684420</v>
      </c>
      <c r="I187" s="17">
        <f>IF(Trabajos!H187&lt;&gt;"",F187-F187*G187,"")</f>
        <v>78000</v>
      </c>
      <c r="J187" s="16">
        <f>IF(Trabajos!H187&lt;&gt;"",H187*0.55,"")</f>
        <v>376431.00000000006</v>
      </c>
      <c r="K187" s="16">
        <f>IF(Trabajos!H187&lt;&gt;"",H187*0.45,"")</f>
        <v>307989</v>
      </c>
      <c r="L187" s="16" t="str">
        <f>IF(Trabajos!L187="","",Trabajos!L187)</f>
        <v>Zoom</v>
      </c>
    </row>
    <row r="188" spans="2:12" x14ac:dyDescent="0.25">
      <c r="B188" s="52">
        <f>IF(Trabajos!B188="","",Trabajos!B188)</f>
        <v>45967</v>
      </c>
      <c r="C188" s="53" t="str">
        <f>IF(Trabajos!F188="","",Trabajos!F188)</f>
        <v>Espartina S.A.</v>
      </c>
      <c r="D188" s="54" t="str">
        <f>IF(Trabajos!D188="","",Trabajos!D188)</f>
        <v>Aplicación de cebos</v>
      </c>
      <c r="E188" s="17">
        <f>IF(Trabajos!J188="","",Trabajos!J188)</f>
        <v>493000</v>
      </c>
      <c r="F188" s="17">
        <f>IF(Trabajos!O188="","",Trabajos!O188)</f>
        <v>86837.45</v>
      </c>
      <c r="G188" s="181"/>
      <c r="H188" s="17">
        <f>IF(Trabajos!H188&lt;&gt;"",E188-E188*G188,"")</f>
        <v>493000</v>
      </c>
      <c r="I188" s="17">
        <f>IF(Trabajos!H188&lt;&gt;"",F188-F188*G188,"")</f>
        <v>86837.45</v>
      </c>
      <c r="J188" s="16">
        <f>IF(Trabajos!H188&lt;&gt;"",H188*0.55,"")</f>
        <v>271150</v>
      </c>
      <c r="K188" s="16">
        <f>IF(Trabajos!H188&lt;&gt;"",H188*0.45,"")</f>
        <v>221850</v>
      </c>
      <c r="L188" s="16" t="str">
        <f>IF(Trabajos!L188="","",Trabajos!L188)</f>
        <v>Paco</v>
      </c>
    </row>
    <row r="189" spans="2:12" x14ac:dyDescent="0.25">
      <c r="B189" s="52">
        <f>IF(Trabajos!B189="","",Trabajos!B189)</f>
        <v>45967</v>
      </c>
      <c r="C189" s="53" t="str">
        <f>IF(Trabajos!F189="","",Trabajos!F189)</f>
        <v>Inalco</v>
      </c>
      <c r="D189" s="54" t="str">
        <f>IF(Trabajos!D189="","",Trabajos!D189)</f>
        <v>Monitoreo de bb y bab</v>
      </c>
      <c r="E189" s="17">
        <f>IF(Trabajos!J189="","",Trabajos!J189)</f>
        <v>595650</v>
      </c>
      <c r="F189" s="17">
        <f>IF(Trabajos!O189="","",Trabajos!O189)</f>
        <v>0</v>
      </c>
      <c r="G189" s="181"/>
      <c r="H189" s="17">
        <f>IF(Trabajos!H189&lt;&gt;"",E189-E189*G189,"")</f>
        <v>595650</v>
      </c>
      <c r="I189" s="17">
        <f>IF(Trabajos!H189&lt;&gt;"",F189-F189*G189,"")</f>
        <v>0</v>
      </c>
      <c r="J189" s="16">
        <f>IF(Trabajos!H189&lt;&gt;"",H189*0.55,"")</f>
        <v>327607.5</v>
      </c>
      <c r="K189" s="16">
        <f>IF(Trabajos!H189&lt;&gt;"",H189*0.45,"")</f>
        <v>268042.5</v>
      </c>
      <c r="L189" s="16" t="str">
        <f>IF(Trabajos!L189="","",Trabajos!L189)</f>
        <v>Zoom</v>
      </c>
    </row>
    <row r="190" spans="2:12" x14ac:dyDescent="0.25">
      <c r="B190" s="52">
        <f>IF(Trabajos!B190="","",Trabajos!B190)</f>
        <v>45967</v>
      </c>
      <c r="C190" s="53" t="str">
        <f>IF(Trabajos!F190="","",Trabajos!F190)</f>
        <v>San Vicente</v>
      </c>
      <c r="D190" s="54" t="str">
        <f>IF(Trabajos!D190="","",Trabajos!D190)</f>
        <v>Monitoreo de bb y bab</v>
      </c>
      <c r="E190" s="17">
        <f>IF(Trabajos!J190="","",Trabajos!J190)</f>
        <v>738577.5</v>
      </c>
      <c r="F190" s="17">
        <f>IF(Trabajos!O190="","",Trabajos!O190)</f>
        <v>120900</v>
      </c>
      <c r="G190" s="181"/>
      <c r="H190" s="17">
        <f>IF(Trabajos!H190&lt;&gt;"",E190-E190*G190,"")</f>
        <v>738577.5</v>
      </c>
      <c r="I190" s="17">
        <f>IF(Trabajos!H190&lt;&gt;"",F190-F190*G190,"")</f>
        <v>120900</v>
      </c>
      <c r="J190" s="16">
        <f>IF(Trabajos!H190&lt;&gt;"",H190*0.55,"")</f>
        <v>406217.62500000006</v>
      </c>
      <c r="K190" s="16">
        <f>IF(Trabajos!H190&lt;&gt;"",H190*0.45,"")</f>
        <v>332359.875</v>
      </c>
      <c r="L190" s="16" t="str">
        <f>IF(Trabajos!L190="","",Trabajos!L190)</f>
        <v>Zoom</v>
      </c>
    </row>
    <row r="191" spans="2:12" x14ac:dyDescent="0.25">
      <c r="B191" s="52">
        <f>IF(Trabajos!B191="","",Trabajos!B191)</f>
        <v>45967</v>
      </c>
      <c r="C191" s="53" t="str">
        <f>IF(Trabajos!F191="","",Trabajos!F191)</f>
        <v>Cía. de Tierras Sud Argentino S.A.</v>
      </c>
      <c r="D191" s="54" t="str">
        <f>IF(Trabajos!D191="","",Trabajos!D191)</f>
        <v>Monitoreo de bb y bab</v>
      </c>
      <c r="E191" s="17">
        <f>IF(Trabajos!J191="","",Trabajos!J191)</f>
        <v>1326318.75</v>
      </c>
      <c r="F191" s="17">
        <f>IF(Trabajos!O191="","",Trabajos!O191)</f>
        <v>32500</v>
      </c>
      <c r="G191" s="181"/>
      <c r="H191" s="17">
        <f>IF(Trabajos!H191&lt;&gt;"",E191-E191*G191,"")</f>
        <v>1326318.75</v>
      </c>
      <c r="I191" s="17">
        <f>IF(Trabajos!H191&lt;&gt;"",F191-F191*G191,"")</f>
        <v>32500</v>
      </c>
      <c r="J191" s="16">
        <f>IF(Trabajos!H191&lt;&gt;"",H191*0.55,"")</f>
        <v>729475.31250000012</v>
      </c>
      <c r="K191" s="16">
        <f>IF(Trabajos!H191&lt;&gt;"",H191*0.45,"")</f>
        <v>596843.4375</v>
      </c>
      <c r="L191" s="16" t="str">
        <f>IF(Trabajos!L191="","",Trabajos!L191)</f>
        <v>Zoom</v>
      </c>
    </row>
    <row r="192" spans="2:12" x14ac:dyDescent="0.25">
      <c r="B192" s="52">
        <f>IF(Trabajos!B192="","",Trabajos!B192)</f>
        <v>45967</v>
      </c>
      <c r="C192" s="53" t="str">
        <f>IF(Trabajos!F192="","",Trabajos!F192)</f>
        <v>Espartina S.A.</v>
      </c>
      <c r="D192" s="54" t="str">
        <f>IF(Trabajos!D192="","",Trabajos!D192)</f>
        <v>Aplicación de cebos</v>
      </c>
      <c r="E192" s="17">
        <f>IF(Trabajos!J192="","",Trabajos!J192)</f>
        <v>1225250</v>
      </c>
      <c r="F192" s="17">
        <f>IF(Trabajos!O192="","",Trabajos!O192)</f>
        <v>86837.45</v>
      </c>
      <c r="G192" s="181"/>
      <c r="H192" s="17">
        <f>IF(Trabajos!H192&lt;&gt;"",E192-E192*G192,"")</f>
        <v>1225250</v>
      </c>
      <c r="I192" s="17">
        <f>IF(Trabajos!H192&lt;&gt;"",F192-F192*G192,"")</f>
        <v>86837.45</v>
      </c>
      <c r="J192" s="16">
        <f>IF(Trabajos!H192&lt;&gt;"",H192*0.55,"")</f>
        <v>673887.5</v>
      </c>
      <c r="K192" s="16">
        <f>IF(Trabajos!H192&lt;&gt;"",H192*0.45,"")</f>
        <v>551362.5</v>
      </c>
      <c r="L192" s="16" t="str">
        <f>IF(Trabajos!L192="","",Trabajos!L192)</f>
        <v>Zoom</v>
      </c>
    </row>
    <row r="193" spans="2:12" x14ac:dyDescent="0.25">
      <c r="B193" s="52">
        <f>IF(Trabajos!B193="","",Trabajos!B193)</f>
        <v>45967</v>
      </c>
      <c r="C193" s="53" t="str">
        <f>IF(Trabajos!F193="","",Trabajos!F193)</f>
        <v>Domingo y Nestor Scioli</v>
      </c>
      <c r="D193" s="54" t="str">
        <f>IF(Trabajos!D193="","",Trabajos!D193)</f>
        <v>Aplicación de cebos</v>
      </c>
      <c r="E193" s="17">
        <f>IF(Trabajos!J193="","",Trabajos!J193)</f>
        <v>712215</v>
      </c>
      <c r="F193" s="17">
        <f>IF(Trabajos!O193="","",Trabajos!O193)</f>
        <v>143000</v>
      </c>
      <c r="G193" s="181"/>
      <c r="H193" s="17">
        <f>IF(Trabajos!H193&lt;&gt;"",E193-E193*G193,"")</f>
        <v>712215</v>
      </c>
      <c r="I193" s="17">
        <f>IF(Trabajos!H193&lt;&gt;"",F193-F193*G193,"")</f>
        <v>143000</v>
      </c>
      <c r="J193" s="16">
        <f>IF(Trabajos!H193&lt;&gt;"",H193*0.55,"")</f>
        <v>391718.25000000006</v>
      </c>
      <c r="K193" s="16">
        <f>IF(Trabajos!H193&lt;&gt;"",H193*0.45,"")</f>
        <v>320496.75</v>
      </c>
      <c r="L193" s="16" t="str">
        <f>IF(Trabajos!L193="","",Trabajos!L193)</f>
        <v>Zoom</v>
      </c>
    </row>
    <row r="194" spans="2:12" x14ac:dyDescent="0.25">
      <c r="B194" s="52">
        <f>IF(Trabajos!B194="","",Trabajos!B194)</f>
        <v>45955</v>
      </c>
      <c r="C194" s="53" t="str">
        <f>IF(Trabajos!F194="","",Trabajos!F194)</f>
        <v>Espartina S.A.</v>
      </c>
      <c r="D194" s="54" t="str">
        <f>IF(Trabajos!D194="","",Trabajos!D194)</f>
        <v>Aplicación de cebos</v>
      </c>
      <c r="E194" s="17">
        <f>IF(Trabajos!J194="","",Trabajos!J194)</f>
        <v>326250</v>
      </c>
      <c r="F194" s="17">
        <f>IF(Trabajos!O194="","",Trabajos!O194)</f>
        <v>114093</v>
      </c>
      <c r="G194" s="181"/>
      <c r="H194" s="17">
        <f>IF(Trabajos!H194&lt;&gt;"",E194-E194*G194,"")</f>
        <v>326250</v>
      </c>
      <c r="I194" s="17">
        <f>IF(Trabajos!H194&lt;&gt;"",F194-F194*G194,"")</f>
        <v>114093</v>
      </c>
      <c r="J194" s="16">
        <f>IF(Trabajos!H194&lt;&gt;"",H194*0.55,"")</f>
        <v>179437.5</v>
      </c>
      <c r="K194" s="16">
        <f>IF(Trabajos!H194&lt;&gt;"",H194*0.45,"")</f>
        <v>146812.5</v>
      </c>
      <c r="L194" s="16" t="str">
        <f>IF(Trabajos!L194="","",Trabajos!L194)</f>
        <v>Zoom</v>
      </c>
    </row>
    <row r="195" spans="2:12" x14ac:dyDescent="0.25">
      <c r="B195" s="52">
        <f>IF(Trabajos!B195="","",Trabajos!B195)</f>
        <v>45957</v>
      </c>
      <c r="C195" s="53" t="str">
        <f>IF(Trabajos!F195="","",Trabajos!F195)</f>
        <v>Espartina S.A.</v>
      </c>
      <c r="D195" s="54" t="str">
        <f>IF(Trabajos!D195="","",Trabajos!D195)</f>
        <v>Aplicación de cebos</v>
      </c>
      <c r="E195" s="17">
        <f>IF(Trabajos!J195="","",Trabajos!J195)</f>
        <v>297250</v>
      </c>
      <c r="F195" s="17">
        <f>IF(Trabajos!O195="","",Trabajos!O195)</f>
        <v>114093</v>
      </c>
      <c r="G195" s="181"/>
      <c r="H195" s="17">
        <f>IF(Trabajos!H195&lt;&gt;"",E195-E195*G195,"")</f>
        <v>297250</v>
      </c>
      <c r="I195" s="17">
        <f>IF(Trabajos!H195&lt;&gt;"",F195-F195*G195,"")</f>
        <v>114093</v>
      </c>
      <c r="J195" s="16">
        <f>IF(Trabajos!H195&lt;&gt;"",H195*0.55,"")</f>
        <v>163487.5</v>
      </c>
      <c r="K195" s="16">
        <f>IF(Trabajos!H195&lt;&gt;"",H195*0.45,"")</f>
        <v>133762.5</v>
      </c>
      <c r="L195" s="16" t="str">
        <f>IF(Trabajos!L195="","",Trabajos!L195)</f>
        <v>Zoom</v>
      </c>
    </row>
    <row r="196" spans="2:12" x14ac:dyDescent="0.25">
      <c r="B196" s="52">
        <f>IF(Trabajos!B196="","",Trabajos!B196)</f>
        <v>45958</v>
      </c>
      <c r="C196" s="53" t="str">
        <f>IF(Trabajos!F196="","",Trabajos!F196)</f>
        <v>Omar Piaggio</v>
      </c>
      <c r="D196" s="54" t="str">
        <f>IF(Trabajos!D196="","",Trabajos!D196)</f>
        <v>Monitoreo de bb y bab</v>
      </c>
      <c r="E196" s="17">
        <f>IF(Trabajos!J196="","",Trabajos!J196)</f>
        <v>0</v>
      </c>
      <c r="F196" s="17">
        <f>IF(Trabajos!O196="","",Trabajos!O196)</f>
        <v>0</v>
      </c>
      <c r="G196" s="181"/>
      <c r="H196" s="17">
        <f>IF(Trabajos!H196&lt;&gt;"",E196-E196*G196,"")</f>
        <v>0</v>
      </c>
      <c r="I196" s="17">
        <f>IF(Trabajos!H196&lt;&gt;"",F196-F196*G196,"")</f>
        <v>0</v>
      </c>
      <c r="J196" s="16">
        <f>IF(Trabajos!H196&lt;&gt;"",H196*0.55,"")</f>
        <v>0</v>
      </c>
      <c r="K196" s="16">
        <f>IF(Trabajos!H196&lt;&gt;"",H196*0.45,"")</f>
        <v>0</v>
      </c>
      <c r="L196" s="16" t="str">
        <f>IF(Trabajos!L196="","",Trabajos!L196)</f>
        <v>Zoom</v>
      </c>
    </row>
    <row r="197" spans="2:12" x14ac:dyDescent="0.25">
      <c r="B197" s="52">
        <f>IF(Trabajos!B197="","",Trabajos!B197)</f>
        <v>45959</v>
      </c>
      <c r="C197" s="53" t="str">
        <f>IF(Trabajos!F197="","",Trabajos!F197)</f>
        <v>Espartina S.A.</v>
      </c>
      <c r="D197" s="54" t="str">
        <f>IF(Trabajos!D197="","",Trabajos!D197)</f>
        <v>Aplicación de cebos</v>
      </c>
      <c r="E197" s="17">
        <f>IF(Trabajos!J197="","",Trabajos!J197)</f>
        <v>572750</v>
      </c>
      <c r="F197" s="17">
        <f>IF(Trabajos!O197="","",Trabajos!O197)</f>
        <v>186351.9</v>
      </c>
      <c r="G197" s="181"/>
      <c r="H197" s="17">
        <f>IF(Trabajos!H197&lt;&gt;"",E197-E197*G197,"")</f>
        <v>572750</v>
      </c>
      <c r="I197" s="17">
        <f>IF(Trabajos!H197&lt;&gt;"",F197-F197*G197,"")</f>
        <v>186351.9</v>
      </c>
      <c r="J197" s="16">
        <f>IF(Trabajos!H197&lt;&gt;"",H197*0.55,"")</f>
        <v>315012.5</v>
      </c>
      <c r="K197" s="16">
        <f>IF(Trabajos!H197&lt;&gt;"",H197*0.45,"")</f>
        <v>257737.5</v>
      </c>
      <c r="L197" s="16" t="str">
        <f>IF(Trabajos!L197="","",Trabajos!L197)</f>
        <v>Zoom</v>
      </c>
    </row>
    <row r="198" spans="2:12" x14ac:dyDescent="0.25">
      <c r="B198" s="52">
        <f>IF(Trabajos!B198="","",Trabajos!B198)</f>
        <v>45964</v>
      </c>
      <c r="C198" s="53" t="str">
        <f>IF(Trabajos!F198="","",Trabajos!F198)</f>
        <v>Espartina S.A.</v>
      </c>
      <c r="D198" s="54" t="str">
        <f>IF(Trabajos!D198="","",Trabajos!D198)</f>
        <v>Aplicación de cebos</v>
      </c>
      <c r="E198" s="17">
        <f>IF(Trabajos!J198="","",Trabajos!J198)</f>
        <v>944775</v>
      </c>
      <c r="F198" s="17">
        <f>IF(Trabajos!O198="","",Trabajos!O198)</f>
        <v>131840.80000000002</v>
      </c>
      <c r="G198" s="181"/>
      <c r="H198" s="17">
        <f>IF(Trabajos!H198&lt;&gt;"",E198-E198*G198,"")</f>
        <v>944775</v>
      </c>
      <c r="I198" s="17">
        <f>IF(Trabajos!H198&lt;&gt;"",F198-F198*G198,"")</f>
        <v>131840.80000000002</v>
      </c>
      <c r="J198" s="16">
        <f>IF(Trabajos!H198&lt;&gt;"",H198*0.55,"")</f>
        <v>519626.25000000006</v>
      </c>
      <c r="K198" s="16">
        <f>IF(Trabajos!H198&lt;&gt;"",H198*0.45,"")</f>
        <v>425148.75</v>
      </c>
      <c r="L198" s="16" t="str">
        <f>IF(Trabajos!L198="","",Trabajos!L198)</f>
        <v>Zoom</v>
      </c>
    </row>
    <row r="199" spans="2:12" x14ac:dyDescent="0.25">
      <c r="B199" s="52">
        <f>IF(Trabajos!B199="","",Trabajos!B199)</f>
        <v>45962</v>
      </c>
      <c r="C199" s="53" t="str">
        <f>IF(Trabajos!F199="","",Trabajos!F199)</f>
        <v>Espartina S.A.</v>
      </c>
      <c r="D199" s="54" t="str">
        <f>IF(Trabajos!D199="","",Trabajos!D199)</f>
        <v>Aplicación de cebos</v>
      </c>
      <c r="E199" s="17">
        <f>IF(Trabajos!J199="","",Trabajos!J199)</f>
        <v>1631250</v>
      </c>
      <c r="F199" s="17">
        <f>IF(Trabajos!O199="","",Trabajos!O199)</f>
        <v>133108.5</v>
      </c>
      <c r="G199" s="181"/>
      <c r="H199" s="17">
        <f>IF(Trabajos!H199&lt;&gt;"",E199-E199*G199,"")</f>
        <v>1631250</v>
      </c>
      <c r="I199" s="17">
        <f>IF(Trabajos!H199&lt;&gt;"",F199-F199*G199,"")</f>
        <v>133108.5</v>
      </c>
      <c r="J199" s="16">
        <f>IF(Trabajos!H199&lt;&gt;"",H199*0.55,"")</f>
        <v>897187.50000000012</v>
      </c>
      <c r="K199" s="16">
        <f>IF(Trabajos!H199&lt;&gt;"",H199*0.45,"")</f>
        <v>734062.5</v>
      </c>
      <c r="L199" s="16" t="str">
        <f>IF(Trabajos!L199="","",Trabajos!L199)</f>
        <v>Zoom</v>
      </c>
    </row>
    <row r="200" spans="2:12" x14ac:dyDescent="0.25">
      <c r="B200" s="52">
        <f>IF(Trabajos!B200="","",Trabajos!B200)</f>
        <v>45963</v>
      </c>
      <c r="C200" s="53" t="str">
        <f>IF(Trabajos!F200="","",Trabajos!F200)</f>
        <v>Espartina S.A.</v>
      </c>
      <c r="D200" s="54" t="str">
        <f>IF(Trabajos!D200="","",Trabajos!D200)</f>
        <v>Aplicación de cebos</v>
      </c>
      <c r="E200" s="17">
        <f>IF(Trabajos!J200="","",Trabajos!J200)</f>
        <v>928000</v>
      </c>
      <c r="F200" s="17">
        <f>IF(Trabajos!O200="","",Trabajos!O200)</f>
        <v>117896.1</v>
      </c>
      <c r="G200" s="181"/>
      <c r="H200" s="17">
        <f>IF(Trabajos!H200&lt;&gt;"",E200-E200*G200,"")</f>
        <v>928000</v>
      </c>
      <c r="I200" s="17">
        <f>IF(Trabajos!H200&lt;&gt;"",F200-F200*G200,"")</f>
        <v>117896.1</v>
      </c>
      <c r="J200" s="16">
        <f>IF(Trabajos!H200&lt;&gt;"",H200*0.55,"")</f>
        <v>510400.00000000006</v>
      </c>
      <c r="K200" s="16">
        <f>IF(Trabajos!H200&lt;&gt;"",H200*0.45,"")</f>
        <v>417600</v>
      </c>
      <c r="L200" s="16" t="str">
        <f>IF(Trabajos!L200="","",Trabajos!L200)</f>
        <v>Zoom</v>
      </c>
    </row>
    <row r="201" spans="2:12" x14ac:dyDescent="0.25">
      <c r="B201" s="52">
        <f>IF(Trabajos!B201="","",Trabajos!B201)</f>
        <v>45964</v>
      </c>
      <c r="C201" s="53" t="str">
        <f>IF(Trabajos!F201="","",Trabajos!F201)</f>
        <v>Espartina S.A.</v>
      </c>
      <c r="D201" s="54" t="str">
        <f>IF(Trabajos!D201="","",Trabajos!D201)</f>
        <v>Aplicación de cebos</v>
      </c>
      <c r="E201" s="17">
        <f>IF(Trabajos!J201="","",Trabajos!J201)</f>
        <v>1261500</v>
      </c>
      <c r="F201" s="17">
        <f>IF(Trabajos!O201="","",Trabajos!O201)</f>
        <v>131840.80000000002</v>
      </c>
      <c r="G201" s="181"/>
      <c r="H201" s="17">
        <f>IF(Trabajos!H201&lt;&gt;"",E201-E201*G201,"")</f>
        <v>1261500</v>
      </c>
      <c r="I201" s="17">
        <f>IF(Trabajos!H201&lt;&gt;"",F201-F201*G201,"")</f>
        <v>131840.80000000002</v>
      </c>
      <c r="J201" s="16">
        <f>IF(Trabajos!H201&lt;&gt;"",H201*0.55,"")</f>
        <v>693825</v>
      </c>
      <c r="K201" s="16">
        <f>IF(Trabajos!H201&lt;&gt;"",H201*0.45,"")</f>
        <v>567675</v>
      </c>
      <c r="L201" s="16" t="str">
        <f>IF(Trabajos!L201="","",Trabajos!L201)</f>
        <v>Zoom</v>
      </c>
    </row>
    <row r="202" spans="2:12" x14ac:dyDescent="0.25">
      <c r="B202" s="52">
        <f>IF(Trabajos!B202="","",Trabajos!B202)</f>
        <v>45975</v>
      </c>
      <c r="C202" s="53" t="str">
        <f>IF(Trabajos!F202="","",Trabajos!F202)</f>
        <v>Espartina S.A.</v>
      </c>
      <c r="D202" s="54" t="str">
        <f>IF(Trabajos!D202="","",Trabajos!D202)</f>
        <v>Aplicación de cebos</v>
      </c>
      <c r="E202" s="17">
        <f>IF(Trabajos!J202="","",Trabajos!J202)</f>
        <v>783000</v>
      </c>
      <c r="F202" s="17">
        <f>IF(Trabajos!O202="","",Trabajos!O202)</f>
        <v>117896.1</v>
      </c>
      <c r="G202" s="181"/>
      <c r="H202" s="17">
        <f>IF(Trabajos!H202&lt;&gt;"",E202-E202*G202,"")</f>
        <v>783000</v>
      </c>
      <c r="I202" s="17">
        <f>IF(Trabajos!H202&lt;&gt;"",F202-F202*G202,"")</f>
        <v>117896.1</v>
      </c>
      <c r="J202" s="16">
        <f>IF(Trabajos!H202&lt;&gt;"",H202*0.55,"")</f>
        <v>430650.00000000006</v>
      </c>
      <c r="K202" s="16">
        <f>IF(Trabajos!H202&lt;&gt;"",H202*0.45,"")</f>
        <v>352350</v>
      </c>
      <c r="L202" s="16" t="str">
        <f>IF(Trabajos!L202="","",Trabajos!L202)</f>
        <v>Zoom</v>
      </c>
    </row>
    <row r="203" spans="2:12" x14ac:dyDescent="0.25">
      <c r="B203" s="52">
        <f>IF(Trabajos!B203="","",Trabajos!B203)</f>
        <v>45962</v>
      </c>
      <c r="C203" s="53" t="str">
        <f>IF(Trabajos!F203="","",Trabajos!F203)</f>
        <v xml:space="preserve">EDM </v>
      </c>
      <c r="D203" s="54" t="str">
        <f>IF(Trabajos!D203="","",Trabajos!D203)</f>
        <v>Monitoreo de bb y bab</v>
      </c>
      <c r="E203" s="17">
        <f>IF(Trabajos!J203="","",Trabajos!J203)</f>
        <v>344375</v>
      </c>
      <c r="F203" s="17">
        <f>IF(Trabajos!O203="","",Trabajos!O203)</f>
        <v>144300</v>
      </c>
      <c r="G203" s="181"/>
      <c r="H203" s="17">
        <f>IF(Trabajos!H203&lt;&gt;"",E203-E203*G203,"")</f>
        <v>344375</v>
      </c>
      <c r="I203" s="17">
        <f>IF(Trabajos!H203&lt;&gt;"",F203-F203*G203,"")</f>
        <v>144300</v>
      </c>
      <c r="J203" s="16">
        <f>IF(Trabajos!H203&lt;&gt;"",H203*0.55,"")</f>
        <v>189406.25000000003</v>
      </c>
      <c r="K203" s="16">
        <f>IF(Trabajos!H203&lt;&gt;"",H203*0.45,"")</f>
        <v>154968.75</v>
      </c>
      <c r="L203" s="16" t="str">
        <f>IF(Trabajos!L203="","",Trabajos!L203)</f>
        <v>Zoom</v>
      </c>
    </row>
    <row r="204" spans="2:12" x14ac:dyDescent="0.25">
      <c r="B204" s="52">
        <f>IF(Trabajos!B204="","",Trabajos!B204)</f>
        <v>45968</v>
      </c>
      <c r="C204" s="53" t="str">
        <f>IF(Trabajos!F204="","",Trabajos!F204)</f>
        <v>Espartina S.A.</v>
      </c>
      <c r="D204" s="54" t="str">
        <f>IF(Trabajos!D204="","",Trabajos!D204)</f>
        <v>Aplicación de cebos</v>
      </c>
      <c r="E204" s="17">
        <f>IF(Trabajos!J204="","",Trabajos!J204)</f>
        <v>659750</v>
      </c>
      <c r="F204" s="17">
        <f>IF(Trabajos!O204="","",Trabajos!O204)</f>
        <v>173674.9</v>
      </c>
      <c r="G204" s="181"/>
      <c r="H204" s="17">
        <f>IF(Trabajos!H204&lt;&gt;"",E204-E204*G204,"")</f>
        <v>659750</v>
      </c>
      <c r="I204" s="17">
        <f>IF(Trabajos!H204&lt;&gt;"",F204-F204*G204,"")</f>
        <v>173674.9</v>
      </c>
      <c r="J204" s="16">
        <f>IF(Trabajos!H204&lt;&gt;"",H204*0.55,"")</f>
        <v>362862.50000000006</v>
      </c>
      <c r="K204" s="16">
        <f>IF(Trabajos!H204&lt;&gt;"",H204*0.45,"")</f>
        <v>296887.5</v>
      </c>
      <c r="L204" s="16" t="str">
        <f>IF(Trabajos!L204="","",Trabajos!L204)</f>
        <v>Paco</v>
      </c>
    </row>
    <row r="205" spans="2:12" x14ac:dyDescent="0.25">
      <c r="B205" s="52">
        <f>IF(Trabajos!B205="","",Trabajos!B205)</f>
        <v>45968</v>
      </c>
      <c r="C205" s="53" t="str">
        <f>IF(Trabajos!F205="","",Trabajos!F205)</f>
        <v>Agustin Odriozola</v>
      </c>
      <c r="D205" s="54" t="str">
        <f>IF(Trabajos!D205="","",Trabajos!D205)</f>
        <v>Aplicación de cebos</v>
      </c>
      <c r="E205" s="17">
        <f>IF(Trabajos!J205="","",Trabajos!J205)</f>
        <v>513190</v>
      </c>
      <c r="F205" s="17">
        <f>IF(Trabajos!O205="","",Trabajos!O205)</f>
        <v>0</v>
      </c>
      <c r="G205" s="181"/>
      <c r="H205" s="17">
        <f>IF(Trabajos!H205&lt;&gt;"",E205-E205*G205,"")</f>
        <v>513190</v>
      </c>
      <c r="I205" s="17">
        <f>IF(Trabajos!H205&lt;&gt;"",F205-F205*G205,"")</f>
        <v>0</v>
      </c>
      <c r="J205" s="16">
        <f>IF(Trabajos!H205&lt;&gt;"",H205*0.55,"")</f>
        <v>282254.5</v>
      </c>
      <c r="K205" s="16">
        <f>IF(Trabajos!H205&lt;&gt;"",H205*0.45,"")</f>
        <v>230935.5</v>
      </c>
      <c r="L205" s="16" t="str">
        <f>IF(Trabajos!L205="","",Trabajos!L205)</f>
        <v>Tomas</v>
      </c>
    </row>
    <row r="206" spans="2:12" x14ac:dyDescent="0.25">
      <c r="B206" s="52">
        <f>IF(Trabajos!B206="","",Trabajos!B206)</f>
        <v>45968</v>
      </c>
      <c r="C206" s="53" t="str">
        <f>IF(Trabajos!F206="","",Trabajos!F206)</f>
        <v>Martin Juarez</v>
      </c>
      <c r="D206" s="54" t="str">
        <f>IF(Trabajos!D206="","",Trabajos!D206)</f>
        <v>Aplicación de cebos</v>
      </c>
      <c r="E206" s="17">
        <f>IF(Trabajos!J206="","",Trabajos!J206)</f>
        <v>268897.5</v>
      </c>
      <c r="F206" s="17">
        <f>IF(Trabajos!O206="","",Trabajos!O206)</f>
        <v>35100</v>
      </c>
      <c r="G206" s="181"/>
      <c r="H206" s="17">
        <f>IF(Trabajos!H206&lt;&gt;"",E206-E206*G206,"")</f>
        <v>268897.5</v>
      </c>
      <c r="I206" s="17">
        <f>IF(Trabajos!H206&lt;&gt;"",F206-F206*G206,"")</f>
        <v>35100</v>
      </c>
      <c r="J206" s="16">
        <f>IF(Trabajos!H206&lt;&gt;"",H206*0.55,"")</f>
        <v>147893.625</v>
      </c>
      <c r="K206" s="16">
        <f>IF(Trabajos!H206&lt;&gt;"",H206*0.45,"")</f>
        <v>121003.875</v>
      </c>
      <c r="L206" s="16" t="str">
        <f>IF(Trabajos!L206="","",Trabajos!L206)</f>
        <v>Tomas</v>
      </c>
    </row>
    <row r="207" spans="2:12" x14ac:dyDescent="0.25">
      <c r="B207" s="52">
        <f>IF(Trabajos!B207="","",Trabajos!B207)</f>
        <v>45968</v>
      </c>
      <c r="C207" s="53" t="str">
        <f>IF(Trabajos!F207="","",Trabajos!F207)</f>
        <v>Espartina S.A.</v>
      </c>
      <c r="D207" s="54" t="str">
        <f>IF(Trabajos!D207="","",Trabajos!D207)</f>
        <v>Aplicación de cebos</v>
      </c>
      <c r="E207" s="17">
        <f>IF(Trabajos!J207="","",Trabajos!J207)</f>
        <v>833750</v>
      </c>
      <c r="F207" s="17">
        <f>IF(Trabajos!O207="","",Trabajos!O207)</f>
        <v>171139.5</v>
      </c>
      <c r="G207" s="181"/>
      <c r="H207" s="17">
        <f>IF(Trabajos!H207&lt;&gt;"",E207-E207*G207,"")</f>
        <v>833750</v>
      </c>
      <c r="I207" s="17">
        <f>IF(Trabajos!H207&lt;&gt;"",F207-F207*G207,"")</f>
        <v>171139.5</v>
      </c>
      <c r="J207" s="16">
        <f>IF(Trabajos!H207&lt;&gt;"",H207*0.55,"")</f>
        <v>458562.50000000006</v>
      </c>
      <c r="K207" s="16">
        <f>IF(Trabajos!H207&lt;&gt;"",H207*0.45,"")</f>
        <v>375187.5</v>
      </c>
      <c r="L207" s="16" t="str">
        <f>IF(Trabajos!L207="","",Trabajos!L207)</f>
        <v>Zoom</v>
      </c>
    </row>
    <row r="208" spans="2:12" x14ac:dyDescent="0.25">
      <c r="B208" s="52">
        <f>IF(Trabajos!B208="","",Trabajos!B208)</f>
        <v>45968</v>
      </c>
      <c r="C208" s="53" t="str">
        <f>IF(Trabajos!F208="","",Trabajos!F208)</f>
        <v>Espartina S.A.</v>
      </c>
      <c r="D208" s="54" t="str">
        <f>IF(Trabajos!D208="","",Trabajos!D208)</f>
        <v>Monitoreo de bb y bab</v>
      </c>
      <c r="E208" s="17">
        <f>IF(Trabajos!J208="","",Trabajos!J208)</f>
        <v>1445503.54</v>
      </c>
      <c r="F208" s="17">
        <f>IF(Trabajos!O208="","",Trabajos!O208)</f>
        <v>120431.5</v>
      </c>
      <c r="G208" s="181"/>
      <c r="H208" s="17">
        <f>IF(Trabajos!H208&lt;&gt;"",E208-E208*G208,"")</f>
        <v>1445503.54</v>
      </c>
      <c r="I208" s="17">
        <f>IF(Trabajos!H208&lt;&gt;"",F208-F208*G208,"")</f>
        <v>120431.5</v>
      </c>
      <c r="J208" s="16">
        <f>IF(Trabajos!H208&lt;&gt;"",H208*0.55,"")</f>
        <v>795026.94700000004</v>
      </c>
      <c r="K208" s="16">
        <f>IF(Trabajos!H208&lt;&gt;"",H208*0.45,"")</f>
        <v>650476.59299999999</v>
      </c>
      <c r="L208" s="16" t="str">
        <f>IF(Trabajos!L208="","",Trabajos!L208)</f>
        <v>Zoom</v>
      </c>
    </row>
    <row r="209" spans="2:12" x14ac:dyDescent="0.25">
      <c r="B209" s="52">
        <f>IF(Trabajos!B209="","",Trabajos!B209)</f>
        <v>45968</v>
      </c>
      <c r="C209" s="53" t="str">
        <f>IF(Trabajos!F209="","",Trabajos!F209)</f>
        <v>Espartina S.A.</v>
      </c>
      <c r="D209" s="54" t="str">
        <f>IF(Trabajos!D209="","",Trabajos!D209)</f>
        <v>Muestreo de suelos</v>
      </c>
      <c r="E209" s="17">
        <f>IF(Trabajos!J209="","",Trabajos!J209)</f>
        <v>75816.538461520002</v>
      </c>
      <c r="F209" s="17">
        <f>IF(Trabajos!O209="","",Trabajos!O209)</f>
        <v>0</v>
      </c>
      <c r="G209" s="181"/>
      <c r="H209" s="17">
        <f>IF(Trabajos!H209&lt;&gt;"",E209-E209*G209,"")</f>
        <v>75816.538461520002</v>
      </c>
      <c r="I209" s="17">
        <f>IF(Trabajos!H209&lt;&gt;"",F209-F209*G209,"")</f>
        <v>0</v>
      </c>
      <c r="J209" s="16">
        <f>IF(Trabajos!H209&lt;&gt;"",H209*0.55,"")</f>
        <v>41699.096153836006</v>
      </c>
      <c r="K209" s="16">
        <f>IF(Trabajos!H209&lt;&gt;"",H209*0.45,"")</f>
        <v>34117.442307684003</v>
      </c>
      <c r="L209" s="16" t="str">
        <f>IF(Trabajos!L209="","",Trabajos!L209)</f>
        <v>Zoom</v>
      </c>
    </row>
    <row r="210" spans="2:12" x14ac:dyDescent="0.25">
      <c r="B210" s="52">
        <f>IF(Trabajos!B210="","",Trabajos!B210)</f>
        <v>45968</v>
      </c>
      <c r="C210" s="53" t="str">
        <f>IF(Trabajos!F210="","",Trabajos!F210)</f>
        <v>Domingo y Nestor Scioli</v>
      </c>
      <c r="D210" s="54" t="str">
        <f>IF(Trabajos!D210="","",Trabajos!D210)</f>
        <v>Monitoreo de bb y bab</v>
      </c>
      <c r="E210" s="17">
        <f>IF(Trabajos!J210="","",Trabajos!J210)</f>
        <v>370642.5</v>
      </c>
      <c r="F210" s="17">
        <f>IF(Trabajos!O210="","",Trabajos!O210)</f>
        <v>20800</v>
      </c>
      <c r="G210" s="181"/>
      <c r="H210" s="17">
        <f>IF(Trabajos!H210&lt;&gt;"",E210-E210*G210,"")</f>
        <v>370642.5</v>
      </c>
      <c r="I210" s="17">
        <f>IF(Trabajos!H210&lt;&gt;"",F210-F210*G210,"")</f>
        <v>20800</v>
      </c>
      <c r="J210" s="16">
        <f>IF(Trabajos!H210&lt;&gt;"",H210*0.55,"")</f>
        <v>203853.37500000003</v>
      </c>
      <c r="K210" s="16">
        <f>IF(Trabajos!H210&lt;&gt;"",H210*0.45,"")</f>
        <v>166789.125</v>
      </c>
      <c r="L210" s="16" t="str">
        <f>IF(Trabajos!L210="","",Trabajos!L210)</f>
        <v>Zoom</v>
      </c>
    </row>
    <row r="211" spans="2:12" x14ac:dyDescent="0.25">
      <c r="B211" s="52">
        <f>IF(Trabajos!B211="","",Trabajos!B211)</f>
        <v>45968</v>
      </c>
      <c r="C211" s="53" t="str">
        <f>IF(Trabajos!F211="","",Trabajos!F211)</f>
        <v>Espartina S.A.</v>
      </c>
      <c r="D211" s="54" t="str">
        <f>IF(Trabajos!D211="","",Trabajos!D211)</f>
        <v>Monitoreo de bb y bab</v>
      </c>
      <c r="E211" s="17">
        <f>IF(Trabajos!J211="","",Trabajos!J211)</f>
        <v>721012.5</v>
      </c>
      <c r="F211" s="17">
        <f>IF(Trabajos!O211="","",Trabajos!O211)</f>
        <v>134376.20000000001</v>
      </c>
      <c r="G211" s="181"/>
      <c r="H211" s="17">
        <f>IF(Trabajos!H211&lt;&gt;"",E211-E211*G211,"")</f>
        <v>721012.5</v>
      </c>
      <c r="I211" s="17">
        <f>IF(Trabajos!H211&lt;&gt;"",F211-F211*G211,"")</f>
        <v>134376.20000000001</v>
      </c>
      <c r="J211" s="16">
        <f>IF(Trabajos!H211&lt;&gt;"",H211*0.55,"")</f>
        <v>396556.87500000006</v>
      </c>
      <c r="K211" s="16">
        <f>IF(Trabajos!H211&lt;&gt;"",H211*0.45,"")</f>
        <v>324455.625</v>
      </c>
      <c r="L211" s="16" t="str">
        <f>IF(Trabajos!L211="","",Trabajos!L211)</f>
        <v>Zoom</v>
      </c>
    </row>
    <row r="212" spans="2:12" x14ac:dyDescent="0.25">
      <c r="B212" s="52">
        <f>IF(Trabajos!B212="","",Trabajos!B212)</f>
        <v>45969</v>
      </c>
      <c r="C212" s="53" t="str">
        <f>IF(Trabajos!F212="","",Trabajos!F212)</f>
        <v>Espartina S.A.</v>
      </c>
      <c r="D212" s="54" t="str">
        <f>IF(Trabajos!D212="","",Trabajos!D212)</f>
        <v>Aplicación de cebos</v>
      </c>
      <c r="E212" s="17">
        <f>IF(Trabajos!J212="","",Trabajos!J212)</f>
        <v>435000</v>
      </c>
      <c r="F212" s="17">
        <f>IF(Trabajos!O212="","",Trabajos!O212)</f>
        <v>145785.5</v>
      </c>
      <c r="G212" s="7"/>
      <c r="H212" s="17">
        <f>IF(Trabajos!H212&lt;&gt;"",E212-E212*G212,"")</f>
        <v>435000</v>
      </c>
      <c r="I212" s="17">
        <f>IF(Trabajos!H212&lt;&gt;"",F212-F212*G212,"")</f>
        <v>145785.5</v>
      </c>
      <c r="J212" s="16">
        <f>IF(Trabajos!H212&lt;&gt;"",H212*0.55,"")</f>
        <v>239250.00000000003</v>
      </c>
      <c r="K212" s="16">
        <f>IF(Trabajos!H212&lt;&gt;"",H212*0.45,"")</f>
        <v>195750</v>
      </c>
      <c r="L212" s="16" t="str">
        <f>IF(Trabajos!L212="","",Trabajos!L212)</f>
        <v>Paco</v>
      </c>
    </row>
    <row r="213" spans="2:12" x14ac:dyDescent="0.25">
      <c r="B213" s="52">
        <f>IF(Trabajos!B213="","",Trabajos!B213)</f>
        <v>45969</v>
      </c>
      <c r="C213" s="53" t="str">
        <f>IF(Trabajos!F213="","",Trabajos!F213)</f>
        <v>La Nany S.A.</v>
      </c>
      <c r="D213" s="54" t="str">
        <f>IF(Trabajos!D213="","",Trabajos!D213)</f>
        <v>Aplicación de cebos</v>
      </c>
      <c r="E213" s="17">
        <f>IF(Trabajos!J213="","",Trabajos!J213)</f>
        <v>593475</v>
      </c>
      <c r="F213" s="17">
        <f>IF(Trabajos!O213="","",Trabajos!O213)</f>
        <v>57200</v>
      </c>
      <c r="G213" s="7"/>
      <c r="H213" s="17">
        <f>IF(Trabajos!H213&lt;&gt;"",E213-E213*G213,"")</f>
        <v>593475</v>
      </c>
      <c r="I213" s="17">
        <f>IF(Trabajos!H213&lt;&gt;"",F213-F213*G213,"")</f>
        <v>57200</v>
      </c>
      <c r="J213" s="16">
        <f>IF(Trabajos!H213&lt;&gt;"",H213*0.55,"")</f>
        <v>326411.25</v>
      </c>
      <c r="K213" s="16">
        <f>IF(Trabajos!H213&lt;&gt;"",H213*0.45,"")</f>
        <v>267063.75</v>
      </c>
      <c r="L213" s="16" t="str">
        <f>IF(Trabajos!L213="","",Trabajos!L213)</f>
        <v>Tomas</v>
      </c>
    </row>
    <row r="214" spans="2:12" x14ac:dyDescent="0.25">
      <c r="B214" s="52">
        <f>IF(Trabajos!B214="","",Trabajos!B214)</f>
        <v>45969</v>
      </c>
      <c r="C214" s="53" t="str">
        <f>IF(Trabajos!F214="","",Trabajos!F214)</f>
        <v>Cofina Agro</v>
      </c>
      <c r="D214" s="54" t="str">
        <f>IF(Trabajos!D214="","",Trabajos!D214)</f>
        <v>Aplicación de cebos</v>
      </c>
      <c r="E214" s="17">
        <f>IF(Trabajos!J214="","",Trabajos!J214)</f>
        <v>254187.5</v>
      </c>
      <c r="F214" s="17">
        <f>IF(Trabajos!O214="","",Trabajos!O214)</f>
        <v>71500</v>
      </c>
      <c r="G214" s="7"/>
      <c r="H214" s="17">
        <f>IF(Trabajos!H214&lt;&gt;"",E214-E214*G214,"")</f>
        <v>254187.5</v>
      </c>
      <c r="I214" s="17">
        <f>IF(Trabajos!H214&lt;&gt;"",F214-F214*G214,"")</f>
        <v>71500</v>
      </c>
      <c r="J214" s="16">
        <f>IF(Trabajos!H214&lt;&gt;"",H214*0.55,"")</f>
        <v>139803.125</v>
      </c>
      <c r="K214" s="16">
        <f>IF(Trabajos!H214&lt;&gt;"",H214*0.45,"")</f>
        <v>114384.375</v>
      </c>
      <c r="L214" s="16" t="str">
        <f>IF(Trabajos!L214="","",Trabajos!L214)</f>
        <v>Zoom</v>
      </c>
    </row>
    <row r="215" spans="2:12" x14ac:dyDescent="0.25">
      <c r="B215" s="52">
        <f>IF(Trabajos!B215="","",Trabajos!B215)</f>
        <v>45969</v>
      </c>
      <c r="C215" s="53" t="str">
        <f>IF(Trabajos!F215="","",Trabajos!F215)</f>
        <v>Cofina Agro</v>
      </c>
      <c r="D215" s="54" t="str">
        <f>IF(Trabajos!D215="","",Trabajos!D215)</f>
        <v>Monitoreo de bb y bab</v>
      </c>
      <c r="E215" s="17">
        <f>IF(Trabajos!J215="","",Trabajos!J215)</f>
        <v>181562.5</v>
      </c>
      <c r="F215" s="17">
        <f>IF(Trabajos!O215="","",Trabajos!O215)</f>
        <v>0</v>
      </c>
      <c r="G215" s="7"/>
      <c r="H215" s="17">
        <f>IF(Trabajos!H215&lt;&gt;"",E215-E215*G215,"")</f>
        <v>181562.5</v>
      </c>
      <c r="I215" s="17">
        <f>IF(Trabajos!H215&lt;&gt;"",F215-F215*G215,"")</f>
        <v>0</v>
      </c>
      <c r="J215" s="16">
        <f>IF(Trabajos!H215&lt;&gt;"",H215*0.55,"")</f>
        <v>99859.375000000015</v>
      </c>
      <c r="K215" s="16">
        <f>IF(Trabajos!H215&lt;&gt;"",H215*0.45,"")</f>
        <v>81703.125</v>
      </c>
      <c r="L215" s="16" t="str">
        <f>IF(Trabajos!L215="","",Trabajos!L215)</f>
        <v>Zoom</v>
      </c>
    </row>
    <row r="216" spans="2:12" x14ac:dyDescent="0.25">
      <c r="B216" s="52">
        <f>IF(Trabajos!B216="","",Trabajos!B216)</f>
        <v>45969</v>
      </c>
      <c r="C216" s="53" t="str">
        <f>IF(Trabajos!F216="","",Trabajos!F216)</f>
        <v>Espartina S.A.</v>
      </c>
      <c r="D216" s="54" t="str">
        <f>IF(Trabajos!D216="","",Trabajos!D216)</f>
        <v>Aplicación de cebos</v>
      </c>
      <c r="E216" s="17">
        <f>IF(Trabajos!J216="","",Trabajos!J216)</f>
        <v>1674750</v>
      </c>
      <c r="F216" s="17">
        <f>IF(Trabajos!O216="","",Trabajos!O216)</f>
        <v>51975.700000000004</v>
      </c>
      <c r="G216" s="7"/>
      <c r="H216" s="17">
        <f>IF(Trabajos!H216&lt;&gt;"",E216-E216*G216,"")</f>
        <v>1674750</v>
      </c>
      <c r="I216" s="17">
        <f>IF(Trabajos!H216&lt;&gt;"",F216-F216*G216,"")</f>
        <v>51975.700000000004</v>
      </c>
      <c r="J216" s="16">
        <f>IF(Trabajos!H216&lt;&gt;"",H216*0.55,"")</f>
        <v>921112.50000000012</v>
      </c>
      <c r="K216" s="16">
        <f>IF(Trabajos!H216&lt;&gt;"",H216*0.45,"")</f>
        <v>753637.5</v>
      </c>
      <c r="L216" s="16" t="str">
        <f>IF(Trabajos!L216="","",Trabajos!L216)</f>
        <v>Zoom</v>
      </c>
    </row>
    <row r="217" spans="2:12" x14ac:dyDescent="0.25">
      <c r="B217" s="52">
        <f>IF(Trabajos!B217="","",Trabajos!B217)</f>
        <v>45969</v>
      </c>
      <c r="C217" s="53" t="str">
        <f>IF(Trabajos!F217="","",Trabajos!F217)</f>
        <v>Espartina S.A.</v>
      </c>
      <c r="D217" s="54" t="str">
        <f>IF(Trabajos!D217="","",Trabajos!D217)</f>
        <v>Aplicación de cebos</v>
      </c>
      <c r="E217" s="17">
        <f>IF(Trabajos!J217="","",Trabajos!J217)</f>
        <v>268250</v>
      </c>
      <c r="F217" s="17">
        <f>IF(Trabajos!O217="","",Trabajos!O217)</f>
        <v>51975.700000000004</v>
      </c>
      <c r="G217" s="7"/>
      <c r="H217" s="17">
        <f>IF(Trabajos!H217&lt;&gt;"",E217-E217*G217,"")</f>
        <v>268250</v>
      </c>
      <c r="I217" s="17">
        <f>IF(Trabajos!H217&lt;&gt;"",F217-F217*G217,"")</f>
        <v>51975.700000000004</v>
      </c>
      <c r="J217" s="16">
        <f>IF(Trabajos!H217&lt;&gt;"",H217*0.55,"")</f>
        <v>147537.5</v>
      </c>
      <c r="K217" s="16">
        <f>IF(Trabajos!H217&lt;&gt;"",H217*0.45,"")</f>
        <v>120712.5</v>
      </c>
      <c r="L217" s="16" t="str">
        <f>IF(Trabajos!L217="","",Trabajos!L217)</f>
        <v>Zoom</v>
      </c>
    </row>
    <row r="218" spans="2:12" x14ac:dyDescent="0.25">
      <c r="B218" s="52">
        <f>IF(Trabajos!B218="","",Trabajos!B218)</f>
        <v>45969</v>
      </c>
      <c r="C218" s="53" t="str">
        <f>IF(Trabajos!F218="","",Trabajos!F218)</f>
        <v>Espartina S.A.</v>
      </c>
      <c r="D218" s="54" t="str">
        <f>IF(Trabajos!D218="","",Trabajos!D218)</f>
        <v>Aplicación de cebos</v>
      </c>
      <c r="E218" s="17">
        <f>IF(Trabajos!J218="","",Trabajos!J218)</f>
        <v>1160000</v>
      </c>
      <c r="F218" s="17">
        <f>IF(Trabajos!O218="","",Trabajos!O218)</f>
        <v>149588.6</v>
      </c>
      <c r="G218" s="7"/>
      <c r="H218" s="17">
        <f>IF(Trabajos!H218&lt;&gt;"",E218-E218*G218,"")</f>
        <v>1160000</v>
      </c>
      <c r="I218" s="17">
        <f>IF(Trabajos!H218&lt;&gt;"",F218-F218*G218,"")</f>
        <v>149588.6</v>
      </c>
      <c r="J218" s="16">
        <f>IF(Trabajos!H218&lt;&gt;"",H218*0.55,"")</f>
        <v>638000</v>
      </c>
      <c r="K218" s="16">
        <f>IF(Trabajos!H218&lt;&gt;"",H218*0.45,"")</f>
        <v>522000</v>
      </c>
      <c r="L218" s="16" t="str">
        <f>IF(Trabajos!L218="","",Trabajos!L218)</f>
        <v>Zoom</v>
      </c>
    </row>
    <row r="219" spans="2:12" x14ac:dyDescent="0.25">
      <c r="B219" s="52">
        <f>IF(Trabajos!B219="","",Trabajos!B219)</f>
        <v>45969</v>
      </c>
      <c r="C219" s="53" t="str">
        <f>IF(Trabajos!F219="","",Trabajos!F219)</f>
        <v>La Mylucha</v>
      </c>
      <c r="D219" s="54" t="str">
        <f>IF(Trabajos!D219="","",Trabajos!D219)</f>
        <v>Aplicación de cebos</v>
      </c>
      <c r="E219" s="17">
        <f>IF(Trabajos!J219="","",Trabajos!J219)</f>
        <v>0</v>
      </c>
      <c r="F219" s="17">
        <f>IF(Trabajos!O219="","",Trabajos!O219)</f>
        <v>0</v>
      </c>
      <c r="G219" s="7"/>
      <c r="H219" s="17">
        <f>IF(Trabajos!H219&lt;&gt;"",E219-E219*G219,"")</f>
        <v>0</v>
      </c>
      <c r="I219" s="17">
        <f>IF(Trabajos!H219&lt;&gt;"",F219-F219*G219,"")</f>
        <v>0</v>
      </c>
      <c r="J219" s="16">
        <f>IF(Trabajos!H219&lt;&gt;"",H219*0.55,"")</f>
        <v>0</v>
      </c>
      <c r="K219" s="16">
        <f>IF(Trabajos!H219&lt;&gt;"",H219*0.45,"")</f>
        <v>0</v>
      </c>
      <c r="L219" s="16" t="str">
        <f>IF(Trabajos!L219="","",Trabajos!L219)</f>
        <v>Zoom</v>
      </c>
    </row>
    <row r="220" spans="2:12" x14ac:dyDescent="0.25">
      <c r="B220" s="52">
        <f>IF(Trabajos!B220="","",Trabajos!B220)</f>
        <v>45969</v>
      </c>
      <c r="C220" s="53" t="str">
        <f>IF(Trabajos!F220="","",Trabajos!F220)</f>
        <v>Domingo y Nestor Scioli</v>
      </c>
      <c r="D220" s="54" t="str">
        <f>IF(Trabajos!D220="","",Trabajos!D220)</f>
        <v>Monitoreo de bb y bab</v>
      </c>
      <c r="E220" s="17">
        <f>IF(Trabajos!J220="","",Trabajos!J220)</f>
        <v>505091.25</v>
      </c>
      <c r="F220" s="17">
        <f>IF(Trabajos!O220="","",Trabajos!O220)</f>
        <v>32500</v>
      </c>
      <c r="G220" s="7"/>
      <c r="H220" s="17">
        <f>IF(Trabajos!H220&lt;&gt;"",E220-E220*G220,"")</f>
        <v>505091.25</v>
      </c>
      <c r="I220" s="17">
        <f>IF(Trabajos!H220&lt;&gt;"",F220-F220*G220,"")</f>
        <v>32500</v>
      </c>
      <c r="J220" s="16">
        <f>IF(Trabajos!H220&lt;&gt;"",H220*0.55,"")</f>
        <v>277800.1875</v>
      </c>
      <c r="K220" s="16">
        <f>IF(Trabajos!H220&lt;&gt;"",H220*0.45,"")</f>
        <v>227291.0625</v>
      </c>
      <c r="L220" s="16" t="str">
        <f>IF(Trabajos!L220="","",Trabajos!L220)</f>
        <v>Zoom</v>
      </c>
    </row>
    <row r="221" spans="2:12" x14ac:dyDescent="0.25">
      <c r="B221" s="52">
        <f>IF(Trabajos!B221="","",Trabajos!B221)</f>
        <v>45969</v>
      </c>
      <c r="C221" s="53" t="str">
        <f>IF(Trabajos!F221="","",Trabajos!F221)</f>
        <v>La Mylucha</v>
      </c>
      <c r="D221" s="54" t="str">
        <f>IF(Trabajos!D221="","",Trabajos!D221)</f>
        <v>Monitoreo de bb y bab</v>
      </c>
      <c r="E221" s="17">
        <f>IF(Trabajos!J221="","",Trabajos!J221)</f>
        <v>217725</v>
      </c>
      <c r="F221" s="17">
        <f>IF(Trabajos!O221="","",Trabajos!O221)</f>
        <v>26000</v>
      </c>
      <c r="G221" s="7"/>
      <c r="H221" s="17">
        <f>IF(Trabajos!H221&lt;&gt;"",E221-E221*G221,"")</f>
        <v>217725</v>
      </c>
      <c r="I221" s="17">
        <f>IF(Trabajos!H221&lt;&gt;"",F221-F221*G221,"")</f>
        <v>26000</v>
      </c>
      <c r="J221" s="16">
        <f>IF(Trabajos!H221&lt;&gt;"",H221*0.55,"")</f>
        <v>119748.75000000001</v>
      </c>
      <c r="K221" s="16">
        <f>IF(Trabajos!H221&lt;&gt;"",H221*0.45,"")</f>
        <v>97976.25</v>
      </c>
      <c r="L221" s="16" t="str">
        <f>IF(Trabajos!L221="","",Trabajos!L221)</f>
        <v>Zoom</v>
      </c>
    </row>
    <row r="222" spans="2:12" x14ac:dyDescent="0.25">
      <c r="B222" s="52">
        <f>IF(Trabajos!B222="","",Trabajos!B222)</f>
        <v>45969</v>
      </c>
      <c r="C222" s="53" t="str">
        <f>IF(Trabajos!F222="","",Trabajos!F222)</f>
        <v>Sebastian Martos</v>
      </c>
      <c r="D222" s="54" t="str">
        <f>IF(Trabajos!D222="","",Trabajos!D222)</f>
        <v>Monitoreo de bb y bab</v>
      </c>
      <c r="E222" s="17">
        <f>IF(Trabajos!J222="","",Trabajos!J222)</f>
        <v>94347.5</v>
      </c>
      <c r="F222" s="17">
        <f>IF(Trabajos!O222="","",Trabajos!O222)</f>
        <v>15600</v>
      </c>
      <c r="G222" s="7"/>
      <c r="H222" s="17">
        <f>IF(Trabajos!H222&lt;&gt;"",E222-E222*G222,"")</f>
        <v>94347.5</v>
      </c>
      <c r="I222" s="17">
        <f>IF(Trabajos!H222&lt;&gt;"",F222-F222*G222,"")</f>
        <v>15600</v>
      </c>
      <c r="J222" s="16">
        <f>IF(Trabajos!H222&lt;&gt;"",H222*0.55,"")</f>
        <v>51891.125000000007</v>
      </c>
      <c r="K222" s="16">
        <f>IF(Trabajos!H222&lt;&gt;"",H222*0.45,"")</f>
        <v>42456.375</v>
      </c>
      <c r="L222" s="16" t="str">
        <f>IF(Trabajos!L222="","",Trabajos!L222)</f>
        <v>Zoom</v>
      </c>
    </row>
    <row r="223" spans="2:12" x14ac:dyDescent="0.25">
      <c r="B223" s="52">
        <f>IF(Trabajos!B223="","",Trabajos!B223)</f>
        <v>45969</v>
      </c>
      <c r="C223" s="53" t="str">
        <f>IF(Trabajos!F223="","",Trabajos!F223)</f>
        <v>Walter Ingenieri</v>
      </c>
      <c r="D223" s="54" t="str">
        <f>IF(Trabajos!D223="","",Trabajos!D223)</f>
        <v>Monitoreo de bb y bab</v>
      </c>
      <c r="E223" s="17">
        <f>IF(Trabajos!J223="","",Trabajos!J223)</f>
        <v>257250</v>
      </c>
      <c r="F223" s="17">
        <f>IF(Trabajos!O223="","",Trabajos!O223)</f>
        <v>38350</v>
      </c>
      <c r="G223" s="7"/>
      <c r="H223" s="17">
        <f>IF(Trabajos!H223&lt;&gt;"",E223-E223*G223,"")</f>
        <v>257250</v>
      </c>
      <c r="I223" s="17">
        <f>IF(Trabajos!H223&lt;&gt;"",F223-F223*G223,"")</f>
        <v>38350</v>
      </c>
      <c r="J223" s="16">
        <f>IF(Trabajos!H223&lt;&gt;"",H223*0.55,"")</f>
        <v>141487.5</v>
      </c>
      <c r="K223" s="16">
        <f>IF(Trabajos!H223&lt;&gt;"",H223*0.45,"")</f>
        <v>115762.5</v>
      </c>
      <c r="L223" s="16" t="str">
        <f>IF(Trabajos!L223="","",Trabajos!L223)</f>
        <v>Zoom</v>
      </c>
    </row>
    <row r="224" spans="2:12" x14ac:dyDescent="0.25">
      <c r="B224" s="52">
        <f>IF(Trabajos!B224="","",Trabajos!B224)</f>
        <v>45969</v>
      </c>
      <c r="C224" s="53" t="str">
        <f>IF(Trabajos!F224="","",Trabajos!F224)</f>
        <v>Sebastian Martos</v>
      </c>
      <c r="D224" s="54" t="str">
        <f>IF(Trabajos!D224="","",Trabajos!D224)</f>
        <v>Monitoreo de bb y bab</v>
      </c>
      <c r="E224" s="17">
        <f>IF(Trabajos!J224="","",Trabajos!J224)</f>
        <v>417306.25</v>
      </c>
      <c r="F224" s="17">
        <f>IF(Trabajos!O224="","",Trabajos!O224)</f>
        <v>41600</v>
      </c>
      <c r="G224" s="7"/>
      <c r="H224" s="17">
        <f>IF(Trabajos!H224&lt;&gt;"",E224-E224*G224,"")</f>
        <v>417306.25</v>
      </c>
      <c r="I224" s="17">
        <f>IF(Trabajos!H224&lt;&gt;"",F224-F224*G224,"")</f>
        <v>41600</v>
      </c>
      <c r="J224" s="16">
        <f>IF(Trabajos!H224&lt;&gt;"",H224*0.55,"")</f>
        <v>229518.43750000003</v>
      </c>
      <c r="K224" s="16">
        <f>IF(Trabajos!H224&lt;&gt;"",H224*0.45,"")</f>
        <v>187787.8125</v>
      </c>
      <c r="L224" s="16" t="str">
        <f>IF(Trabajos!L224="","",Trabajos!L224)</f>
        <v>Zoom</v>
      </c>
    </row>
    <row r="225" spans="2:12" x14ac:dyDescent="0.25">
      <c r="B225" s="52">
        <f>IF(Trabajos!B225="","",Trabajos!B225)</f>
        <v>45969</v>
      </c>
      <c r="C225" s="53" t="str">
        <f>IF(Trabajos!F225="","",Trabajos!F225)</f>
        <v>Cristian Perez Maraviglia</v>
      </c>
      <c r="D225" s="54" t="str">
        <f>IF(Trabajos!D225="","",Trabajos!D225)</f>
        <v>Monitoreo de bb y bab</v>
      </c>
      <c r="E225" s="17">
        <f>IF(Trabajos!J225="","",Trabajos!J225)</f>
        <v>204582.5</v>
      </c>
      <c r="F225" s="17">
        <f>IF(Trabajos!O225="","",Trabajos!O225)</f>
        <v>58500</v>
      </c>
      <c r="G225" s="7"/>
      <c r="H225" s="17">
        <f>IF(Trabajos!H225&lt;&gt;"",E225-E225*G225,"")</f>
        <v>204582.5</v>
      </c>
      <c r="I225" s="17">
        <f>IF(Trabajos!H225&lt;&gt;"",F225-F225*G225,"")</f>
        <v>58500</v>
      </c>
      <c r="J225" s="16">
        <f>IF(Trabajos!H225&lt;&gt;"",H225*0.55,"")</f>
        <v>112520.37500000001</v>
      </c>
      <c r="K225" s="16">
        <f>IF(Trabajos!H225&lt;&gt;"",H225*0.45,"")</f>
        <v>92062.125</v>
      </c>
      <c r="L225" s="16" t="str">
        <f>IF(Trabajos!L225="","",Trabajos!L225)</f>
        <v>Zoom</v>
      </c>
    </row>
    <row r="226" spans="2:12" x14ac:dyDescent="0.25">
      <c r="B226" s="52">
        <f>IF(Trabajos!B226="","",Trabajos!B226)</f>
        <v>45970</v>
      </c>
      <c r="C226" s="53" t="str">
        <f>IF(Trabajos!F226="","",Trabajos!F226)</f>
        <v>Espartina S.A.</v>
      </c>
      <c r="D226" s="54" t="str">
        <f>IF(Trabajos!D226="","",Trabajos!D226)</f>
        <v>Aplicación de cebos</v>
      </c>
      <c r="E226" s="17">
        <f>IF(Trabajos!J226="","",Trabajos!J226)</f>
        <v>435000</v>
      </c>
      <c r="F226" s="17">
        <f>IF(Trabajos!O226="","",Trabajos!O226)</f>
        <v>145785.5</v>
      </c>
      <c r="G226" s="7"/>
      <c r="H226" s="17">
        <f>IF(Trabajos!H226&lt;&gt;"",E226-E226*G226,"")</f>
        <v>435000</v>
      </c>
      <c r="I226" s="17">
        <f>IF(Trabajos!H226&lt;&gt;"",F226-F226*G226,"")</f>
        <v>145785.5</v>
      </c>
      <c r="J226" s="16">
        <f>IF(Trabajos!H226&lt;&gt;"",H226*0.55,"")</f>
        <v>239250.00000000003</v>
      </c>
      <c r="K226" s="16">
        <f>IF(Trabajos!H226&lt;&gt;"",H226*0.45,"")</f>
        <v>195750</v>
      </c>
      <c r="L226" s="16" t="str">
        <f>IF(Trabajos!L226="","",Trabajos!L226)</f>
        <v>Paco</v>
      </c>
    </row>
    <row r="227" spans="2:12" x14ac:dyDescent="0.25">
      <c r="B227" s="52">
        <f>IF(Trabajos!B227="","",Trabajos!B227)</f>
        <v>45970</v>
      </c>
      <c r="C227" s="53" t="str">
        <f>IF(Trabajos!F227="","",Trabajos!F227)</f>
        <v>Espartina S.A.</v>
      </c>
      <c r="D227" s="54" t="str">
        <f>IF(Trabajos!D227="","",Trabajos!D227)</f>
        <v>Aplicación de cebos</v>
      </c>
      <c r="E227" s="17">
        <f>IF(Trabajos!J227="","",Trabajos!J227)</f>
        <v>268250</v>
      </c>
      <c r="F227" s="17">
        <f>IF(Trabajos!O227="","",Trabajos!O227)</f>
        <v>149588.6</v>
      </c>
      <c r="G227" s="7"/>
      <c r="H227" s="17">
        <f>IF(Trabajos!H227&lt;&gt;"",E227-E227*G227,"")</f>
        <v>268250</v>
      </c>
      <c r="I227" s="17">
        <f>IF(Trabajos!H227&lt;&gt;"",F227-F227*G227,"")</f>
        <v>149588.6</v>
      </c>
      <c r="J227" s="16">
        <f>IF(Trabajos!H227&lt;&gt;"",H227*0.55,"")</f>
        <v>147537.5</v>
      </c>
      <c r="K227" s="16">
        <f>IF(Trabajos!H227&lt;&gt;"",H227*0.45,"")</f>
        <v>120712.5</v>
      </c>
      <c r="L227" s="16" t="str">
        <f>IF(Trabajos!L227="","",Trabajos!L227)</f>
        <v>Paco</v>
      </c>
    </row>
    <row r="228" spans="2:12" x14ac:dyDescent="0.25">
      <c r="B228" s="52">
        <f>IF(Trabajos!B228="","",Trabajos!B228)</f>
        <v>45969</v>
      </c>
      <c r="C228" s="53" t="str">
        <f>IF(Trabajos!F228="","",Trabajos!F228)</f>
        <v>Espartina S.A.</v>
      </c>
      <c r="D228" s="54" t="str">
        <f>IF(Trabajos!D228="","",Trabajos!D228)</f>
        <v>Aplicación de cebos</v>
      </c>
      <c r="E228" s="17">
        <f>IF(Trabajos!J228="","",Trabajos!J228)</f>
        <v>726750</v>
      </c>
      <c r="F228" s="17">
        <f>IF(Trabajos!O228="","",Trabajos!O228)</f>
        <v>131840.80000000002</v>
      </c>
      <c r="G228" s="7"/>
      <c r="H228" s="17">
        <f>IF(Trabajos!H228&lt;&gt;"",E228-E228*G228,"")</f>
        <v>726750</v>
      </c>
      <c r="I228" s="17">
        <f>IF(Trabajos!H228&lt;&gt;"",F228-F228*G228,"")</f>
        <v>131840.80000000002</v>
      </c>
      <c r="J228" s="16">
        <f>IF(Trabajos!H228&lt;&gt;"",H228*0.55,"")</f>
        <v>399712.50000000006</v>
      </c>
      <c r="K228" s="16">
        <f>IF(Trabajos!H228&lt;&gt;"",H228*0.45,"")</f>
        <v>327037.5</v>
      </c>
      <c r="L228" s="16" t="str">
        <f>IF(Trabajos!L228="","",Trabajos!L228)</f>
        <v>Tomas</v>
      </c>
    </row>
    <row r="229" spans="2:12" x14ac:dyDescent="0.25">
      <c r="B229" s="52">
        <f>IF(Trabajos!B229="","",Trabajos!B229)</f>
        <v>45970</v>
      </c>
      <c r="C229" s="53" t="str">
        <f>IF(Trabajos!F229="","",Trabajos!F229)</f>
        <v>Cía. de Tierras Sud Argentino S.A.</v>
      </c>
      <c r="D229" s="54" t="str">
        <f>IF(Trabajos!D229="","",Trabajos!D229)</f>
        <v>Aplicación de cebos</v>
      </c>
      <c r="E229" s="17">
        <f>IF(Trabajos!J229="","",Trabajos!J229)</f>
        <v>290700</v>
      </c>
      <c r="F229" s="17">
        <f>IF(Trabajos!O229="","",Trabajos!O229)</f>
        <v>32500</v>
      </c>
      <c r="G229" s="7"/>
      <c r="H229" s="17">
        <f>IF(Trabajos!H229&lt;&gt;"",E229-E229*G229,"")</f>
        <v>290700</v>
      </c>
      <c r="I229" s="17">
        <f>IF(Trabajos!H229&lt;&gt;"",F229-F229*G229,"")</f>
        <v>32500</v>
      </c>
      <c r="J229" s="16">
        <f>IF(Trabajos!H229&lt;&gt;"",H229*0.55,"")</f>
        <v>159885</v>
      </c>
      <c r="K229" s="16">
        <f>IF(Trabajos!H229&lt;&gt;"",H229*0.45,"")</f>
        <v>130815</v>
      </c>
      <c r="L229" s="16" t="str">
        <f>IF(Trabajos!L229="","",Trabajos!L229)</f>
        <v>Zoom</v>
      </c>
    </row>
    <row r="230" spans="2:12" x14ac:dyDescent="0.25">
      <c r="B230" s="52">
        <f>IF(Trabajos!B230="","",Trabajos!B230)</f>
        <v>45970</v>
      </c>
      <c r="C230" s="53" t="str">
        <f>IF(Trabajos!F230="","",Trabajos!F230)</f>
        <v>Espartina S.A.</v>
      </c>
      <c r="D230" s="54" t="str">
        <f>IF(Trabajos!D230="","",Trabajos!D230)</f>
        <v>Aplicación de cebos</v>
      </c>
      <c r="E230" s="17">
        <f>IF(Trabajos!J230="","",Trabajos!J230)</f>
        <v>872100</v>
      </c>
      <c r="F230" s="17">
        <f>IF(Trabajos!O230="","",Trabajos!O230)</f>
        <v>131840.80000000002</v>
      </c>
      <c r="G230" s="7"/>
      <c r="H230" s="17">
        <f>IF(Trabajos!H230&lt;&gt;"",E230-E230*G230,"")</f>
        <v>872100</v>
      </c>
      <c r="I230" s="17">
        <f>IF(Trabajos!H230&lt;&gt;"",F230-F230*G230,"")</f>
        <v>131840.80000000002</v>
      </c>
      <c r="J230" s="16">
        <f>IF(Trabajos!H230&lt;&gt;"",H230*0.55,"")</f>
        <v>479655.00000000006</v>
      </c>
      <c r="K230" s="16">
        <f>IF(Trabajos!H230&lt;&gt;"",H230*0.45,"")</f>
        <v>392445</v>
      </c>
      <c r="L230" s="16" t="str">
        <f>IF(Trabajos!L230="","",Trabajos!L230)</f>
        <v>Zoom</v>
      </c>
    </row>
    <row r="231" spans="2:12" x14ac:dyDescent="0.25">
      <c r="B231" s="52">
        <f>IF(Trabajos!B231="","",Trabajos!B231)</f>
        <v>45970</v>
      </c>
      <c r="C231" s="53" t="str">
        <f>IF(Trabajos!F231="","",Trabajos!F231)</f>
        <v>Piray Mini</v>
      </c>
      <c r="D231" s="54" t="str">
        <f>IF(Trabajos!D231="","",Trabajos!D231)</f>
        <v>Monitoreo de bb y bab</v>
      </c>
      <c r="E231" s="17">
        <f>IF(Trabajos!J231="","",Trabajos!J231)</f>
        <v>907187.5</v>
      </c>
      <c r="F231" s="17">
        <f>IF(Trabajos!O231="","",Trabajos!O231)</f>
        <v>46800</v>
      </c>
      <c r="G231" s="7"/>
      <c r="H231" s="17">
        <f>IF(Trabajos!H231&lt;&gt;"",E231-E231*G231,"")</f>
        <v>907187.5</v>
      </c>
      <c r="I231" s="17">
        <f>IF(Trabajos!H231&lt;&gt;"",F231-F231*G231,"")</f>
        <v>46800</v>
      </c>
      <c r="J231" s="16">
        <f>IF(Trabajos!H231&lt;&gt;"",H231*0.55,"")</f>
        <v>498953.12500000006</v>
      </c>
      <c r="K231" s="16">
        <f>IF(Trabajos!H231&lt;&gt;"",H231*0.45,"")</f>
        <v>408234.375</v>
      </c>
      <c r="L231" s="16" t="str">
        <f>IF(Trabajos!L231="","",Trabajos!L231)</f>
        <v>Zoom</v>
      </c>
    </row>
    <row r="232" spans="2:12" x14ac:dyDescent="0.25">
      <c r="B232" s="52">
        <f>IF(Trabajos!B232="","",Trabajos!B232)</f>
        <v>45971</v>
      </c>
      <c r="C232" s="53" t="str">
        <f>IF(Trabajos!F232="","",Trabajos!F232)</f>
        <v>Espartina S.A.</v>
      </c>
      <c r="D232" s="54" t="str">
        <f>IF(Trabajos!D232="","",Trabajos!D232)</f>
        <v>Aplicación de cebos</v>
      </c>
      <c r="E232" s="17">
        <f>IF(Trabajos!J232="","",Trabajos!J232)</f>
        <v>797500</v>
      </c>
      <c r="F232" s="17">
        <f>IF(Trabajos!O232="","",Trabajos!O232)</f>
        <v>103951.40000000001</v>
      </c>
      <c r="G232" s="7"/>
      <c r="H232" s="17">
        <f>IF(Trabajos!H232&lt;&gt;"",E232-E232*G232,"")</f>
        <v>797500</v>
      </c>
      <c r="I232" s="17">
        <f>IF(Trabajos!H232&lt;&gt;"",F232-F232*G232,"")</f>
        <v>103951.40000000001</v>
      </c>
      <c r="J232" s="16">
        <f>IF(Trabajos!H232&lt;&gt;"",H232*0.55,"")</f>
        <v>438625.00000000006</v>
      </c>
      <c r="K232" s="16">
        <f>IF(Trabajos!H232&lt;&gt;"",H232*0.45,"")</f>
        <v>358875</v>
      </c>
      <c r="L232" s="16" t="str">
        <f>IF(Trabajos!L232="","",Trabajos!L232)</f>
        <v>Paco</v>
      </c>
    </row>
    <row r="233" spans="2:12" x14ac:dyDescent="0.25">
      <c r="B233" s="52">
        <f>IF(Trabajos!B233="","",Trabajos!B233)</f>
        <v>45971</v>
      </c>
      <c r="C233" s="53" t="str">
        <f>IF(Trabajos!F233="","",Trabajos!F233)</f>
        <v>Espartina S.A.</v>
      </c>
      <c r="D233" s="54" t="str">
        <f>IF(Trabajos!D233="","",Trabajos!D233)</f>
        <v>Aplicación de cebos</v>
      </c>
      <c r="E233" s="17">
        <f>IF(Trabajos!J233="","",Trabajos!J233)</f>
        <v>879367.5</v>
      </c>
      <c r="F233" s="17">
        <f>IF(Trabajos!O233="","",Trabajos!O233)</f>
        <v>74160.45</v>
      </c>
      <c r="G233" s="7"/>
      <c r="H233" s="17">
        <f>IF(Trabajos!H233&lt;&gt;"",E233-E233*G233,"")</f>
        <v>879367.5</v>
      </c>
      <c r="I233" s="17">
        <f>IF(Trabajos!H233&lt;&gt;"",F233-F233*G233,"")</f>
        <v>74160.45</v>
      </c>
      <c r="J233" s="16">
        <f>IF(Trabajos!H233&lt;&gt;"",H233*0.55,"")</f>
        <v>483652.12500000006</v>
      </c>
      <c r="K233" s="16">
        <f>IF(Trabajos!H233&lt;&gt;"",H233*0.45,"")</f>
        <v>395715.375</v>
      </c>
      <c r="L233" s="16" t="str">
        <f>IF(Trabajos!L233="","",Trabajos!L233)</f>
        <v>Tomas</v>
      </c>
    </row>
    <row r="234" spans="2:12" x14ac:dyDescent="0.25">
      <c r="B234" s="52">
        <f>IF(Trabajos!B234="","",Trabajos!B234)</f>
        <v>45971</v>
      </c>
      <c r="C234" s="53" t="str">
        <f>IF(Trabajos!F234="","",Trabajos!F234)</f>
        <v>Espartina S.A.</v>
      </c>
      <c r="D234" s="54" t="str">
        <f>IF(Trabajos!D234="","",Trabajos!D234)</f>
        <v>Monitoreo de bb y bab</v>
      </c>
      <c r="E234" s="17">
        <f>IF(Trabajos!J234="","",Trabajos!J234)</f>
        <v>717750</v>
      </c>
      <c r="F234" s="17">
        <f>IF(Trabajos!O234="","",Trabajos!O234)</f>
        <v>207902.80000000002</v>
      </c>
      <c r="G234" s="7"/>
      <c r="H234" s="17">
        <f>IF(Trabajos!H234&lt;&gt;"",E234-E234*G234,"")</f>
        <v>717750</v>
      </c>
      <c r="I234" s="17">
        <f>IF(Trabajos!H234&lt;&gt;"",F234-F234*G234,"")</f>
        <v>207902.80000000002</v>
      </c>
      <c r="J234" s="16">
        <f>IF(Trabajos!H234&lt;&gt;"",H234*0.55,"")</f>
        <v>394762.50000000006</v>
      </c>
      <c r="K234" s="16">
        <f>IF(Trabajos!H234&lt;&gt;"",H234*0.45,"")</f>
        <v>322987.5</v>
      </c>
      <c r="L234" s="16" t="str">
        <f>IF(Trabajos!L234="","",Trabajos!L234)</f>
        <v>Zoom</v>
      </c>
    </row>
    <row r="235" spans="2:12" x14ac:dyDescent="0.25">
      <c r="B235" s="52">
        <f>IF(Trabajos!B235="","",Trabajos!B235)</f>
        <v>45971</v>
      </c>
      <c r="C235" s="53" t="str">
        <f>IF(Trabajos!F235="","",Trabajos!F235)</f>
        <v>Espartina S.A.</v>
      </c>
      <c r="D235" s="54" t="str">
        <f>IF(Trabajos!D235="","",Trabajos!D235)</f>
        <v>Monitoreo de bb y bab</v>
      </c>
      <c r="E235" s="17">
        <f>IF(Trabajos!J235="","",Trabajos!J235)</f>
        <v>587250</v>
      </c>
      <c r="F235" s="17">
        <f>IF(Trabajos!O235="","",Trabajos!O235)</f>
        <v>207902.80000000002</v>
      </c>
      <c r="G235" s="7"/>
      <c r="H235" s="17">
        <f>IF(Trabajos!H235&lt;&gt;"",E235-E235*G235,"")</f>
        <v>587250</v>
      </c>
      <c r="I235" s="17">
        <f>IF(Trabajos!H235&lt;&gt;"",F235-F235*G235,"")</f>
        <v>207902.80000000002</v>
      </c>
      <c r="J235" s="16">
        <f>IF(Trabajos!H235&lt;&gt;"",H235*0.55,"")</f>
        <v>322987.5</v>
      </c>
      <c r="K235" s="16">
        <f>IF(Trabajos!H235&lt;&gt;"",H235*0.45,"")</f>
        <v>264262.5</v>
      </c>
      <c r="L235" s="16" t="str">
        <f>IF(Trabajos!L235="","",Trabajos!L235)</f>
        <v>Zoom</v>
      </c>
    </row>
    <row r="236" spans="2:12" x14ac:dyDescent="0.25">
      <c r="B236" s="52">
        <f>IF(Trabajos!B236="","",Trabajos!B236)</f>
        <v>45972</v>
      </c>
      <c r="C236" s="53" t="str">
        <f>IF(Trabajos!F236="","",Trabajos!F236)</f>
        <v>Espartina S.A.</v>
      </c>
      <c r="D236" s="54" t="str">
        <f>IF(Trabajos!D236="","",Trabajos!D236)</f>
        <v>Monitoreo de bb y bab</v>
      </c>
      <c r="E236" s="17">
        <f>IF(Trabajos!J236="","",Trabajos!J236)</f>
        <v>352350</v>
      </c>
      <c r="F236" s="17">
        <f>IF(Trabajos!O236="","",Trabajos!O236)</f>
        <v>117896.1</v>
      </c>
      <c r="G236" s="7"/>
      <c r="H236" s="17">
        <f>IF(Trabajos!H236&lt;&gt;"",E236-E236*G236,"")</f>
        <v>352350</v>
      </c>
      <c r="I236" s="17">
        <f>IF(Trabajos!H236&lt;&gt;"",F236-F236*G236,"")</f>
        <v>117896.1</v>
      </c>
      <c r="J236" s="16">
        <f>IF(Trabajos!H236&lt;&gt;"",H236*0.55,"")</f>
        <v>193792.50000000003</v>
      </c>
      <c r="K236" s="16">
        <f>IF(Trabajos!H236&lt;&gt;"",H236*0.45,"")</f>
        <v>158557.5</v>
      </c>
      <c r="L236" s="16" t="str">
        <f>IF(Trabajos!L236="","",Trabajos!L236)</f>
        <v>Paco</v>
      </c>
    </row>
    <row r="237" spans="2:12" x14ac:dyDescent="0.25">
      <c r="B237" s="52">
        <f>IF(Trabajos!B237="","",Trabajos!B237)</f>
        <v>45972</v>
      </c>
      <c r="C237" s="53" t="str">
        <f>IF(Trabajos!F237="","",Trabajos!F237)</f>
        <v>La Mylucha</v>
      </c>
      <c r="D237" s="54" t="str">
        <f>IF(Trabajos!D237="","",Trabajos!D237)</f>
        <v>Aplicación de cebos</v>
      </c>
      <c r="E237" s="17">
        <f>IF(Trabajos!J237="","",Trabajos!J237)</f>
        <v>159665</v>
      </c>
      <c r="F237" s="17">
        <f>IF(Trabajos!O237="","",Trabajos!O237)</f>
        <v>26000</v>
      </c>
      <c r="G237" s="7"/>
      <c r="H237" s="17">
        <f>IF(Trabajos!H237&lt;&gt;"",E237-E237*G237,"")</f>
        <v>159665</v>
      </c>
      <c r="I237" s="17">
        <f>IF(Trabajos!H237&lt;&gt;"",F237-F237*G237,"")</f>
        <v>26000</v>
      </c>
      <c r="J237" s="16">
        <f>IF(Trabajos!H237&lt;&gt;"",H237*0.55,"")</f>
        <v>87815.75</v>
      </c>
      <c r="K237" s="16">
        <f>IF(Trabajos!H237&lt;&gt;"",H237*0.45,"")</f>
        <v>71849.25</v>
      </c>
      <c r="L237" s="16" t="str">
        <f>IF(Trabajos!L237="","",Trabajos!L237)</f>
        <v>Tomas</v>
      </c>
    </row>
    <row r="238" spans="2:12" x14ac:dyDescent="0.25">
      <c r="B238" s="52">
        <f>IF(Trabajos!B238="","",Trabajos!B238)</f>
        <v>45972</v>
      </c>
      <c r="C238" s="53" t="str">
        <f>IF(Trabajos!F238="","",Trabajos!F238)</f>
        <v>Soledad Gutierrez</v>
      </c>
      <c r="D238" s="54" t="str">
        <f>IF(Trabajos!D238="","",Trabajos!D238)</f>
        <v>Monitoreo de bb y bab</v>
      </c>
      <c r="E238" s="17">
        <f>IF(Trabajos!J238="","",Trabajos!J238)</f>
        <v>336000</v>
      </c>
      <c r="F238" s="17">
        <f>IF(Trabajos!O238="","",Trabajos!O238)</f>
        <v>67600</v>
      </c>
      <c r="G238" s="7"/>
      <c r="H238" s="17">
        <f>IF(Trabajos!H238&lt;&gt;"",E238-E238*G238,"")</f>
        <v>336000</v>
      </c>
      <c r="I238" s="17">
        <f>IF(Trabajos!H238&lt;&gt;"",F238-F238*G238,"")</f>
        <v>67600</v>
      </c>
      <c r="J238" s="16">
        <f>IF(Trabajos!H238&lt;&gt;"",H238*0.55,"")</f>
        <v>184800.00000000003</v>
      </c>
      <c r="K238" s="16">
        <f>IF(Trabajos!H238&lt;&gt;"",H238*0.45,"")</f>
        <v>151200</v>
      </c>
      <c r="L238" s="16" t="str">
        <f>IF(Trabajos!L238="","",Trabajos!L238)</f>
        <v>Zoom</v>
      </c>
    </row>
    <row r="239" spans="2:12" x14ac:dyDescent="0.25">
      <c r="B239" s="52">
        <f>IF(Trabajos!B239="","",Trabajos!B239)</f>
        <v>45972</v>
      </c>
      <c r="C239" s="53" t="str">
        <f>IF(Trabajos!F239="","",Trabajos!F239)</f>
        <v>Soledad Gutierrez</v>
      </c>
      <c r="D239" s="54" t="str">
        <f>IF(Trabajos!D239="","",Trabajos!D239)</f>
        <v>Monitoreo de bb y bab</v>
      </c>
      <c r="E239" s="17">
        <f>IF(Trabajos!J239="","",Trabajos!J239)</f>
        <v>182000</v>
      </c>
      <c r="F239" s="17">
        <f>IF(Trabajos!O239="","",Trabajos!O239)</f>
        <v>0</v>
      </c>
      <c r="G239" s="7"/>
      <c r="H239" s="17">
        <f>IF(Trabajos!H239&lt;&gt;"",E239-E239*G239,"")</f>
        <v>182000</v>
      </c>
      <c r="I239" s="17">
        <f>IF(Trabajos!H239&lt;&gt;"",F239-F239*G239,"")</f>
        <v>0</v>
      </c>
      <c r="J239" s="16">
        <f>IF(Trabajos!H239&lt;&gt;"",H239*0.55,"")</f>
        <v>100100.00000000001</v>
      </c>
      <c r="K239" s="16">
        <f>IF(Trabajos!H239&lt;&gt;"",H239*0.45,"")</f>
        <v>81900</v>
      </c>
      <c r="L239" s="16" t="str">
        <f>IF(Trabajos!L239="","",Trabajos!L239)</f>
        <v>Zoom</v>
      </c>
    </row>
    <row r="240" spans="2:12" x14ac:dyDescent="0.25">
      <c r="B240" s="52">
        <f>IF(Trabajos!B240="","",Trabajos!B240)</f>
        <v>45972</v>
      </c>
      <c r="C240" s="53" t="str">
        <f>IF(Trabajos!F240="","",Trabajos!F240)</f>
        <v>Sebastian Martos</v>
      </c>
      <c r="D240" s="54" t="str">
        <f>IF(Trabajos!D240="","",Trabajos!D240)</f>
        <v>Monitoreo de bb y bab</v>
      </c>
      <c r="E240" s="17">
        <f>IF(Trabajos!J240="","",Trabajos!J240)</f>
        <v>264898.75</v>
      </c>
      <c r="F240" s="17">
        <f>IF(Trabajos!O240="","",Trabajos!O240)</f>
        <v>18200</v>
      </c>
      <c r="G240" s="7"/>
      <c r="H240" s="17">
        <f>IF(Trabajos!H240&lt;&gt;"",E240-E240*G240,"")</f>
        <v>264898.75</v>
      </c>
      <c r="I240" s="17">
        <f>IF(Trabajos!H240&lt;&gt;"",F240-F240*G240,"")</f>
        <v>18200</v>
      </c>
      <c r="J240" s="16">
        <f>IF(Trabajos!H240&lt;&gt;"",H240*0.55,"")</f>
        <v>145694.3125</v>
      </c>
      <c r="K240" s="16">
        <f>IF(Trabajos!H240&lt;&gt;"",H240*0.45,"")</f>
        <v>119204.4375</v>
      </c>
      <c r="L240" s="16" t="str">
        <f>IF(Trabajos!L240="","",Trabajos!L240)</f>
        <v>Zoom</v>
      </c>
    </row>
    <row r="241" spans="2:12" x14ac:dyDescent="0.25">
      <c r="B241" s="52">
        <f>IF(Trabajos!B241="","",Trabajos!B241)</f>
        <v>45973</v>
      </c>
      <c r="C241" s="53" t="str">
        <f>IF(Trabajos!F241="","",Trabajos!F241)</f>
        <v>Juan Rodriguez Rivas</v>
      </c>
      <c r="D241" s="54" t="str">
        <f>IF(Trabajos!D241="","",Trabajos!D241)</f>
        <v>Aplicación de cebos</v>
      </c>
      <c r="E241" s="17">
        <f>IF(Trabajos!J241="","",Trabajos!J241)</f>
        <v>1371337.5</v>
      </c>
      <c r="F241" s="17">
        <f>IF(Trabajos!O241="","",Trabajos!O241)</f>
        <v>159900</v>
      </c>
      <c r="G241" s="7"/>
      <c r="H241" s="17">
        <f>IF(Trabajos!H241&lt;&gt;"",E241-E241*G241,"")</f>
        <v>1371337.5</v>
      </c>
      <c r="I241" s="17">
        <f>IF(Trabajos!H241&lt;&gt;"",F241-F241*G241,"")</f>
        <v>159900</v>
      </c>
      <c r="J241" s="16">
        <f>IF(Trabajos!H241&lt;&gt;"",H241*0.55,"")</f>
        <v>754235.62500000012</v>
      </c>
      <c r="K241" s="16">
        <f>IF(Trabajos!H241&lt;&gt;"",H241*0.45,"")</f>
        <v>617101.875</v>
      </c>
      <c r="L241" s="16" t="str">
        <f>IF(Trabajos!L241="","",Trabajos!L241)</f>
        <v>Paco</v>
      </c>
    </row>
    <row r="242" spans="2:12" x14ac:dyDescent="0.25">
      <c r="B242" s="52">
        <f>IF(Trabajos!B242="","",Trabajos!B242)</f>
        <v>45973</v>
      </c>
      <c r="C242" s="53" t="str">
        <f>IF(Trabajos!F242="","",Trabajos!F242)</f>
        <v>Sebastian Martos</v>
      </c>
      <c r="D242" s="54" t="str">
        <f>IF(Trabajos!D242="","",Trabajos!D242)</f>
        <v>Aplicación de cebos</v>
      </c>
      <c r="E242" s="17">
        <f>IF(Trabajos!J242="","",Trabajos!J242)</f>
        <v>188695</v>
      </c>
      <c r="F242" s="17">
        <f>IF(Trabajos!O242="","",Trabajos!O242)</f>
        <v>15600</v>
      </c>
      <c r="G242" s="7"/>
      <c r="H242" s="17">
        <f>IF(Trabajos!H242&lt;&gt;"",E242-E242*G242,"")</f>
        <v>188695</v>
      </c>
      <c r="I242" s="17">
        <f>IF(Trabajos!H242&lt;&gt;"",F242-F242*G242,"")</f>
        <v>15600</v>
      </c>
      <c r="J242" s="16">
        <f>IF(Trabajos!H242&lt;&gt;"",H242*0.55,"")</f>
        <v>103782.25000000001</v>
      </c>
      <c r="K242" s="16">
        <f>IF(Trabajos!H242&lt;&gt;"",H242*0.45,"")</f>
        <v>84912.75</v>
      </c>
      <c r="L242" s="16" t="str">
        <f>IF(Trabajos!L242="","",Trabajos!L242)</f>
        <v>Tomas</v>
      </c>
    </row>
    <row r="243" spans="2:12" x14ac:dyDescent="0.25">
      <c r="B243" s="52">
        <f>IF(Trabajos!B243="","",Trabajos!B243)</f>
        <v>45973</v>
      </c>
      <c r="C243" s="53" t="str">
        <f>IF(Trabajos!F243="","",Trabajos!F243)</f>
        <v>Piray Mini</v>
      </c>
      <c r="D243" s="54" t="str">
        <f>IF(Trabajos!D243="","",Trabajos!D243)</f>
        <v>Aplicación de cebos</v>
      </c>
      <c r="E243" s="17">
        <f>IF(Trabajos!J243="","",Trabajos!J243)</f>
        <v>319330</v>
      </c>
      <c r="F243" s="17">
        <f>IF(Trabajos!O243="","",Trabajos!O243)</f>
        <v>46800</v>
      </c>
      <c r="G243" s="7"/>
      <c r="H243" s="17">
        <f>IF(Trabajos!H243&lt;&gt;"",E243-E243*G243,"")</f>
        <v>319330</v>
      </c>
      <c r="I243" s="17">
        <f>IF(Trabajos!H243&lt;&gt;"",F243-F243*G243,"")</f>
        <v>46800</v>
      </c>
      <c r="J243" s="16">
        <f>IF(Trabajos!H243&lt;&gt;"",H243*0.55,"")</f>
        <v>175631.5</v>
      </c>
      <c r="K243" s="16">
        <f>IF(Trabajos!H243&lt;&gt;"",H243*0.45,"")</f>
        <v>143698.5</v>
      </c>
      <c r="L243" s="16" t="str">
        <f>IF(Trabajos!L243="","",Trabajos!L243)</f>
        <v>Tomas</v>
      </c>
    </row>
    <row r="244" spans="2:12" x14ac:dyDescent="0.25">
      <c r="B244" s="52">
        <f>IF(Trabajos!B244="","",Trabajos!B244)</f>
        <v>45973</v>
      </c>
      <c r="C244" s="53" t="str">
        <f>IF(Trabajos!F244="","",Trabajos!F244)</f>
        <v>Patricia Ricci</v>
      </c>
      <c r="D244" s="54" t="str">
        <f>IF(Trabajos!D244="","",Trabajos!D244)</f>
        <v>Aplicación de cebos</v>
      </c>
      <c r="E244" s="17">
        <f>IF(Trabajos!J244="","",Trabajos!J244)</f>
        <v>399162.5</v>
      </c>
      <c r="F244" s="17">
        <f>IF(Trabajos!O244="","",Trabajos!O244)</f>
        <v>110500</v>
      </c>
      <c r="G244" s="7"/>
      <c r="H244" s="17">
        <f>IF(Trabajos!H244&lt;&gt;"",E244-E244*G244,"")</f>
        <v>399162.5</v>
      </c>
      <c r="I244" s="17">
        <f>IF(Trabajos!H244&lt;&gt;"",F244-F244*G244,"")</f>
        <v>110500</v>
      </c>
      <c r="J244" s="16">
        <f>IF(Trabajos!H244&lt;&gt;"",H244*0.55,"")</f>
        <v>219539.37500000003</v>
      </c>
      <c r="K244" s="16">
        <f>IF(Trabajos!H244&lt;&gt;"",H244*0.45,"")</f>
        <v>179623.125</v>
      </c>
      <c r="L244" s="16" t="str">
        <f>IF(Trabajos!L244="","",Trabajos!L244)</f>
        <v>Zoom</v>
      </c>
    </row>
    <row r="245" spans="2:12" x14ac:dyDescent="0.25">
      <c r="B245" s="52">
        <f>IF(Trabajos!B245="","",Trabajos!B245)</f>
        <v>45973</v>
      </c>
      <c r="C245" s="53" t="str">
        <f>IF(Trabajos!F245="","",Trabajos!F245)</f>
        <v>Espartina S.A.</v>
      </c>
      <c r="D245" s="54" t="str">
        <f>IF(Trabajos!D245="","",Trabajos!D245)</f>
        <v>Aplicación de cebos</v>
      </c>
      <c r="E245" s="17">
        <f>IF(Trabajos!J245="","",Trabajos!J245)</f>
        <v>755820</v>
      </c>
      <c r="F245" s="17">
        <f>IF(Trabajos!O245="","",Trabajos!O245)</f>
        <v>117262.25</v>
      </c>
      <c r="G245" s="7"/>
      <c r="H245" s="17">
        <f>IF(Trabajos!H245&lt;&gt;"",E245-E245*G245,"")</f>
        <v>755820</v>
      </c>
      <c r="I245" s="17">
        <f>IF(Trabajos!H245&lt;&gt;"",F245-F245*G245,"")</f>
        <v>117262.25</v>
      </c>
      <c r="J245" s="16">
        <f>IF(Trabajos!H245&lt;&gt;"",H245*0.55,"")</f>
        <v>415701.00000000006</v>
      </c>
      <c r="K245" s="16">
        <f>IF(Trabajos!H245&lt;&gt;"",H245*0.45,"")</f>
        <v>340119</v>
      </c>
      <c r="L245" s="16" t="str">
        <f>IF(Trabajos!L245="","",Trabajos!L245)</f>
        <v>Zoom</v>
      </c>
    </row>
    <row r="246" spans="2:12" x14ac:dyDescent="0.25">
      <c r="B246" s="52">
        <f>IF(Trabajos!B246="","",Trabajos!B246)</f>
        <v>45973</v>
      </c>
      <c r="C246" s="53" t="str">
        <f>IF(Trabajos!F246="","",Trabajos!F246)</f>
        <v>Espartina S.A.</v>
      </c>
      <c r="D246" s="54" t="str">
        <f>IF(Trabajos!D246="","",Trabajos!D246)</f>
        <v>Aplicación de cebos</v>
      </c>
      <c r="E246" s="17">
        <f>IF(Trabajos!J246="","",Trabajos!J246)</f>
        <v>1068322.5</v>
      </c>
      <c r="F246" s="17">
        <f>IF(Trabajos!O246="","",Trabajos!O246)</f>
        <v>74160.45</v>
      </c>
      <c r="G246" s="7"/>
      <c r="H246" s="17">
        <f>IF(Trabajos!H246&lt;&gt;"",E246-E246*G246,"")</f>
        <v>1068322.5</v>
      </c>
      <c r="I246" s="17">
        <f>IF(Trabajos!H246&lt;&gt;"",F246-F246*G246,"")</f>
        <v>74160.45</v>
      </c>
      <c r="J246" s="16">
        <f>IF(Trabajos!H246&lt;&gt;"",H246*0.55,"")</f>
        <v>587577.375</v>
      </c>
      <c r="K246" s="16">
        <f>IF(Trabajos!H246&lt;&gt;"",H246*0.45,"")</f>
        <v>480745.125</v>
      </c>
      <c r="L246" s="16" t="str">
        <f>IF(Trabajos!L246="","",Trabajos!L246)</f>
        <v>Zoom</v>
      </c>
    </row>
    <row r="247" spans="2:12" x14ac:dyDescent="0.25">
      <c r="B247" s="52">
        <f>IF(Trabajos!B247="","",Trabajos!B247)</f>
        <v>45973</v>
      </c>
      <c r="C247" s="53" t="str">
        <f>IF(Trabajos!F247="","",Trabajos!F247)</f>
        <v>Vitalpor S.A.</v>
      </c>
      <c r="D247" s="54" t="str">
        <f>IF(Trabajos!D247="","",Trabajos!D247)</f>
        <v>Monitoreo de bb y bab</v>
      </c>
      <c r="E247" s="17">
        <f>IF(Trabajos!J247="","",Trabajos!J247)</f>
        <v>173375</v>
      </c>
      <c r="F247" s="17">
        <f>IF(Trabajos!O247="","",Trabajos!O247)</f>
        <v>0</v>
      </c>
      <c r="G247" s="7"/>
      <c r="H247" s="17">
        <f>IF(Trabajos!H247&lt;&gt;"",E247-E247*G247,"")</f>
        <v>173375</v>
      </c>
      <c r="I247" s="17">
        <f>IF(Trabajos!H247&lt;&gt;"",F247-F247*G247,"")</f>
        <v>0</v>
      </c>
      <c r="J247" s="16">
        <f>IF(Trabajos!H247&lt;&gt;"",H247*0.55,"")</f>
        <v>95356.250000000015</v>
      </c>
      <c r="K247" s="16">
        <f>IF(Trabajos!H247&lt;&gt;"",H247*0.45,"")</f>
        <v>78018.75</v>
      </c>
      <c r="L247" s="16" t="str">
        <f>IF(Trabajos!L247="","",Trabajos!L247)</f>
        <v>Zoom</v>
      </c>
    </row>
    <row r="248" spans="2:12" x14ac:dyDescent="0.25">
      <c r="B248" s="52">
        <f>IF(Trabajos!B248="","",Trabajos!B248)</f>
        <v>45973</v>
      </c>
      <c r="C248" s="53" t="str">
        <f>IF(Trabajos!F248="","",Trabajos!F248)</f>
        <v>Inalco</v>
      </c>
      <c r="D248" s="54" t="str">
        <f>IF(Trabajos!D248="","",Trabajos!D248)</f>
        <v>Monitoreo de bb y bab</v>
      </c>
      <c r="E248" s="17">
        <f>IF(Trabajos!J248="","",Trabajos!J248)</f>
        <v>241870</v>
      </c>
      <c r="F248" s="17">
        <f>IF(Trabajos!O248="","",Trabajos!O248)</f>
        <v>135200</v>
      </c>
      <c r="G248" s="7"/>
      <c r="H248" s="17">
        <f>IF(Trabajos!H248&lt;&gt;"",E248-E248*G248,"")</f>
        <v>241870</v>
      </c>
      <c r="I248" s="17">
        <f>IF(Trabajos!H248&lt;&gt;"",F248-F248*G248,"")</f>
        <v>135200</v>
      </c>
      <c r="J248" s="16">
        <f>IF(Trabajos!H248&lt;&gt;"",H248*0.55,"")</f>
        <v>133028.5</v>
      </c>
      <c r="K248" s="16">
        <f>IF(Trabajos!H248&lt;&gt;"",H248*0.45,"")</f>
        <v>108841.5</v>
      </c>
      <c r="L248" s="16" t="str">
        <f>IF(Trabajos!L248="","",Trabajos!L248)</f>
        <v>Zoom</v>
      </c>
    </row>
    <row r="249" spans="2:12" x14ac:dyDescent="0.25">
      <c r="B249" s="52">
        <f>IF(Trabajos!B249="","",Trabajos!B249)</f>
        <v>45973</v>
      </c>
      <c r="C249" s="53" t="str">
        <f>IF(Trabajos!F249="","",Trabajos!F249)</f>
        <v>Domingo y Nestor Scioli</v>
      </c>
      <c r="D249" s="54" t="str">
        <f>IF(Trabajos!D249="","",Trabajos!D249)</f>
        <v>Monitoreo de bb y bab</v>
      </c>
      <c r="E249" s="17">
        <f>IF(Trabajos!J249="","",Trabajos!J249)</f>
        <v>268897.5</v>
      </c>
      <c r="F249" s="17">
        <f>IF(Trabajos!O249="","",Trabajos!O249)</f>
        <v>29900</v>
      </c>
      <c r="G249" s="7"/>
      <c r="H249" s="17">
        <f>IF(Trabajos!H249&lt;&gt;"",E249-E249*G249,"")</f>
        <v>268897.5</v>
      </c>
      <c r="I249" s="17">
        <f>IF(Trabajos!H249&lt;&gt;"",F249-F249*G249,"")</f>
        <v>29900</v>
      </c>
      <c r="J249" s="16">
        <f>IF(Trabajos!H249&lt;&gt;"",H249*0.55,"")</f>
        <v>147893.625</v>
      </c>
      <c r="K249" s="16">
        <f>IF(Trabajos!H249&lt;&gt;"",H249*0.45,"")</f>
        <v>121003.875</v>
      </c>
      <c r="L249" s="16" t="str">
        <f>IF(Trabajos!L249="","",Trabajos!L249)</f>
        <v>Zoom</v>
      </c>
    </row>
    <row r="250" spans="2:12" x14ac:dyDescent="0.25">
      <c r="B250" s="52">
        <f>IF(Trabajos!B250="","",Trabajos!B250)</f>
        <v>45974</v>
      </c>
      <c r="C250" s="53" t="str">
        <f>IF(Trabajos!F250="","",Trabajos!F250)</f>
        <v>Espartina S.A.</v>
      </c>
      <c r="D250" s="54" t="str">
        <f>IF(Trabajos!D250="","",Trabajos!D250)</f>
        <v>Aplicación de cebos</v>
      </c>
      <c r="E250" s="17">
        <f>IF(Trabajos!J250="","",Trabajos!J250)</f>
        <v>1138250</v>
      </c>
      <c r="F250" s="17">
        <f>IF(Trabajos!O250="","",Trabajos!O250)</f>
        <v>186351.9</v>
      </c>
      <c r="G250" s="7"/>
      <c r="H250" s="17">
        <f>IF(Trabajos!H250&lt;&gt;"",E250-E250*G250,"")</f>
        <v>1138250</v>
      </c>
      <c r="I250" s="17">
        <f>IF(Trabajos!H250&lt;&gt;"",F250-F250*G250,"")</f>
        <v>186351.9</v>
      </c>
      <c r="J250" s="16">
        <f>IF(Trabajos!H250&lt;&gt;"",H250*0.55,"")</f>
        <v>626037.5</v>
      </c>
      <c r="K250" s="16">
        <f>IF(Trabajos!H250&lt;&gt;"",H250*0.45,"")</f>
        <v>512212.5</v>
      </c>
      <c r="L250" s="16" t="str">
        <f>IF(Trabajos!L250="","",Trabajos!L250)</f>
        <v>Paco</v>
      </c>
    </row>
    <row r="251" spans="2:12" x14ac:dyDescent="0.25">
      <c r="B251" s="52">
        <f>IF(Trabajos!B251="","",Trabajos!B251)</f>
        <v>45974</v>
      </c>
      <c r="C251" s="53" t="str">
        <f>IF(Trabajos!F251="","",Trabajos!F251)</f>
        <v>Espartina S.A.</v>
      </c>
      <c r="D251" s="54" t="str">
        <f>IF(Trabajos!D251="","",Trabajos!D251)</f>
        <v>Aplicación de cebos</v>
      </c>
      <c r="E251" s="17">
        <f>IF(Trabajos!J251="","",Trabajos!J251)</f>
        <v>1373557.5</v>
      </c>
      <c r="F251" s="17">
        <f>IF(Trabajos!O251="","",Trabajos!O251)</f>
        <v>31692.5</v>
      </c>
      <c r="G251" s="7"/>
      <c r="H251" s="17">
        <f>IF(Trabajos!H251&lt;&gt;"",E251-E251*G251,"")</f>
        <v>1373557.5</v>
      </c>
      <c r="I251" s="17">
        <f>IF(Trabajos!H251&lt;&gt;"",F251-F251*G251,"")</f>
        <v>31692.5</v>
      </c>
      <c r="J251" s="16">
        <f>IF(Trabajos!H251&lt;&gt;"",H251*0.55,"")</f>
        <v>755456.62500000012</v>
      </c>
      <c r="K251" s="16">
        <f>IF(Trabajos!H251&lt;&gt;"",H251*0.45,"")</f>
        <v>618100.875</v>
      </c>
      <c r="L251" s="16" t="str">
        <f>IF(Trabajos!L251="","",Trabajos!L251)</f>
        <v>Tomas</v>
      </c>
    </row>
    <row r="252" spans="2:12" x14ac:dyDescent="0.25">
      <c r="B252" s="52">
        <f>IF(Trabajos!B252="","",Trabajos!B252)</f>
        <v>45974</v>
      </c>
      <c r="C252" s="53" t="str">
        <f>IF(Trabajos!F252="","",Trabajos!F252)</f>
        <v>Espartina S.A.</v>
      </c>
      <c r="D252" s="54" t="str">
        <f>IF(Trabajos!D252="","",Trabajos!D252)</f>
        <v>Aplicación de cebos</v>
      </c>
      <c r="E252" s="17">
        <f>IF(Trabajos!J252="","",Trabajos!J252)</f>
        <v>870000</v>
      </c>
      <c r="F252" s="17">
        <f>IF(Trabajos!O252="","",Trabajos!O252)</f>
        <v>164801</v>
      </c>
      <c r="G252" s="7"/>
      <c r="H252" s="17">
        <f>IF(Trabajos!H252&lt;&gt;"",E252-E252*G252,"")</f>
        <v>870000</v>
      </c>
      <c r="I252" s="17">
        <f>IF(Trabajos!H252&lt;&gt;"",F252-F252*G252,"")</f>
        <v>164801</v>
      </c>
      <c r="J252" s="16">
        <f>IF(Trabajos!H252&lt;&gt;"",H252*0.55,"")</f>
        <v>478500.00000000006</v>
      </c>
      <c r="K252" s="16">
        <f>IF(Trabajos!H252&lt;&gt;"",H252*0.45,"")</f>
        <v>391500</v>
      </c>
      <c r="L252" s="16" t="str">
        <f>IF(Trabajos!L252="","",Trabajos!L252)</f>
        <v>Zoom</v>
      </c>
    </row>
    <row r="253" spans="2:12" x14ac:dyDescent="0.25">
      <c r="B253" s="52">
        <f>IF(Trabajos!B253="","",Trabajos!B253)</f>
        <v>45974</v>
      </c>
      <c r="C253" s="53" t="str">
        <f>IF(Trabajos!F253="","",Trabajos!F253)</f>
        <v>Espartina S.A.</v>
      </c>
      <c r="D253" s="54" t="str">
        <f>IF(Trabajos!D253="","",Trabajos!D253)</f>
        <v>Monitoreo de bb y bab</v>
      </c>
      <c r="E253" s="17">
        <f>IF(Trabajos!J253="","",Trabajos!J253)</f>
        <v>1761750</v>
      </c>
      <c r="F253" s="17">
        <f>IF(Trabajos!O253="","",Trabajos!O253)</f>
        <v>187619.6</v>
      </c>
      <c r="G253" s="7"/>
      <c r="H253" s="17">
        <f>IF(Trabajos!H253&lt;&gt;"",E253-E253*G253,"")</f>
        <v>1761750</v>
      </c>
      <c r="I253" s="17">
        <f>IF(Trabajos!H253&lt;&gt;"",F253-F253*G253,"")</f>
        <v>187619.6</v>
      </c>
      <c r="J253" s="16">
        <f>IF(Trabajos!H253&lt;&gt;"",H253*0.55,"")</f>
        <v>968962.50000000012</v>
      </c>
      <c r="K253" s="16">
        <f>IF(Trabajos!H253&lt;&gt;"",H253*0.45,"")</f>
        <v>792787.5</v>
      </c>
      <c r="L253" s="16" t="str">
        <f>IF(Trabajos!L253="","",Trabajos!L253)</f>
        <v>Zoom</v>
      </c>
    </row>
    <row r="254" spans="2:12" x14ac:dyDescent="0.25">
      <c r="B254" s="52">
        <f>IF(Trabajos!B254="","",Trabajos!B254)</f>
        <v>45974</v>
      </c>
      <c r="C254" s="53" t="str">
        <f>IF(Trabajos!F254="","",Trabajos!F254)</f>
        <v>Espartina S.A.</v>
      </c>
      <c r="D254" s="54" t="str">
        <f>IF(Trabajos!D254="","",Trabajos!D254)</f>
        <v>Monitoreo de bb y bab</v>
      </c>
      <c r="E254" s="17">
        <f>IF(Trabajos!J254="","",Trabajos!J254)</f>
        <v>420862.5</v>
      </c>
      <c r="F254" s="17">
        <f>IF(Trabajos!O254="","",Trabajos!O254)</f>
        <v>103951.40000000001</v>
      </c>
      <c r="G254" s="7"/>
      <c r="H254" s="17">
        <f>IF(Trabajos!H254&lt;&gt;"",E254-E254*G254,"")</f>
        <v>420862.5</v>
      </c>
      <c r="I254" s="17">
        <f>IF(Trabajos!H254&lt;&gt;"",F254-F254*G254,"")</f>
        <v>103951.40000000001</v>
      </c>
      <c r="J254" s="16">
        <f>IF(Trabajos!H254&lt;&gt;"",H254*0.55,"")</f>
        <v>231474.37500000003</v>
      </c>
      <c r="K254" s="16">
        <f>IF(Trabajos!H254&lt;&gt;"",H254*0.45,"")</f>
        <v>189388.125</v>
      </c>
      <c r="L254" s="16" t="str">
        <f>IF(Trabajos!L254="","",Trabajos!L254)</f>
        <v>Zoom</v>
      </c>
    </row>
    <row r="255" spans="2:12" x14ac:dyDescent="0.25">
      <c r="B255" s="52">
        <f>IF(Trabajos!B255="","",Trabajos!B255)</f>
        <v>45974</v>
      </c>
      <c r="C255" s="53" t="str">
        <f>IF(Trabajos!F255="","",Trabajos!F255)</f>
        <v>Cofina Agro</v>
      </c>
      <c r="D255" s="54" t="str">
        <f>IF(Trabajos!D255="","",Trabajos!D255)</f>
        <v>Aplicación de cebos</v>
      </c>
      <c r="E255" s="17">
        <f>IF(Trabajos!J255="","",Trabajos!J255)</f>
        <v>268712.5</v>
      </c>
      <c r="F255" s="17">
        <f>IF(Trabajos!O255="","",Trabajos!O255)</f>
        <v>40300</v>
      </c>
      <c r="G255" s="7"/>
      <c r="H255" s="17">
        <f>IF(Trabajos!H255&lt;&gt;"",E255-E255*G255,"")</f>
        <v>268712.5</v>
      </c>
      <c r="I255" s="17">
        <f>IF(Trabajos!H255&lt;&gt;"",F255-F255*G255,"")</f>
        <v>40300</v>
      </c>
      <c r="J255" s="16">
        <f>IF(Trabajos!H255&lt;&gt;"",H255*0.55,"")</f>
        <v>147791.875</v>
      </c>
      <c r="K255" s="16">
        <f>IF(Trabajos!H255&lt;&gt;"",H255*0.45,"")</f>
        <v>120920.625</v>
      </c>
      <c r="L255" s="16" t="str">
        <f>IF(Trabajos!L255="","",Trabajos!L255)</f>
        <v>Zoom</v>
      </c>
    </row>
    <row r="256" spans="2:12" x14ac:dyDescent="0.25">
      <c r="B256" s="52">
        <f>IF(Trabajos!B256="","",Trabajos!B256)</f>
        <v>45975</v>
      </c>
      <c r="C256" s="53" t="str">
        <f>IF(Trabajos!F256="","",Trabajos!F256)</f>
        <v>Espartina S.A.</v>
      </c>
      <c r="D256" s="54" t="str">
        <f>IF(Trabajos!D256="","",Trabajos!D256)</f>
        <v>Aplicación de cebos</v>
      </c>
      <c r="E256" s="17">
        <f>IF(Trabajos!J256="","",Trabajos!J256)</f>
        <v>710500</v>
      </c>
      <c r="F256" s="17">
        <f>IF(Trabajos!O256="","",Trabajos!O256)</f>
        <v>186351.9</v>
      </c>
      <c r="G256" s="7"/>
      <c r="H256" s="17">
        <f>IF(Trabajos!H256&lt;&gt;"",E256-E256*G256,"")</f>
        <v>710500</v>
      </c>
      <c r="I256" s="17">
        <f>IF(Trabajos!H256&lt;&gt;"",F256-F256*G256,"")</f>
        <v>186351.9</v>
      </c>
      <c r="J256" s="16">
        <f>IF(Trabajos!H256&lt;&gt;"",H256*0.55,"")</f>
        <v>390775.00000000006</v>
      </c>
      <c r="K256" s="16">
        <f>IF(Trabajos!H256&lt;&gt;"",H256*0.45,"")</f>
        <v>319725</v>
      </c>
      <c r="L256" s="16" t="str">
        <f>IF(Trabajos!L256="","",Trabajos!L256)</f>
        <v>Paco</v>
      </c>
    </row>
    <row r="257" spans="2:12" x14ac:dyDescent="0.25">
      <c r="B257" s="52">
        <f>IF(Trabajos!B257="","",Trabajos!B257)</f>
        <v>45975</v>
      </c>
      <c r="C257" s="53" t="str">
        <f>IF(Trabajos!F257="","",Trabajos!F257)</f>
        <v>Carlos Fernando Fuertes</v>
      </c>
      <c r="D257" s="54" t="str">
        <f>IF(Trabajos!D257="","",Trabajos!D257)</f>
        <v>Aplicación de cebos</v>
      </c>
      <c r="E257" s="17">
        <f>IF(Trabajos!J257="","",Trabajos!J257)</f>
        <v>841800</v>
      </c>
      <c r="F257" s="17">
        <f>IF(Trabajos!O257="","",Trabajos!O257)</f>
        <v>0</v>
      </c>
      <c r="G257" s="7"/>
      <c r="H257" s="17">
        <f>IF(Trabajos!H257&lt;&gt;"",E257-E257*G257,"")</f>
        <v>841800</v>
      </c>
      <c r="I257" s="17">
        <f>IF(Trabajos!H257&lt;&gt;"",F257-F257*G257,"")</f>
        <v>0</v>
      </c>
      <c r="J257" s="16">
        <f>IF(Trabajos!H257&lt;&gt;"",H257*0.55,"")</f>
        <v>462990.00000000006</v>
      </c>
      <c r="K257" s="16">
        <f>IF(Trabajos!H257&lt;&gt;"",H257*0.45,"")</f>
        <v>378810</v>
      </c>
      <c r="L257" s="16" t="str">
        <f>IF(Trabajos!L257="","",Trabajos!L257)</f>
        <v>Tomas</v>
      </c>
    </row>
    <row r="258" spans="2:12" x14ac:dyDescent="0.25">
      <c r="B258" s="52">
        <f>IF(Trabajos!B258="","",Trabajos!B258)</f>
        <v>45975</v>
      </c>
      <c r="C258" s="53" t="str">
        <f>IF(Trabajos!F258="","",Trabajos!F258)</f>
        <v>Espartina S.A.</v>
      </c>
      <c r="D258" s="54" t="str">
        <f>IF(Trabajos!D258="","",Trabajos!D258)</f>
        <v>Aplicación de cebos</v>
      </c>
      <c r="E258" s="17">
        <f>IF(Trabajos!J258="","",Trabajos!J258)</f>
        <v>971500</v>
      </c>
      <c r="F258" s="17">
        <f>IF(Trabajos!O258="","",Trabajos!O258)</f>
        <v>76062</v>
      </c>
      <c r="G258" s="7"/>
      <c r="H258" s="17">
        <f>IF(Trabajos!H258&lt;&gt;"",E258-E258*G258,"")</f>
        <v>971500</v>
      </c>
      <c r="I258" s="17">
        <f>IF(Trabajos!H258&lt;&gt;"",F258-F258*G258,"")</f>
        <v>76062</v>
      </c>
      <c r="J258" s="16">
        <f>IF(Trabajos!H258&lt;&gt;"",H258*0.55,"")</f>
        <v>534325</v>
      </c>
      <c r="K258" s="16">
        <f>IF(Trabajos!H258&lt;&gt;"",H258*0.45,"")</f>
        <v>437175</v>
      </c>
      <c r="L258" s="16" t="str">
        <f>IF(Trabajos!L258="","",Trabajos!L258)</f>
        <v>Zoom</v>
      </c>
    </row>
    <row r="259" spans="2:12" x14ac:dyDescent="0.25">
      <c r="B259" s="52">
        <f>IF(Trabajos!B259="","",Trabajos!B259)</f>
        <v>45975</v>
      </c>
      <c r="C259" s="53" t="str">
        <f>IF(Trabajos!F259="","",Trabajos!F259)</f>
        <v>Espartina S.A.</v>
      </c>
      <c r="D259" s="54" t="str">
        <f>IF(Trabajos!D259="","",Trabajos!D259)</f>
        <v>Aplicación de cebos</v>
      </c>
      <c r="E259" s="17">
        <f>IF(Trabajos!J259="","",Trabajos!J259)</f>
        <v>783000</v>
      </c>
      <c r="F259" s="17">
        <f>IF(Trabajos!O259="","",Trabajos!O259)</f>
        <v>76062</v>
      </c>
      <c r="G259" s="7"/>
      <c r="H259" s="17">
        <f>IF(Trabajos!H259&lt;&gt;"",E259-E259*G259,"")</f>
        <v>783000</v>
      </c>
      <c r="I259" s="17">
        <f>IF(Trabajos!H259&lt;&gt;"",F259-F259*G259,"")</f>
        <v>76062</v>
      </c>
      <c r="J259" s="16">
        <f>IF(Trabajos!H259&lt;&gt;"",H259*0.55,"")</f>
        <v>430650.00000000006</v>
      </c>
      <c r="K259" s="16">
        <f>IF(Trabajos!H259&lt;&gt;"",H259*0.45,"")</f>
        <v>352350</v>
      </c>
      <c r="L259" s="16" t="str">
        <f>IF(Trabajos!L259="","",Trabajos!L259)</f>
        <v>Zoom</v>
      </c>
    </row>
    <row r="260" spans="2:12" x14ac:dyDescent="0.25">
      <c r="B260" s="52">
        <f>IF(Trabajos!B260="","",Trabajos!B260)</f>
        <v>45975</v>
      </c>
      <c r="C260" s="53" t="str">
        <f>IF(Trabajos!F260="","",Trabajos!F260)</f>
        <v>Espartina S.A.</v>
      </c>
      <c r="D260" s="54" t="str">
        <f>IF(Trabajos!D260="","",Trabajos!D260)</f>
        <v>Aplicación de cebos</v>
      </c>
      <c r="E260" s="17">
        <f>IF(Trabajos!J260="","",Trabajos!J260)</f>
        <v>297967.5</v>
      </c>
      <c r="F260" s="17">
        <f>IF(Trabajos!O260="","",Trabajos!O260)</f>
        <v>109022.2</v>
      </c>
      <c r="G260" s="7"/>
      <c r="H260" s="17">
        <f>IF(Trabajos!H260&lt;&gt;"",E260-E260*G260,"")</f>
        <v>297967.5</v>
      </c>
      <c r="I260" s="17">
        <f>IF(Trabajos!H260&lt;&gt;"",F260-F260*G260,"")</f>
        <v>109022.2</v>
      </c>
      <c r="J260" s="16">
        <f>IF(Trabajos!H260&lt;&gt;"",H260*0.55,"")</f>
        <v>163882.125</v>
      </c>
      <c r="K260" s="16">
        <f>IF(Trabajos!H260&lt;&gt;"",H260*0.45,"")</f>
        <v>134085.375</v>
      </c>
      <c r="L260" s="16" t="str">
        <f>IF(Trabajos!L260="","",Trabajos!L260)</f>
        <v>Zoom</v>
      </c>
    </row>
    <row r="261" spans="2:12" x14ac:dyDescent="0.25">
      <c r="B261" s="52">
        <f>IF(Trabajos!B261="","",Trabajos!B261)</f>
        <v>45975</v>
      </c>
      <c r="C261" s="53" t="str">
        <f>IF(Trabajos!F261="","",Trabajos!F261)</f>
        <v>Espartina S.A.</v>
      </c>
      <c r="D261" s="54" t="str">
        <f>IF(Trabajos!D261="","",Trabajos!D261)</f>
        <v>Aplicación de cebos</v>
      </c>
      <c r="E261" s="17">
        <f>IF(Trabajos!J261="","",Trabajos!J261)</f>
        <v>392445</v>
      </c>
      <c r="F261" s="17">
        <f>IF(Trabajos!O261="","",Trabajos!O261)</f>
        <v>96345.2</v>
      </c>
      <c r="G261" s="7"/>
      <c r="H261" s="17">
        <f>IF(Trabajos!H261&lt;&gt;"",E261-E261*G261,"")</f>
        <v>392445</v>
      </c>
      <c r="I261" s="17">
        <f>IF(Trabajos!H261&lt;&gt;"",F261-F261*G261,"")</f>
        <v>96345.2</v>
      </c>
      <c r="J261" s="16">
        <f>IF(Trabajos!H261&lt;&gt;"",H261*0.55,"")</f>
        <v>215844.75000000003</v>
      </c>
      <c r="K261" s="16">
        <f>IF(Trabajos!H261&lt;&gt;"",H261*0.45,"")</f>
        <v>176600.25</v>
      </c>
      <c r="L261" s="16" t="str">
        <f>IF(Trabajos!L261="","",Trabajos!L261)</f>
        <v>Zoom</v>
      </c>
    </row>
    <row r="262" spans="2:12" x14ac:dyDescent="0.25">
      <c r="B262" s="52">
        <f>IF(Trabajos!B262="","",Trabajos!B262)</f>
        <v>45975</v>
      </c>
      <c r="C262" s="53" t="str">
        <f>IF(Trabajos!F262="","",Trabajos!F262)</f>
        <v>Espartina S.A.</v>
      </c>
      <c r="D262" s="54" t="str">
        <f>IF(Trabajos!D262="","",Trabajos!D262)</f>
        <v>Monitoreo de bb y bab</v>
      </c>
      <c r="E262" s="17">
        <f>IF(Trabajos!J262="","",Trabajos!J262)</f>
        <v>732562.88</v>
      </c>
      <c r="F262" s="17">
        <f>IF(Trabajos!O262="","",Trabajos!O262)</f>
        <v>120431.5</v>
      </c>
      <c r="G262" s="7"/>
      <c r="H262" s="17">
        <f>IF(Trabajos!H262&lt;&gt;"",E262-E262*G262,"")</f>
        <v>732562.88</v>
      </c>
      <c r="I262" s="17">
        <f>IF(Trabajos!H262&lt;&gt;"",F262-F262*G262,"")</f>
        <v>120431.5</v>
      </c>
      <c r="J262" s="16">
        <f>IF(Trabajos!H262&lt;&gt;"",H262*0.55,"")</f>
        <v>402909.58400000003</v>
      </c>
      <c r="K262" s="16">
        <f>IF(Trabajos!H262&lt;&gt;"",H262*0.45,"")</f>
        <v>329653.29600000003</v>
      </c>
      <c r="L262" s="16" t="str">
        <f>IF(Trabajos!L262="","",Trabajos!L262)</f>
        <v>Zoom</v>
      </c>
    </row>
    <row r="263" spans="2:12" x14ac:dyDescent="0.25">
      <c r="B263" s="52">
        <f>IF(Trabajos!B263="","",Trabajos!B263)</f>
        <v>45976</v>
      </c>
      <c r="C263" s="53" t="str">
        <f>IF(Trabajos!F263="","",Trabajos!F263)</f>
        <v>Espartina S.A.</v>
      </c>
      <c r="D263" s="54" t="str">
        <f>IF(Trabajos!D263="","",Trabajos!D263)</f>
        <v>Monitoreo de bb y bab</v>
      </c>
      <c r="E263" s="17">
        <f>IF(Trabajos!J263="","",Trabajos!J263)</f>
        <v>225655.53</v>
      </c>
      <c r="F263" s="17">
        <f>IF(Trabajos!O263="","",Trabajos!O263)</f>
        <v>107754.5</v>
      </c>
      <c r="G263" s="7"/>
      <c r="H263" s="17">
        <f>IF(Trabajos!H263&lt;&gt;"",E263-E263*G263,"")</f>
        <v>225655.53</v>
      </c>
      <c r="I263" s="17">
        <f>IF(Trabajos!H263&lt;&gt;"",F263-F263*G263,"")</f>
        <v>107754.5</v>
      </c>
      <c r="J263" s="16">
        <f>IF(Trabajos!H263&lt;&gt;"",H263*0.55,"")</f>
        <v>124110.54150000001</v>
      </c>
      <c r="K263" s="16">
        <f>IF(Trabajos!H263&lt;&gt;"",H263*0.45,"")</f>
        <v>101544.98850000001</v>
      </c>
      <c r="L263" s="16" t="str">
        <f>IF(Trabajos!L263="","",Trabajos!L263)</f>
        <v>Zoom</v>
      </c>
    </row>
    <row r="264" spans="2:12" x14ac:dyDescent="0.25">
      <c r="B264" s="52">
        <f>IF(Trabajos!B264="","",Trabajos!B264)</f>
        <v>45975</v>
      </c>
      <c r="C264" s="53" t="str">
        <f>IF(Trabajos!F264="","",Trabajos!F264)</f>
        <v>Espartina S.A.</v>
      </c>
      <c r="D264" s="54" t="str">
        <f>IF(Trabajos!D264="","",Trabajos!D264)</f>
        <v>Aplicación de cebos</v>
      </c>
      <c r="E264" s="17">
        <f>IF(Trabajos!J264="","",Trabajos!J264)</f>
        <v>101500</v>
      </c>
      <c r="F264" s="17">
        <f>IF(Trabajos!O264="","",Trabajos!O264)</f>
        <v>207902.80000000002</v>
      </c>
      <c r="G264" s="7"/>
      <c r="H264" s="17">
        <f>IF(Trabajos!H264&lt;&gt;"",E264-E264*G264,"")</f>
        <v>101500</v>
      </c>
      <c r="I264" s="17">
        <f>IF(Trabajos!H264&lt;&gt;"",F264-F264*G264,"")</f>
        <v>207902.80000000002</v>
      </c>
      <c r="J264" s="16">
        <f>IF(Trabajos!H264&lt;&gt;"",H264*0.55,"")</f>
        <v>55825.000000000007</v>
      </c>
      <c r="K264" s="16">
        <f>IF(Trabajos!H264&lt;&gt;"",H264*0.45,"")</f>
        <v>45675</v>
      </c>
      <c r="L264" s="16" t="str">
        <f>IF(Trabajos!L264="","",Trabajos!L264)</f>
        <v>Paco</v>
      </c>
    </row>
    <row r="265" spans="2:12" x14ac:dyDescent="0.25">
      <c r="B265" s="52">
        <f>IF(Trabajos!B265="","",Trabajos!B265)</f>
        <v>45976</v>
      </c>
      <c r="C265" s="53" t="str">
        <f>IF(Trabajos!F265="","",Trabajos!F265)</f>
        <v>Espartina S.A.</v>
      </c>
      <c r="D265" s="54" t="str">
        <f>IF(Trabajos!D265="","",Trabajos!D265)</f>
        <v>Aplicación de cebos</v>
      </c>
      <c r="E265" s="17">
        <f>IF(Trabajos!J265="","",Trabajos!J265)</f>
        <v>872100</v>
      </c>
      <c r="F265" s="17">
        <f>IF(Trabajos!O265="","",Trabajos!O265)</f>
        <v>31692.5</v>
      </c>
      <c r="G265" s="7"/>
      <c r="H265" s="17">
        <f>IF(Trabajos!H265&lt;&gt;"",E265-E265*G265,"")</f>
        <v>872100</v>
      </c>
      <c r="I265" s="17">
        <f>IF(Trabajos!H265&lt;&gt;"",F265-F265*G265,"")</f>
        <v>31692.5</v>
      </c>
      <c r="J265" s="16">
        <f>IF(Trabajos!H265&lt;&gt;"",H265*0.55,"")</f>
        <v>479655.00000000006</v>
      </c>
      <c r="K265" s="16">
        <f>IF(Trabajos!H265&lt;&gt;"",H265*0.45,"")</f>
        <v>392445</v>
      </c>
      <c r="L265" s="16" t="str">
        <f>IF(Trabajos!L265="","",Trabajos!L265)</f>
        <v>Tomas</v>
      </c>
    </row>
    <row r="266" spans="2:12" x14ac:dyDescent="0.25">
      <c r="B266" s="52">
        <f>IF(Trabajos!B266="","",Trabajos!B266)</f>
        <v>45976</v>
      </c>
      <c r="C266" s="53" t="str">
        <f>IF(Trabajos!F266="","",Trabajos!F266)</f>
        <v>Espartina S.A.</v>
      </c>
      <c r="D266" s="54" t="str">
        <f>IF(Trabajos!D266="","",Trabajos!D266)</f>
        <v>Aplicación de cebos</v>
      </c>
      <c r="E266" s="17">
        <f>IF(Trabajos!J266="","",Trabajos!J266)</f>
        <v>1308150</v>
      </c>
      <c r="F266" s="17">
        <f>IF(Trabajos!O266="","",Trabajos!O266)</f>
        <v>131840.80000000002</v>
      </c>
      <c r="G266" s="7"/>
      <c r="H266" s="17">
        <f>IF(Trabajos!H266&lt;&gt;"",E266-E266*G266,"")</f>
        <v>1308150</v>
      </c>
      <c r="I266" s="17">
        <f>IF(Trabajos!H266&lt;&gt;"",F266-F266*G266,"")</f>
        <v>131840.80000000002</v>
      </c>
      <c r="J266" s="16">
        <f>IF(Trabajos!H266&lt;&gt;"",H266*0.55,"")</f>
        <v>719482.5</v>
      </c>
      <c r="K266" s="16">
        <f>IF(Trabajos!H266&lt;&gt;"",H266*0.45,"")</f>
        <v>588667.5</v>
      </c>
      <c r="L266" s="16" t="str">
        <f>IF(Trabajos!L266="","",Trabajos!L266)</f>
        <v>Zoom</v>
      </c>
    </row>
    <row r="267" spans="2:12" x14ac:dyDescent="0.25">
      <c r="B267" s="52">
        <f>IF(Trabajos!B267="","",Trabajos!B267)</f>
        <v>45976</v>
      </c>
      <c r="C267" s="53" t="str">
        <f>IF(Trabajos!F267="","",Trabajos!F267)</f>
        <v>Espartina S.A.</v>
      </c>
      <c r="D267" s="54" t="str">
        <f>IF(Trabajos!D267="","",Trabajos!D267)</f>
        <v>Monitoreo de bb y bab</v>
      </c>
      <c r="E267" s="17">
        <f>IF(Trabajos!J267="","",Trabajos!J267)</f>
        <v>619875</v>
      </c>
      <c r="F267" s="17">
        <f>IF(Trabajos!O267="","",Trabajos!O267)</f>
        <v>101416</v>
      </c>
      <c r="G267" s="7"/>
      <c r="H267" s="17">
        <f>IF(Trabajos!H267&lt;&gt;"",E267-E267*G267,"")</f>
        <v>619875</v>
      </c>
      <c r="I267" s="17">
        <f>IF(Trabajos!H267&lt;&gt;"",F267-F267*G267,"")</f>
        <v>101416</v>
      </c>
      <c r="J267" s="16">
        <f>IF(Trabajos!H267&lt;&gt;"",H267*0.55,"")</f>
        <v>340931.25</v>
      </c>
      <c r="K267" s="16">
        <f>IF(Trabajos!H267&lt;&gt;"",H267*0.45,"")</f>
        <v>278943.75</v>
      </c>
      <c r="L267" s="16" t="str">
        <f>IF(Trabajos!L267="","",Trabajos!L267)</f>
        <v>Zoom</v>
      </c>
    </row>
    <row r="268" spans="2:12" x14ac:dyDescent="0.25">
      <c r="B268" s="52">
        <f>IF(Trabajos!B268="","",Trabajos!B268)</f>
        <v>45976</v>
      </c>
      <c r="C268" s="53" t="str">
        <f>IF(Trabajos!F268="","",Trabajos!F268)</f>
        <v>Espartina S.A.</v>
      </c>
      <c r="D268" s="54" t="str">
        <f>IF(Trabajos!D268="","",Trabajos!D268)</f>
        <v>Monitoreo de bb y bab</v>
      </c>
      <c r="E268" s="17">
        <f>IF(Trabajos!J268="","",Trabajos!J268)</f>
        <v>583987.5</v>
      </c>
      <c r="F268" s="17">
        <f>IF(Trabajos!O268="","",Trabajos!O268)</f>
        <v>207902.80000000002</v>
      </c>
      <c r="G268" s="7"/>
      <c r="H268" s="17">
        <f>IF(Trabajos!H268&lt;&gt;"",E268-E268*G268,"")</f>
        <v>583987.5</v>
      </c>
      <c r="I268" s="17">
        <f>IF(Trabajos!H268&lt;&gt;"",F268-F268*G268,"")</f>
        <v>207902.80000000002</v>
      </c>
      <c r="J268" s="16">
        <f>IF(Trabajos!H268&lt;&gt;"",H268*0.55,"")</f>
        <v>321193.125</v>
      </c>
      <c r="K268" s="16">
        <f>IF(Trabajos!H268&lt;&gt;"",H268*0.45,"")</f>
        <v>262794.375</v>
      </c>
      <c r="L268" s="16" t="str">
        <f>IF(Trabajos!L268="","",Trabajos!L268)</f>
        <v>Zoom</v>
      </c>
    </row>
    <row r="269" spans="2:12" x14ac:dyDescent="0.25">
      <c r="B269" s="52">
        <f>IF(Trabajos!B269="","",Trabajos!B269)</f>
        <v>45978</v>
      </c>
      <c r="C269" s="53" t="str">
        <f>IF(Trabajos!F269="","",Trabajos!F269)</f>
        <v>Espartina S.A.</v>
      </c>
      <c r="D269" s="54" t="str">
        <f>IF(Trabajos!D269="","",Trabajos!D269)</f>
        <v>Aplicación de cebos</v>
      </c>
      <c r="E269" s="17">
        <f>IF(Trabajos!J269="","",Trabajos!J269)</f>
        <v>478500</v>
      </c>
      <c r="F269" s="17">
        <f>IF(Trabajos!O269="","",Trabajos!O269)</f>
        <v>164801</v>
      </c>
      <c r="G269" s="7"/>
      <c r="H269" s="17">
        <f>IF(Trabajos!H269&lt;&gt;"",E269-E269*G269,"")</f>
        <v>478500</v>
      </c>
      <c r="I269" s="17">
        <f>IF(Trabajos!H269&lt;&gt;"",F269-F269*G269,"")</f>
        <v>164801</v>
      </c>
      <c r="J269" s="16">
        <f>IF(Trabajos!H269&lt;&gt;"",H269*0.55,"")</f>
        <v>263175</v>
      </c>
      <c r="K269" s="16">
        <f>IF(Trabajos!H269&lt;&gt;"",H269*0.45,"")</f>
        <v>215325</v>
      </c>
      <c r="L269" s="16" t="str">
        <f>IF(Trabajos!L269="","",Trabajos!L269)</f>
        <v>Zoom</v>
      </c>
    </row>
    <row r="270" spans="2:12" x14ac:dyDescent="0.25">
      <c r="B270" s="52">
        <f>IF(Trabajos!B270="","",Trabajos!B270)</f>
        <v>45979</v>
      </c>
      <c r="C270" s="53" t="str">
        <f>IF(Trabajos!F270="","",Trabajos!F270)</f>
        <v>Espartina S.A.</v>
      </c>
      <c r="D270" s="54" t="str">
        <f>IF(Trabajos!D270="","",Trabajos!D270)</f>
        <v>Monitoreo de bb y bab</v>
      </c>
      <c r="E270" s="17">
        <f>IF(Trabajos!J270="","",Trabajos!J270)</f>
        <v>909162.86</v>
      </c>
      <c r="F270" s="17">
        <f>IF(Trabajos!O270="","",Trabajos!O270)</f>
        <v>74160.45</v>
      </c>
      <c r="G270" s="7"/>
      <c r="H270" s="17">
        <f>IF(Trabajos!H270&lt;&gt;"",E270-E270*G270,"")</f>
        <v>909162.86</v>
      </c>
      <c r="I270" s="17">
        <f>IF(Trabajos!H270&lt;&gt;"",F270-F270*G270,"")</f>
        <v>74160.45</v>
      </c>
      <c r="J270" s="16">
        <f>IF(Trabajos!H270&lt;&gt;"",H270*0.55,"")</f>
        <v>500039.57300000003</v>
      </c>
      <c r="K270" s="16">
        <f>IF(Trabajos!H270&lt;&gt;"",H270*0.45,"")</f>
        <v>409123.28700000001</v>
      </c>
      <c r="L270" s="16" t="str">
        <f>IF(Trabajos!L270="","",Trabajos!L270)</f>
        <v>Zoom</v>
      </c>
    </row>
    <row r="271" spans="2:12" x14ac:dyDescent="0.25">
      <c r="B271" s="52">
        <f>IF(Trabajos!B271="","",Trabajos!B271)</f>
        <v>45979</v>
      </c>
      <c r="C271" s="53" t="str">
        <f>IF(Trabajos!F271="","",Trabajos!F271)</f>
        <v>Espartina S.A.</v>
      </c>
      <c r="D271" s="54" t="str">
        <f>IF(Trabajos!D271="","",Trabajos!D271)</f>
        <v>Aplicación de cebos</v>
      </c>
      <c r="E271" s="17">
        <f>IF(Trabajos!J271="","",Trabajos!J271)</f>
        <v>1279080</v>
      </c>
      <c r="F271" s="17">
        <f>IF(Trabajos!O271="","",Trabajos!O271)</f>
        <v>38031</v>
      </c>
      <c r="G271" s="7"/>
      <c r="H271" s="17">
        <f>IF(Trabajos!H271&lt;&gt;"",E271-E271*G271,"")</f>
        <v>1279080</v>
      </c>
      <c r="I271" s="17">
        <f>IF(Trabajos!H271&lt;&gt;"",F271-F271*G271,"")</f>
        <v>38031</v>
      </c>
      <c r="J271" s="16">
        <f>IF(Trabajos!H271&lt;&gt;"",H271*0.55,"")</f>
        <v>703494</v>
      </c>
      <c r="K271" s="16">
        <f>IF(Trabajos!H271&lt;&gt;"",H271*0.45,"")</f>
        <v>575586</v>
      </c>
      <c r="L271" s="16" t="str">
        <f>IF(Trabajos!L271="","",Trabajos!L271)</f>
        <v>Paco</v>
      </c>
    </row>
    <row r="272" spans="2:12" x14ac:dyDescent="0.25">
      <c r="B272" s="52">
        <f>IF(Trabajos!B272="","",Trabajos!B272)</f>
        <v>45979</v>
      </c>
      <c r="C272" s="53" t="str">
        <f>IF(Trabajos!F272="","",Trabajos!F272)</f>
        <v>Cía. de Tierras Sud Argentino S.A.</v>
      </c>
      <c r="D272" s="54" t="str">
        <f>IF(Trabajos!D272="","",Trabajos!D272)</f>
        <v>Aplicación de cebos</v>
      </c>
      <c r="E272" s="17">
        <f>IF(Trabajos!J272="","",Trabajos!J272)</f>
        <v>1417162.5</v>
      </c>
      <c r="F272" s="17">
        <f>IF(Trabajos!O272="","",Trabajos!O272)</f>
        <v>32500</v>
      </c>
      <c r="G272" s="7"/>
      <c r="H272" s="17">
        <f>IF(Trabajos!H272&lt;&gt;"",E272-E272*G272,"")</f>
        <v>1417162.5</v>
      </c>
      <c r="I272" s="17">
        <f>IF(Trabajos!H272&lt;&gt;"",F272-F272*G272,"")</f>
        <v>32500</v>
      </c>
      <c r="J272" s="16">
        <f>IF(Trabajos!H272&lt;&gt;"",H272*0.55,"")</f>
        <v>779439.37500000012</v>
      </c>
      <c r="K272" s="16">
        <f>IF(Trabajos!H272&lt;&gt;"",H272*0.45,"")</f>
        <v>637723.125</v>
      </c>
      <c r="L272" s="16" t="str">
        <f>IF(Trabajos!L272="","",Trabajos!L272)</f>
        <v>Tomas</v>
      </c>
    </row>
    <row r="273" spans="2:12" x14ac:dyDescent="0.25">
      <c r="B273" s="52">
        <f>IF(Trabajos!B273="","",Trabajos!B273)</f>
        <v>45979</v>
      </c>
      <c r="C273" s="53" t="str">
        <f>IF(Trabajos!F273="","",Trabajos!F273)</f>
        <v>Piray Mini</v>
      </c>
      <c r="D273" s="54" t="str">
        <f>IF(Trabajos!D273="","",Trabajos!D273)</f>
        <v>Aplicación de cebos</v>
      </c>
      <c r="E273" s="17">
        <f>IF(Trabajos!J273="","",Trabajos!J273)</f>
        <v>660432.5</v>
      </c>
      <c r="F273" s="17">
        <f>IF(Trabajos!O273="","",Trabajos!O273)</f>
        <v>46800</v>
      </c>
      <c r="G273" s="7"/>
      <c r="H273" s="17">
        <f>IF(Trabajos!H273&lt;&gt;"",E273-E273*G273,"")</f>
        <v>660432.5</v>
      </c>
      <c r="I273" s="17">
        <f>IF(Trabajos!H273&lt;&gt;"",F273-F273*G273,"")</f>
        <v>46800</v>
      </c>
      <c r="J273" s="16">
        <f>IF(Trabajos!H273&lt;&gt;"",H273*0.55,"")</f>
        <v>363237.87500000006</v>
      </c>
      <c r="K273" s="16">
        <f>IF(Trabajos!H273&lt;&gt;"",H273*0.45,"")</f>
        <v>297194.625</v>
      </c>
      <c r="L273" s="16" t="str">
        <f>IF(Trabajos!L273="","",Trabajos!L273)</f>
        <v>Zoom</v>
      </c>
    </row>
    <row r="274" spans="2:12" x14ac:dyDescent="0.25">
      <c r="B274" s="52">
        <f>IF(Trabajos!B274="","",Trabajos!B274)</f>
        <v>45979</v>
      </c>
      <c r="C274" s="53" t="str">
        <f>IF(Trabajos!F274="","",Trabajos!F274)</f>
        <v>Espartina S.A.</v>
      </c>
      <c r="D274" s="54" t="str">
        <f>IF(Trabajos!D274="","",Trabajos!D274)</f>
        <v>Aplicación de cebos</v>
      </c>
      <c r="E274" s="17">
        <f>IF(Trabajos!J274="","",Trabajos!J274)</f>
        <v>703250</v>
      </c>
      <c r="F274" s="17">
        <f>IF(Trabajos!O274="","",Trabajos!O274)</f>
        <v>145785.5</v>
      </c>
      <c r="G274" s="7"/>
      <c r="H274" s="17">
        <f>IF(Trabajos!H274&lt;&gt;"",E274-E274*G274,"")</f>
        <v>703250</v>
      </c>
      <c r="I274" s="17">
        <f>IF(Trabajos!H274&lt;&gt;"",F274-F274*G274,"")</f>
        <v>145785.5</v>
      </c>
      <c r="J274" s="16">
        <f>IF(Trabajos!H274&lt;&gt;"",H274*0.55,"")</f>
        <v>386787.50000000006</v>
      </c>
      <c r="K274" s="16">
        <f>IF(Trabajos!H274&lt;&gt;"",H274*0.45,"")</f>
        <v>316462.5</v>
      </c>
      <c r="L274" s="16" t="str">
        <f>IF(Trabajos!L274="","",Trabajos!L274)</f>
        <v>Zoom</v>
      </c>
    </row>
    <row r="275" spans="2:12" x14ac:dyDescent="0.25">
      <c r="B275" s="52">
        <f>IF(Trabajos!B275="","",Trabajos!B275)</f>
        <v>45980</v>
      </c>
      <c r="C275" s="53" t="str">
        <f>IF(Trabajos!F275="","",Trabajos!F275)</f>
        <v>Cía. de Tierras Sud Argentino S.A.</v>
      </c>
      <c r="D275" s="54" t="str">
        <f>IF(Trabajos!D275="","",Trabajos!D275)</f>
        <v>Aplicación de cebos</v>
      </c>
      <c r="E275" s="17">
        <f>IF(Trabajos!J275="","",Trabajos!J275)</f>
        <v>1061055</v>
      </c>
      <c r="F275" s="17">
        <f>IF(Trabajos!O275="","",Trabajos!O275)</f>
        <v>32500</v>
      </c>
      <c r="G275" s="7"/>
      <c r="H275" s="17">
        <f>IF(Trabajos!H275&lt;&gt;"",E275-E275*G275,"")</f>
        <v>1061055</v>
      </c>
      <c r="I275" s="17">
        <f>IF(Trabajos!H275&lt;&gt;"",F275-F275*G275,"")</f>
        <v>32500</v>
      </c>
      <c r="J275" s="16">
        <f>IF(Trabajos!H275&lt;&gt;"",H275*0.55,"")</f>
        <v>583580.25</v>
      </c>
      <c r="K275" s="16">
        <f>IF(Trabajos!H275&lt;&gt;"",H275*0.45,"")</f>
        <v>477474.75</v>
      </c>
      <c r="L275" s="16" t="str">
        <f>IF(Trabajos!L275="","",Trabajos!L275)</f>
        <v>Tomas</v>
      </c>
    </row>
    <row r="276" spans="2:12" x14ac:dyDescent="0.25">
      <c r="B276" s="52">
        <f>IF(Trabajos!B276="","",Trabajos!B276)</f>
        <v>45980</v>
      </c>
      <c r="C276" s="53" t="str">
        <f>IF(Trabajos!F276="","",Trabajos!F276)</f>
        <v>Florimond Desprez</v>
      </c>
      <c r="D276" s="54" t="str">
        <f>IF(Trabajos!D276="","",Trabajos!D276)</f>
        <v>Aplicación de cebos</v>
      </c>
      <c r="E276" s="17">
        <f>IF(Trabajos!J276="","",Trabajos!J276)</f>
        <v>183750</v>
      </c>
      <c r="F276" s="17">
        <f>IF(Trabajos!O276="","",Trabajos!O276)</f>
        <v>0</v>
      </c>
      <c r="G276" s="7"/>
      <c r="H276" s="17">
        <f>IF(Trabajos!H276&lt;&gt;"",E276-E276*G276,"")</f>
        <v>183750</v>
      </c>
      <c r="I276" s="17">
        <f>IF(Trabajos!H276&lt;&gt;"",F276-F276*G276,"")</f>
        <v>0</v>
      </c>
      <c r="J276" s="16">
        <f>IF(Trabajos!H276&lt;&gt;"",H276*0.55,"")</f>
        <v>101062.50000000001</v>
      </c>
      <c r="K276" s="16">
        <f>IF(Trabajos!H276&lt;&gt;"",H276*0.45,"")</f>
        <v>82687.5</v>
      </c>
      <c r="L276" s="16" t="str">
        <f>IF(Trabajos!L276="","",Trabajos!L276)</f>
        <v>Zoom</v>
      </c>
    </row>
    <row r="277" spans="2:12" x14ac:dyDescent="0.25">
      <c r="B277" s="52">
        <f>IF(Trabajos!B277="","",Trabajos!B277)</f>
        <v>45980</v>
      </c>
      <c r="C277" s="53" t="str">
        <f>IF(Trabajos!F277="","",Trabajos!F277)</f>
        <v>Juan Rodriguez Rivas</v>
      </c>
      <c r="D277" s="54" t="str">
        <f>IF(Trabajos!D277="","",Trabajos!D277)</f>
        <v>Aplicación de cebos</v>
      </c>
      <c r="E277" s="17">
        <f>IF(Trabajos!J277="","",Trabajos!J277)</f>
        <v>1195525</v>
      </c>
      <c r="F277" s="17">
        <f>IF(Trabajos!O277="","",Trabajos!O277)</f>
        <v>159900</v>
      </c>
      <c r="G277" s="7"/>
      <c r="H277" s="17">
        <f>IF(Trabajos!H277&lt;&gt;"",E277-E277*G277,"")</f>
        <v>1195525</v>
      </c>
      <c r="I277" s="17">
        <f>IF(Trabajos!H277&lt;&gt;"",F277-F277*G277,"")</f>
        <v>159900</v>
      </c>
      <c r="J277" s="16">
        <f>IF(Trabajos!H277&lt;&gt;"",H277*0.55,"")</f>
        <v>657538.75</v>
      </c>
      <c r="K277" s="16">
        <f>IF(Trabajos!H277&lt;&gt;"",H277*0.45,"")</f>
        <v>537986.25</v>
      </c>
      <c r="L277" s="16" t="str">
        <f>IF(Trabajos!L277="","",Trabajos!L277)</f>
        <v>Paco</v>
      </c>
    </row>
    <row r="278" spans="2:12" x14ac:dyDescent="0.25">
      <c r="B278" s="52">
        <f>IF(Trabajos!B278="","",Trabajos!B278)</f>
        <v>45980</v>
      </c>
      <c r="C278" s="53" t="str">
        <f>IF(Trabajos!F278="","",Trabajos!F278)</f>
        <v>Agustin Galeano</v>
      </c>
      <c r="D278" s="54" t="str">
        <f>IF(Trabajos!D278="","",Trabajos!D278)</f>
        <v>Muestreo de suelos</v>
      </c>
      <c r="E278" s="17">
        <f>IF(Trabajos!J278="","",Trabajos!J278)</f>
        <v>76440</v>
      </c>
      <c r="F278" s="17">
        <f>IF(Trabajos!O278="","",Trabajos!O278)</f>
        <v>67600</v>
      </c>
      <c r="G278" s="7"/>
      <c r="H278" s="17">
        <f>IF(Trabajos!H278&lt;&gt;"",E278-E278*G278,"")</f>
        <v>76440</v>
      </c>
      <c r="I278" s="17">
        <f>IF(Trabajos!H278&lt;&gt;"",F278-F278*G278,"")</f>
        <v>67600</v>
      </c>
      <c r="J278" s="16">
        <f>IF(Trabajos!H278&lt;&gt;"",H278*0.55,"")</f>
        <v>42042</v>
      </c>
      <c r="K278" s="16">
        <f>IF(Trabajos!H278&lt;&gt;"",H278*0.45,"")</f>
        <v>34398</v>
      </c>
      <c r="L278" s="16" t="str">
        <f>IF(Trabajos!L278="","",Trabajos!L278)</f>
        <v>Zoom</v>
      </c>
    </row>
    <row r="279" spans="2:12" x14ac:dyDescent="0.25">
      <c r="B279" s="52">
        <f>IF(Trabajos!B279="","",Trabajos!B279)</f>
        <v>45981</v>
      </c>
      <c r="C279" s="53" t="str">
        <f>IF(Trabajos!F279="","",Trabajos!F279)</f>
        <v>Espartina S.A.</v>
      </c>
      <c r="D279" s="54" t="str">
        <f>IF(Trabajos!D279="","",Trabajos!D279)</f>
        <v>Monitoreo de bb y bab</v>
      </c>
      <c r="E279" s="17">
        <f>IF(Trabajos!J279="","",Trabajos!J279)</f>
        <v>978750</v>
      </c>
      <c r="F279" s="17">
        <f>IF(Trabajos!O279="","",Trabajos!O279)</f>
        <v>154659.4</v>
      </c>
      <c r="G279" s="7"/>
      <c r="H279" s="17">
        <f>IF(Trabajos!H279&lt;&gt;"",E279-E279*G279,"")</f>
        <v>978750</v>
      </c>
      <c r="I279" s="17">
        <f>IF(Trabajos!H279&lt;&gt;"",F279-F279*G279,"")</f>
        <v>154659.4</v>
      </c>
      <c r="J279" s="16">
        <f>IF(Trabajos!H279&lt;&gt;"",H279*0.55,"")</f>
        <v>538312.5</v>
      </c>
      <c r="K279" s="16">
        <f>IF(Trabajos!H279&lt;&gt;"",H279*0.45,"")</f>
        <v>440437.5</v>
      </c>
      <c r="L279" s="16" t="str">
        <f>IF(Trabajos!L279="","",Trabajos!L279)</f>
        <v>Zoom</v>
      </c>
    </row>
    <row r="280" spans="2:12" x14ac:dyDescent="0.25">
      <c r="B280" s="52">
        <f>IF(Trabajos!B280="","",Trabajos!B280)</f>
        <v>45981</v>
      </c>
      <c r="C280" s="53" t="str">
        <f>IF(Trabajos!F280="","",Trabajos!F280)</f>
        <v>Cía. de Tierras Sud Argentino S.A.</v>
      </c>
      <c r="D280" s="54" t="str">
        <f>IF(Trabajos!D280="","",Trabajos!D280)</f>
        <v>Aplicación de cebos</v>
      </c>
      <c r="E280" s="17">
        <f>IF(Trabajos!J280="","",Trabajos!J280)</f>
        <v>610470</v>
      </c>
      <c r="F280" s="17">
        <f>IF(Trabajos!O280="","",Trabajos!O280)</f>
        <v>32500</v>
      </c>
      <c r="G280" s="7"/>
      <c r="H280" s="17">
        <f>IF(Trabajos!H280&lt;&gt;"",E280-E280*G280,"")</f>
        <v>610470</v>
      </c>
      <c r="I280" s="17">
        <f>IF(Trabajos!H280&lt;&gt;"",F280-F280*G280,"")</f>
        <v>32500</v>
      </c>
      <c r="J280" s="16">
        <f>IF(Trabajos!H280&lt;&gt;"",H280*0.55,"")</f>
        <v>335758.5</v>
      </c>
      <c r="K280" s="16">
        <f>IF(Trabajos!H280&lt;&gt;"",H280*0.45,"")</f>
        <v>274711.5</v>
      </c>
      <c r="L280" s="16" t="str">
        <f>IF(Trabajos!L280="","",Trabajos!L280)</f>
        <v>Tomas</v>
      </c>
    </row>
    <row r="281" spans="2:12" x14ac:dyDescent="0.25">
      <c r="B281" s="52">
        <f>IF(Trabajos!B281="","",Trabajos!B281)</f>
        <v>45981</v>
      </c>
      <c r="C281" s="53" t="str">
        <f>IF(Trabajos!F281="","",Trabajos!F281)</f>
        <v>Sebastian Martos</v>
      </c>
      <c r="D281" s="54" t="str">
        <f>IF(Trabajos!D281="","",Trabajos!D281)</f>
        <v>Aplicación de cebos</v>
      </c>
      <c r="E281" s="17">
        <f>IF(Trabajos!J281="","",Trabajos!J281)</f>
        <v>188695</v>
      </c>
      <c r="F281" s="17">
        <f>IF(Trabajos!O281="","",Trabajos!O281)</f>
        <v>15600</v>
      </c>
      <c r="G281" s="7"/>
      <c r="H281" s="17">
        <f>IF(Trabajos!H281&lt;&gt;"",E281-E281*G281,"")</f>
        <v>188695</v>
      </c>
      <c r="I281" s="17">
        <f>IF(Trabajos!H281&lt;&gt;"",F281-F281*G281,"")</f>
        <v>15600</v>
      </c>
      <c r="J281" s="16">
        <f>IF(Trabajos!H281&lt;&gt;"",H281*0.55,"")</f>
        <v>103782.25000000001</v>
      </c>
      <c r="K281" s="16">
        <f>IF(Trabajos!H281&lt;&gt;"",H281*0.45,"")</f>
        <v>84912.75</v>
      </c>
      <c r="L281" s="16" t="str">
        <f>IF(Trabajos!L281="","",Trabajos!L281)</f>
        <v>Tomas</v>
      </c>
    </row>
    <row r="282" spans="2:12" x14ac:dyDescent="0.25">
      <c r="B282" s="52">
        <f>IF(Trabajos!B282="","",Trabajos!B282)</f>
        <v>45982</v>
      </c>
      <c r="C282" s="53" t="str">
        <f>IF(Trabajos!F282="","",Trabajos!F282)</f>
        <v>Espartina S.A.</v>
      </c>
      <c r="D282" s="54" t="str">
        <f>IF(Trabajos!D282="","",Trabajos!D282)</f>
        <v>Aplicación de cebos</v>
      </c>
      <c r="E282" s="17">
        <f>IF(Trabajos!J282="","",Trabajos!J282)</f>
        <v>1148265</v>
      </c>
      <c r="F282" s="17">
        <f>IF(Trabajos!O282="","",Trabajos!O282)</f>
        <v>31692.5</v>
      </c>
      <c r="G282" s="7"/>
      <c r="H282" s="17">
        <f>IF(Trabajos!H282&lt;&gt;"",E282-E282*G282,"")</f>
        <v>1148265</v>
      </c>
      <c r="I282" s="17">
        <f>IF(Trabajos!H282&lt;&gt;"",F282-F282*G282,"")</f>
        <v>31692.5</v>
      </c>
      <c r="J282" s="16">
        <f>IF(Trabajos!H282&lt;&gt;"",H282*0.55,"")</f>
        <v>631545.75</v>
      </c>
      <c r="K282" s="16">
        <f>IF(Trabajos!H282&lt;&gt;"",H282*0.45,"")</f>
        <v>516719.25</v>
      </c>
      <c r="L282" s="16" t="str">
        <f>IF(Trabajos!L282="","",Trabajos!L282)</f>
        <v>Zoom</v>
      </c>
    </row>
    <row r="283" spans="2:12" x14ac:dyDescent="0.25">
      <c r="B283" s="52">
        <f>IF(Trabajos!B283="","",Trabajos!B283)</f>
        <v>45982</v>
      </c>
      <c r="C283" s="53" t="str">
        <f>IF(Trabajos!F283="","",Trabajos!F283)</f>
        <v>Espartina S.A.</v>
      </c>
      <c r="D283" s="54" t="str">
        <f>IF(Trabajos!D283="","",Trabajos!D283)</f>
        <v>Aplicación de cebos</v>
      </c>
      <c r="E283" s="17">
        <f>IF(Trabajos!J283="","",Trabajos!J283)</f>
        <v>312502.5</v>
      </c>
      <c r="F283" s="17">
        <f>IF(Trabajos!O283="","",Trabajos!O283)</f>
        <v>98880.6</v>
      </c>
      <c r="G283" s="7"/>
      <c r="H283" s="17">
        <f>IF(Trabajos!H283&lt;&gt;"",E283-E283*G283,"")</f>
        <v>312502.5</v>
      </c>
      <c r="I283" s="17">
        <f>IF(Trabajos!H283&lt;&gt;"",F283-F283*G283,"")</f>
        <v>98880.6</v>
      </c>
      <c r="J283" s="16">
        <f>IF(Trabajos!H283&lt;&gt;"",H283*0.55,"")</f>
        <v>171876.375</v>
      </c>
      <c r="K283" s="16">
        <f>IF(Trabajos!H283&lt;&gt;"",H283*0.45,"")</f>
        <v>140626.125</v>
      </c>
      <c r="L283" s="16" t="str">
        <f>IF(Trabajos!L283="","",Trabajos!L283)</f>
        <v>Zoom</v>
      </c>
    </row>
    <row r="284" spans="2:12" x14ac:dyDescent="0.25">
      <c r="B284" s="52">
        <f>IF(Trabajos!B284="","",Trabajos!B284)</f>
        <v>45982</v>
      </c>
      <c r="C284" s="53" t="str">
        <f>IF(Trabajos!F284="","",Trabajos!F284)</f>
        <v>Espartina S.A.</v>
      </c>
      <c r="D284" s="54" t="str">
        <f>IF(Trabajos!D284="","",Trabajos!D284)</f>
        <v>Aplicación de cebos</v>
      </c>
      <c r="E284" s="17">
        <f>IF(Trabajos!J284="","",Trabajos!J284)</f>
        <v>1359022.5</v>
      </c>
      <c r="F284" s="17">
        <f>IF(Trabajos!O284="","",Trabajos!O284)</f>
        <v>74160.45</v>
      </c>
      <c r="G284" s="7"/>
      <c r="H284" s="17">
        <f>IF(Trabajos!H284&lt;&gt;"",E284-E284*G284,"")</f>
        <v>1359022.5</v>
      </c>
      <c r="I284" s="17">
        <f>IF(Trabajos!H284&lt;&gt;"",F284-F284*G284,"")</f>
        <v>74160.45</v>
      </c>
      <c r="J284" s="16">
        <f>IF(Trabajos!H284&lt;&gt;"",H284*0.55,"")</f>
        <v>747462.37500000012</v>
      </c>
      <c r="K284" s="16">
        <f>IF(Trabajos!H284&lt;&gt;"",H284*0.45,"")</f>
        <v>611560.125</v>
      </c>
      <c r="L284" s="16" t="str">
        <f>IF(Trabajos!L284="","",Trabajos!L284)</f>
        <v>Paco</v>
      </c>
    </row>
    <row r="285" spans="2:12" x14ac:dyDescent="0.25">
      <c r="B285" s="52">
        <f>IF(Trabajos!B285="","",Trabajos!B285)</f>
        <v>45982</v>
      </c>
      <c r="C285" s="53" t="str">
        <f>IF(Trabajos!F285="","",Trabajos!F285)</f>
        <v>La Nany S.A.</v>
      </c>
      <c r="D285" s="54" t="str">
        <f>IF(Trabajos!D285="","",Trabajos!D285)</f>
        <v>Aplicación de cebos</v>
      </c>
      <c r="E285" s="17">
        <f>IF(Trabajos!J285="","",Trabajos!J285)</f>
        <v>441487.5</v>
      </c>
      <c r="F285" s="17">
        <f>IF(Trabajos!O285="","",Trabajos!O285)</f>
        <v>67600</v>
      </c>
      <c r="G285" s="7"/>
      <c r="H285" s="17">
        <f>IF(Trabajos!H285&lt;&gt;"",E285-E285*G285,"")</f>
        <v>441487.5</v>
      </c>
      <c r="I285" s="17">
        <f>IF(Trabajos!H285&lt;&gt;"",F285-F285*G285,"")</f>
        <v>67600</v>
      </c>
      <c r="J285" s="16">
        <f>IF(Trabajos!H285&lt;&gt;"",H285*0.55,"")</f>
        <v>242818.12500000003</v>
      </c>
      <c r="K285" s="16">
        <f>IF(Trabajos!H285&lt;&gt;"",H285*0.45,"")</f>
        <v>198669.375</v>
      </c>
      <c r="L285" s="16" t="str">
        <f>IF(Trabajos!L285="","",Trabajos!L285)</f>
        <v>Tomas</v>
      </c>
    </row>
    <row r="286" spans="2:12" x14ac:dyDescent="0.25">
      <c r="B286" s="52">
        <f>IF(Trabajos!B286="","",Trabajos!B286)</f>
        <v>45982</v>
      </c>
      <c r="C286" s="53" t="str">
        <f>IF(Trabajos!F286="","",Trabajos!F286)</f>
        <v>La Nany S.A.</v>
      </c>
      <c r="D286" s="54" t="str">
        <f>IF(Trabajos!D286="","",Trabajos!D286)</f>
        <v>Aplicación de cebos</v>
      </c>
      <c r="E286" s="17">
        <f>IF(Trabajos!J286="","",Trabajos!J286)</f>
        <v>361875</v>
      </c>
      <c r="F286" s="17">
        <f>IF(Trabajos!O286="","",Trabajos!O286)</f>
        <v>0</v>
      </c>
      <c r="G286" s="7"/>
      <c r="H286" s="17">
        <f>IF(Trabajos!H286&lt;&gt;"",E286-E286*G286,"")</f>
        <v>361875</v>
      </c>
      <c r="I286" s="17">
        <f>IF(Trabajos!H286&lt;&gt;"",F286-F286*G286,"")</f>
        <v>0</v>
      </c>
      <c r="J286" s="16">
        <f>IF(Trabajos!H286&lt;&gt;"",H286*0.55,"")</f>
        <v>199031.25000000003</v>
      </c>
      <c r="K286" s="16">
        <f>IF(Trabajos!H286&lt;&gt;"",H286*0.45,"")</f>
        <v>162843.75</v>
      </c>
      <c r="L286" s="16" t="str">
        <f>IF(Trabajos!L286="","",Trabajos!L286)</f>
        <v>Tomas</v>
      </c>
    </row>
    <row r="287" spans="2:12" x14ac:dyDescent="0.25">
      <c r="B287" s="52">
        <f>IF(Trabajos!B287="","",Trabajos!B287)</f>
        <v>45982</v>
      </c>
      <c r="C287" s="53" t="str">
        <f>IF(Trabajos!F287="","",Trabajos!F287)</f>
        <v>Sebastian Martos</v>
      </c>
      <c r="D287" s="54" t="str">
        <f>IF(Trabajos!D287="","",Trabajos!D287)</f>
        <v>Aplicación de cebos</v>
      </c>
      <c r="E287" s="17">
        <f>IF(Trabajos!J287="","",Trabajos!J287)</f>
        <v>834612.5</v>
      </c>
      <c r="F287" s="17">
        <f>IF(Trabajos!O287="","",Trabajos!O287)</f>
        <v>41600</v>
      </c>
      <c r="G287" s="7"/>
      <c r="H287" s="17">
        <f>IF(Trabajos!H287&lt;&gt;"",E287-E287*G287,"")</f>
        <v>834612.5</v>
      </c>
      <c r="I287" s="17">
        <f>IF(Trabajos!H287&lt;&gt;"",F287-F287*G287,"")</f>
        <v>41600</v>
      </c>
      <c r="J287" s="16">
        <f>IF(Trabajos!H287&lt;&gt;"",H287*0.55,"")</f>
        <v>459036.87500000006</v>
      </c>
      <c r="K287" s="16">
        <f>IF(Trabajos!H287&lt;&gt;"",H287*0.45,"")</f>
        <v>375575.625</v>
      </c>
      <c r="L287" s="16" t="str">
        <f>IF(Trabajos!L287="","",Trabajos!L287)</f>
        <v>Zoom</v>
      </c>
    </row>
    <row r="288" spans="2:12" x14ac:dyDescent="0.25">
      <c r="B288" s="52">
        <f>IF(Trabajos!B288="","",Trabajos!B288)</f>
        <v>45983</v>
      </c>
      <c r="C288" s="53" t="str">
        <f>IF(Trabajos!F288="","",Trabajos!F288)</f>
        <v>Espartina S.A.</v>
      </c>
      <c r="D288" s="54" t="str">
        <f>IF(Trabajos!D288="","",Trabajos!D288)</f>
        <v>Aplicación de cebos</v>
      </c>
      <c r="E288" s="17">
        <f>IF(Trabajos!J288="","",Trabajos!J288)</f>
        <v>435000</v>
      </c>
      <c r="F288" s="17">
        <f>IF(Trabajos!O288="","",Trabajos!O288)</f>
        <v>207902.80000000002</v>
      </c>
      <c r="G288" s="7"/>
      <c r="H288" s="17">
        <f>IF(Trabajos!H288&lt;&gt;"",E288-E288*G288,"")</f>
        <v>435000</v>
      </c>
      <c r="I288" s="17">
        <f>IF(Trabajos!H288&lt;&gt;"",F288-F288*G288,"")</f>
        <v>207902.80000000002</v>
      </c>
      <c r="J288" s="16">
        <f>IF(Trabajos!H288&lt;&gt;"",H288*0.55,"")</f>
        <v>239250.00000000003</v>
      </c>
      <c r="K288" s="16">
        <f>IF(Trabajos!H288&lt;&gt;"",H288*0.45,"")</f>
        <v>195750</v>
      </c>
      <c r="L288" s="16" t="str">
        <f>IF(Trabajos!L288="","",Trabajos!L288)</f>
        <v>Paco</v>
      </c>
    </row>
    <row r="289" spans="2:12" x14ac:dyDescent="0.25">
      <c r="B289" s="52">
        <f>IF(Trabajos!B289="","",Trabajos!B289)</f>
        <v>45983</v>
      </c>
      <c r="C289" s="53" t="str">
        <f>IF(Trabajos!F289="","",Trabajos!F289)</f>
        <v>Espartina S.A.</v>
      </c>
      <c r="D289" s="54" t="str">
        <f>IF(Trabajos!D289="","",Trabajos!D289)</f>
        <v>Aplicación de cebos</v>
      </c>
      <c r="E289" s="17">
        <f>IF(Trabajos!J289="","",Trabajos!J289)</f>
        <v>442250</v>
      </c>
      <c r="F289" s="17">
        <f>IF(Trabajos!O289="","",Trabajos!O289)</f>
        <v>103951.40000000001</v>
      </c>
      <c r="G289" s="7"/>
      <c r="H289" s="17">
        <f>IF(Trabajos!H289&lt;&gt;"",E289-E289*G289,"")</f>
        <v>442250</v>
      </c>
      <c r="I289" s="17">
        <f>IF(Trabajos!H289&lt;&gt;"",F289-F289*G289,"")</f>
        <v>103951.40000000001</v>
      </c>
      <c r="J289" s="16">
        <f>IF(Trabajos!H289&lt;&gt;"",H289*0.55,"")</f>
        <v>243237.50000000003</v>
      </c>
      <c r="K289" s="16">
        <f>IF(Trabajos!H289&lt;&gt;"",H289*0.45,"")</f>
        <v>199012.5</v>
      </c>
      <c r="L289" s="16" t="str">
        <f>IF(Trabajos!L289="","",Trabajos!L289)</f>
        <v>Paco</v>
      </c>
    </row>
    <row r="290" spans="2:12" x14ac:dyDescent="0.25">
      <c r="B290" s="52">
        <f>IF(Trabajos!B290="","",Trabajos!B290)</f>
        <v>45983</v>
      </c>
      <c r="C290" s="53" t="str">
        <f>IF(Trabajos!F290="","",Trabajos!F290)</f>
        <v>Nueva Huella S.R.L.</v>
      </c>
      <c r="D290" s="54" t="str">
        <f>IF(Trabajos!D290="","",Trabajos!D290)</f>
        <v>Aplicación de cebos</v>
      </c>
      <c r="E290" s="17">
        <f>IF(Trabajos!J290="","",Trabajos!J290)</f>
        <v>529797.5</v>
      </c>
      <c r="F290" s="17">
        <f>IF(Trabajos!O290="","",Trabajos!O290)</f>
        <v>24700</v>
      </c>
      <c r="G290" s="7"/>
      <c r="H290" s="17">
        <f>IF(Trabajos!H290&lt;&gt;"",E290-E290*G290,"")</f>
        <v>529797.5</v>
      </c>
      <c r="I290" s="17">
        <f>IF(Trabajos!H290&lt;&gt;"",F290-F290*G290,"")</f>
        <v>24700</v>
      </c>
      <c r="J290" s="16">
        <f>IF(Trabajos!H290&lt;&gt;"",H290*0.55,"")</f>
        <v>291388.625</v>
      </c>
      <c r="K290" s="16">
        <f>IF(Trabajos!H290&lt;&gt;"",H290*0.45,"")</f>
        <v>238408.875</v>
      </c>
      <c r="L290" s="16" t="str">
        <f>IF(Trabajos!L290="","",Trabajos!L290)</f>
        <v>Tomas</v>
      </c>
    </row>
    <row r="291" spans="2:12" x14ac:dyDescent="0.25">
      <c r="B291" s="52">
        <f>IF(Trabajos!B291="","",Trabajos!B291)</f>
        <v>45983</v>
      </c>
      <c r="C291" s="53" t="str">
        <f>IF(Trabajos!F291="","",Trabajos!F291)</f>
        <v>Domingo y Nestor Scioli</v>
      </c>
      <c r="D291" s="54" t="str">
        <f>IF(Trabajos!D291="","",Trabajos!D291)</f>
        <v>Aplicación de cebos</v>
      </c>
      <c r="E291" s="17">
        <f>IF(Trabajos!J291="","",Trabajos!J291)</f>
        <v>232560</v>
      </c>
      <c r="F291" s="17">
        <f>IF(Trabajos!O291="","",Trabajos!O291)</f>
        <v>29900</v>
      </c>
      <c r="G291" s="7"/>
      <c r="H291" s="17">
        <f>IF(Trabajos!H291&lt;&gt;"",E291-E291*G291,"")</f>
        <v>232560</v>
      </c>
      <c r="I291" s="17">
        <f>IF(Trabajos!H291&lt;&gt;"",F291-F291*G291,"")</f>
        <v>29900</v>
      </c>
      <c r="J291" s="16">
        <f>IF(Trabajos!H291&lt;&gt;"",H291*0.55,"")</f>
        <v>127908.00000000001</v>
      </c>
      <c r="K291" s="16">
        <f>IF(Trabajos!H291&lt;&gt;"",H291*0.45,"")</f>
        <v>104652</v>
      </c>
      <c r="L291" s="16" t="str">
        <f>IF(Trabajos!L291="","",Trabajos!L291)</f>
        <v>Tomas</v>
      </c>
    </row>
    <row r="292" spans="2:12" x14ac:dyDescent="0.25">
      <c r="B292" s="52">
        <f>IF(Trabajos!B292="","",Trabajos!B292)</f>
        <v>45984</v>
      </c>
      <c r="C292" s="53" t="str">
        <f>IF(Trabajos!F292="","",Trabajos!F292)</f>
        <v>Gustavo Erice</v>
      </c>
      <c r="D292" s="54" t="str">
        <f>IF(Trabajos!D292="","",Trabajos!D292)</f>
        <v>Aplicación de cebos</v>
      </c>
      <c r="E292" s="17">
        <f>IF(Trabajos!J292="","",Trabajos!J292)</f>
        <v>893902.5</v>
      </c>
      <c r="F292" s="17">
        <f>IF(Trabajos!O292="","",Trabajos!O292)</f>
        <v>67600</v>
      </c>
      <c r="G292" s="7"/>
      <c r="H292" s="17">
        <f>IF(Trabajos!H292&lt;&gt;"",E292-E292*G292,"")</f>
        <v>893902.5</v>
      </c>
      <c r="I292" s="17">
        <f>IF(Trabajos!H292&lt;&gt;"",F292-F292*G292,"")</f>
        <v>67600</v>
      </c>
      <c r="J292" s="16">
        <f>IF(Trabajos!H292&lt;&gt;"",H292*0.55,"")</f>
        <v>491646.37500000006</v>
      </c>
      <c r="K292" s="16">
        <f>IF(Trabajos!H292&lt;&gt;"",H292*0.45,"")</f>
        <v>402256.125</v>
      </c>
      <c r="L292" s="16" t="str">
        <f>IF(Trabajos!L292="","",Trabajos!L292)</f>
        <v>Tomas</v>
      </c>
    </row>
    <row r="293" spans="2:12" x14ac:dyDescent="0.25">
      <c r="B293" s="52">
        <f>IF(Trabajos!B293="","",Trabajos!B293)</f>
        <v>45985</v>
      </c>
      <c r="C293" s="53" t="str">
        <f>IF(Trabajos!F293="","",Trabajos!F293)</f>
        <v>Espartina S.A.</v>
      </c>
      <c r="D293" s="54" t="str">
        <f>IF(Trabajos!D293="","",Trabajos!D293)</f>
        <v>Monitoreo de bb y bab</v>
      </c>
      <c r="E293" s="17">
        <f>IF(Trabajos!J293="","",Trabajos!J293)</f>
        <v>505687.5</v>
      </c>
      <c r="F293" s="17">
        <f>IF(Trabajos!O293="","",Trabajos!O293)</f>
        <v>131840.80000000002</v>
      </c>
      <c r="G293" s="7"/>
      <c r="H293" s="17">
        <f>IF(Trabajos!H293&lt;&gt;"",E293-E293*G293,"")</f>
        <v>505687.5</v>
      </c>
      <c r="I293" s="17">
        <f>IF(Trabajos!H293&lt;&gt;"",F293-F293*G293,"")</f>
        <v>131840.80000000002</v>
      </c>
      <c r="J293" s="16">
        <f>IF(Trabajos!H293&lt;&gt;"",H293*0.55,"")</f>
        <v>278128.125</v>
      </c>
      <c r="K293" s="16">
        <f>IF(Trabajos!H293&lt;&gt;"",H293*0.45,"")</f>
        <v>227559.375</v>
      </c>
      <c r="L293" s="16" t="str">
        <f>IF(Trabajos!L293="","",Trabajos!L293)</f>
        <v>Zoom</v>
      </c>
    </row>
    <row r="294" spans="2:12" x14ac:dyDescent="0.25">
      <c r="B294" s="52">
        <f>IF(Trabajos!B294="","",Trabajos!B294)</f>
        <v>45985</v>
      </c>
      <c r="C294" s="53" t="str">
        <f>IF(Trabajos!F294="","",Trabajos!F294)</f>
        <v>Piray Mini</v>
      </c>
      <c r="D294" s="54" t="str">
        <f>IF(Trabajos!D294="","",Trabajos!D294)</f>
        <v>Aplicación de cebos</v>
      </c>
      <c r="E294" s="17">
        <f>IF(Trabajos!J294="","",Trabajos!J294)</f>
        <v>384647.5</v>
      </c>
      <c r="F294" s="17">
        <f>IF(Trabajos!O294="","",Trabajos!O294)</f>
        <v>46800</v>
      </c>
      <c r="G294" s="7"/>
      <c r="H294" s="17">
        <f>IF(Trabajos!H294&lt;&gt;"",E294-E294*G294,"")</f>
        <v>384647.5</v>
      </c>
      <c r="I294" s="17">
        <f>IF(Trabajos!H294&lt;&gt;"",F294-F294*G294,"")</f>
        <v>46800</v>
      </c>
      <c r="J294" s="16">
        <f>IF(Trabajos!H294&lt;&gt;"",H294*0.55,"")</f>
        <v>211556.12500000003</v>
      </c>
      <c r="K294" s="16">
        <f>IF(Trabajos!H294&lt;&gt;"",H294*0.45,"")</f>
        <v>173091.375</v>
      </c>
      <c r="L294" s="16" t="str">
        <f>IF(Trabajos!L294="","",Trabajos!L294)</f>
        <v>Tomas</v>
      </c>
    </row>
    <row r="295" spans="2:12" x14ac:dyDescent="0.25">
      <c r="B295" s="52">
        <f>IF(Trabajos!B295="","",Trabajos!B295)</f>
        <v>45986</v>
      </c>
      <c r="C295" s="53" t="str">
        <f>IF(Trabajos!F295="","",Trabajos!F295)</f>
        <v>Espartina S.A.</v>
      </c>
      <c r="D295" s="54" t="str">
        <f>IF(Trabajos!D295="","",Trabajos!D295)</f>
        <v>Aplicación de cebos</v>
      </c>
      <c r="E295" s="17">
        <f>IF(Trabajos!J295="","",Trabajos!J295)</f>
        <v>739500</v>
      </c>
      <c r="F295" s="17">
        <f>IF(Trabajos!O295="","",Trabajos!O295)</f>
        <v>207902.80000000002</v>
      </c>
      <c r="G295" s="7"/>
      <c r="H295" s="17">
        <f>IF(Trabajos!H295&lt;&gt;"",E295-E295*G295,"")</f>
        <v>739500</v>
      </c>
      <c r="I295" s="17">
        <f>IF(Trabajos!H295&lt;&gt;"",F295-F295*G295,"")</f>
        <v>207902.80000000002</v>
      </c>
      <c r="J295" s="16">
        <f>IF(Trabajos!H295&lt;&gt;"",H295*0.55,"")</f>
        <v>406725.00000000006</v>
      </c>
      <c r="K295" s="16">
        <f>IF(Trabajos!H295&lt;&gt;"",H295*0.45,"")</f>
        <v>332775</v>
      </c>
      <c r="L295" s="16" t="str">
        <f>IF(Trabajos!L295="","",Trabajos!L295)</f>
        <v>Paco</v>
      </c>
    </row>
    <row r="296" spans="2:12" x14ac:dyDescent="0.25">
      <c r="B296" s="52">
        <f>IF(Trabajos!B296="","",Trabajos!B296)</f>
        <v>45986</v>
      </c>
      <c r="C296" s="53" t="str">
        <f>IF(Trabajos!F296="","",Trabajos!F296)</f>
        <v>Espartina S.A.</v>
      </c>
      <c r="D296" s="54" t="str">
        <f>IF(Trabajos!D296="","",Trabajos!D296)</f>
        <v>Aplicación de cebos</v>
      </c>
      <c r="E296" s="17">
        <f>IF(Trabajos!J296="","",Trabajos!J296)</f>
        <v>1402627.5</v>
      </c>
      <c r="F296" s="17">
        <f>IF(Trabajos!O296="","",Trabajos!O296)</f>
        <v>120431.5</v>
      </c>
      <c r="G296" s="7"/>
      <c r="H296" s="17">
        <f>IF(Trabajos!H296&lt;&gt;"",E296-E296*G296,"")</f>
        <v>1402627.5</v>
      </c>
      <c r="I296" s="17">
        <f>IF(Trabajos!H296&lt;&gt;"",F296-F296*G296,"")</f>
        <v>120431.5</v>
      </c>
      <c r="J296" s="16">
        <f>IF(Trabajos!H296&lt;&gt;"",H296*0.55,"")</f>
        <v>771445.12500000012</v>
      </c>
      <c r="K296" s="16">
        <f>IF(Trabajos!H296&lt;&gt;"",H296*0.45,"")</f>
        <v>631182.375</v>
      </c>
      <c r="L296" s="16" t="str">
        <f>IF(Trabajos!L296="","",Trabajos!L296)</f>
        <v>Tomas</v>
      </c>
    </row>
    <row r="297" spans="2:12" x14ac:dyDescent="0.25">
      <c r="B297" s="52">
        <f>IF(Trabajos!B297="","",Trabajos!B297)</f>
        <v>45987</v>
      </c>
      <c r="C297" s="53" t="str">
        <f>IF(Trabajos!F297="","",Trabajos!F297)</f>
        <v>Espartina S.A.</v>
      </c>
      <c r="D297" s="54" t="str">
        <f>IF(Trabajos!D297="","",Trabajos!D297)</f>
        <v>Aplicación de cebos</v>
      </c>
      <c r="E297" s="17">
        <f>IF(Trabajos!J297="","",Trabajos!J297)</f>
        <v>688750</v>
      </c>
      <c r="F297" s="17">
        <f>IF(Trabajos!O297="","",Trabajos!O297)</f>
        <v>154659.4</v>
      </c>
      <c r="G297" s="7"/>
      <c r="H297" s="17">
        <f>IF(Trabajos!H297&lt;&gt;"",E297-E297*G297,"")</f>
        <v>688750</v>
      </c>
      <c r="I297" s="17">
        <f>IF(Trabajos!H297&lt;&gt;"",F297-F297*G297,"")</f>
        <v>154659.4</v>
      </c>
      <c r="J297" s="16">
        <f>IF(Trabajos!H297&lt;&gt;"",H297*0.55,"")</f>
        <v>378812.50000000006</v>
      </c>
      <c r="K297" s="16">
        <f>IF(Trabajos!H297&lt;&gt;"",H297*0.45,"")</f>
        <v>309937.5</v>
      </c>
      <c r="L297" s="16" t="str">
        <f>IF(Trabajos!L297="","",Trabajos!L297)</f>
        <v>Tomas</v>
      </c>
    </row>
    <row r="298" spans="2:12" x14ac:dyDescent="0.25">
      <c r="B298" s="52">
        <f>IF(Trabajos!B298="","",Trabajos!B298)</f>
        <v>45987</v>
      </c>
      <c r="C298" s="53" t="str">
        <f>IF(Trabajos!F298="","",Trabajos!F298)</f>
        <v>La Nany S.A.</v>
      </c>
      <c r="D298" s="54" t="str">
        <f>IF(Trabajos!D298="","",Trabajos!D298)</f>
        <v>Monitoreo de bb y bab</v>
      </c>
      <c r="E298" s="17">
        <f>IF(Trabajos!J298="","",Trabajos!J298)</f>
        <v>199031.25</v>
      </c>
      <c r="F298" s="17">
        <f>IF(Trabajos!O298="","",Trabajos!O298)</f>
        <v>13000</v>
      </c>
      <c r="G298" s="7"/>
      <c r="H298" s="17">
        <f>IF(Trabajos!H298&lt;&gt;"",E298-E298*G298,"")</f>
        <v>199031.25</v>
      </c>
      <c r="I298" s="17">
        <f>IF(Trabajos!H298&lt;&gt;"",F298-F298*G298,"")</f>
        <v>13000</v>
      </c>
      <c r="J298" s="16">
        <f>IF(Trabajos!H298&lt;&gt;"",H298*0.55,"")</f>
        <v>109467.18750000001</v>
      </c>
      <c r="K298" s="16">
        <f>IF(Trabajos!H298&lt;&gt;"",H298*0.45,"")</f>
        <v>89564.0625</v>
      </c>
      <c r="L298" s="16" t="str">
        <f>IF(Trabajos!L298="","",Trabajos!L298)</f>
        <v>Zoom</v>
      </c>
    </row>
    <row r="299" spans="2:12" x14ac:dyDescent="0.25">
      <c r="B299" s="52">
        <f>IF(Trabajos!B299="","",Trabajos!B299)</f>
        <v>45988</v>
      </c>
      <c r="C299" s="53" t="str">
        <f>IF(Trabajos!F299="","",Trabajos!F299)</f>
        <v>Cosechas del Sur S.R.L.</v>
      </c>
      <c r="D299" s="54" t="str">
        <f>IF(Trabajos!D299="","",Trabajos!D299)</f>
        <v>Aplicación de cebos</v>
      </c>
      <c r="E299" s="17">
        <f>IF(Trabajos!J299="","",Trabajos!J299)</f>
        <v>261000</v>
      </c>
      <c r="F299" s="17">
        <f>IF(Trabajos!O299="","",Trabajos!O299)</f>
        <v>78000</v>
      </c>
      <c r="G299" s="7"/>
      <c r="H299" s="17">
        <f>IF(Trabajos!H299&lt;&gt;"",E299-E299*G299,"")</f>
        <v>261000</v>
      </c>
      <c r="I299" s="17">
        <f>IF(Trabajos!H299&lt;&gt;"",F299-F299*G299,"")</f>
        <v>78000</v>
      </c>
      <c r="J299" s="16">
        <f>IF(Trabajos!H299&lt;&gt;"",H299*0.55,"")</f>
        <v>143550</v>
      </c>
      <c r="K299" s="16">
        <f>IF(Trabajos!H299&lt;&gt;"",H299*0.45,"")</f>
        <v>117450</v>
      </c>
      <c r="L299" s="16" t="str">
        <f>IF(Trabajos!L299="","",Trabajos!L299)</f>
        <v>Tomas</v>
      </c>
    </row>
    <row r="300" spans="2:12" x14ac:dyDescent="0.25">
      <c r="B300" s="52">
        <f>IF(Trabajos!B300="","",Trabajos!B300)</f>
        <v>45990</v>
      </c>
      <c r="C300" s="53" t="str">
        <f>IF(Trabajos!F300="","",Trabajos!F300)</f>
        <v>Espartina S.A.</v>
      </c>
      <c r="D300" s="54" t="str">
        <f>IF(Trabajos!D300="","",Trabajos!D300)</f>
        <v>Monitoreo de bb y bab</v>
      </c>
      <c r="E300" s="17">
        <f>IF(Trabajos!J300="","",Trabajos!J300)</f>
        <v>467943.75</v>
      </c>
      <c r="F300" s="17">
        <f>IF(Trabajos!O300="","",Trabajos!O300)</f>
        <v>78173.55</v>
      </c>
      <c r="G300" s="7"/>
      <c r="H300" s="17">
        <f>IF(Trabajos!H300&lt;&gt;"",E300-E300*G300,"")</f>
        <v>467943.75</v>
      </c>
      <c r="I300" s="17">
        <f>IF(Trabajos!H300&lt;&gt;"",F300-F300*G300,"")</f>
        <v>78173.55</v>
      </c>
      <c r="J300" s="16">
        <f>IF(Trabajos!H300&lt;&gt;"",H300*0.55,"")</f>
        <v>257369.06250000003</v>
      </c>
      <c r="K300" s="16">
        <f>IF(Trabajos!H300&lt;&gt;"",H300*0.45,"")</f>
        <v>210574.6875</v>
      </c>
      <c r="L300" s="16" t="str">
        <f>IF(Trabajos!L300="","",Trabajos!L300)</f>
        <v>Zoom</v>
      </c>
    </row>
    <row r="301" spans="2:12" x14ac:dyDescent="0.25">
      <c r="B301" s="52">
        <f>IF(Trabajos!B301="","",Trabajos!B301)</f>
        <v>45994</v>
      </c>
      <c r="C301" s="53" t="str">
        <f>IF(Trabajos!F301="","",Trabajos!F301)</f>
        <v>Espartina S.A.</v>
      </c>
      <c r="D301" s="54" t="str">
        <f>IF(Trabajos!D301="","",Trabajos!D301)</f>
        <v>Monitoreo de bb y bab</v>
      </c>
      <c r="E301" s="17">
        <f>IF(Trabajos!J301="","",Trabajos!J301)</f>
        <v>66375</v>
      </c>
      <c r="F301" s="17">
        <f>IF(Trabajos!O301="","",Trabajos!O301)</f>
        <v>0</v>
      </c>
      <c r="G301" s="7"/>
      <c r="H301" s="17">
        <f>IF(Trabajos!H301&lt;&gt;"",E301-E301*G301,"")</f>
        <v>66375</v>
      </c>
      <c r="I301" s="17">
        <f>IF(Trabajos!H301&lt;&gt;"",F301-F301*G301,"")</f>
        <v>0</v>
      </c>
      <c r="J301" s="16">
        <f>IF(Trabajos!H301&lt;&gt;"",H301*0.55,"")</f>
        <v>36506.25</v>
      </c>
      <c r="K301" s="16">
        <f>IF(Trabajos!H301&lt;&gt;"",H301*0.45,"")</f>
        <v>29868.75</v>
      </c>
      <c r="L301" s="16" t="str">
        <f>IF(Trabajos!L301="","",Trabajos!L301)</f>
        <v>Zoom</v>
      </c>
    </row>
    <row r="302" spans="2:12" x14ac:dyDescent="0.25">
      <c r="B302" s="52">
        <f>IF(Trabajos!B302="","",Trabajos!B302)</f>
        <v>45994</v>
      </c>
      <c r="C302" s="53" t="str">
        <f>IF(Trabajos!F302="","",Trabajos!F302)</f>
        <v>Espartina S.A.</v>
      </c>
      <c r="D302" s="54" t="str">
        <f>IF(Trabajos!D302="","",Trabajos!D302)</f>
        <v>Monitoreo de bb y bab</v>
      </c>
      <c r="E302" s="17">
        <f>IF(Trabajos!J302="","",Trabajos!J302)</f>
        <v>368381.25</v>
      </c>
      <c r="F302" s="17">
        <f>IF(Trabajos!O302="","",Trabajos!O302)</f>
        <v>124275.9</v>
      </c>
      <c r="G302" s="7"/>
      <c r="H302" s="17">
        <f>IF(Trabajos!H302&lt;&gt;"",E302-E302*G302,"")</f>
        <v>368381.25</v>
      </c>
      <c r="I302" s="17">
        <f>IF(Trabajos!H302&lt;&gt;"",F302-F302*G302,"")</f>
        <v>124275.9</v>
      </c>
      <c r="J302" s="16">
        <f>IF(Trabajos!H302&lt;&gt;"",H302*0.55,"")</f>
        <v>202609.68750000003</v>
      </c>
      <c r="K302" s="16">
        <f>IF(Trabajos!H302&lt;&gt;"",H302*0.45,"")</f>
        <v>165771.5625</v>
      </c>
      <c r="L302" s="16" t="str">
        <f>IF(Trabajos!L302="","",Trabajos!L302)</f>
        <v>Zoom</v>
      </c>
    </row>
    <row r="303" spans="2:12" x14ac:dyDescent="0.25">
      <c r="B303" s="52">
        <f>IF(Trabajos!B303="","",Trabajos!B303)</f>
        <v>45994</v>
      </c>
      <c r="C303" s="53" t="str">
        <f>IF(Trabajos!F303="","",Trabajos!F303)</f>
        <v>Inalco</v>
      </c>
      <c r="D303" s="54" t="str">
        <f>IF(Trabajos!D303="","",Trabajos!D303)</f>
        <v>Aplicación de cebos</v>
      </c>
      <c r="E303" s="17">
        <f>IF(Trabajos!J303="","",Trabajos!J303)</f>
        <v>512620</v>
      </c>
      <c r="F303" s="17">
        <f>IF(Trabajos!O303="","",Trabajos!O303)</f>
        <v>135200</v>
      </c>
      <c r="G303" s="7"/>
      <c r="H303" s="17">
        <f>IF(Trabajos!H303&lt;&gt;"",E303-E303*G303,"")</f>
        <v>512620</v>
      </c>
      <c r="I303" s="17">
        <f>IF(Trabajos!H303&lt;&gt;"",F303-F303*G303,"")</f>
        <v>135200</v>
      </c>
      <c r="J303" s="16">
        <f>IF(Trabajos!H303&lt;&gt;"",H303*0.55,"")</f>
        <v>281941</v>
      </c>
      <c r="K303" s="16">
        <f>IF(Trabajos!H303&lt;&gt;"",H303*0.45,"")</f>
        <v>230679</v>
      </c>
      <c r="L303" s="16" t="str">
        <f>IF(Trabajos!L303="","",Trabajos!L303)</f>
        <v>Tomas</v>
      </c>
    </row>
    <row r="304" spans="2:12" x14ac:dyDescent="0.25">
      <c r="B304" s="52">
        <f>IF(Trabajos!B304="","",Trabajos!B304)</f>
        <v>45995</v>
      </c>
      <c r="C304" s="53" t="str">
        <f>IF(Trabajos!F304="","",Trabajos!F304)</f>
        <v>Espartina S.A.</v>
      </c>
      <c r="D304" s="54" t="str">
        <f>IF(Trabajos!D304="","",Trabajos!D304)</f>
        <v>Aplicación de cebos</v>
      </c>
      <c r="E304" s="17">
        <f>IF(Trabajos!J304="","",Trabajos!J304)</f>
        <v>775750</v>
      </c>
      <c r="F304" s="17">
        <f>IF(Trabajos!O304="","",Trabajos!O304)</f>
        <v>0</v>
      </c>
      <c r="G304" s="7"/>
      <c r="H304" s="17">
        <f>IF(Trabajos!H304&lt;&gt;"",E304-E304*G304,"")</f>
        <v>775750</v>
      </c>
      <c r="I304" s="17">
        <f>IF(Trabajos!H304&lt;&gt;"",F304-F304*G304,"")</f>
        <v>0</v>
      </c>
      <c r="J304" s="16">
        <f>IF(Trabajos!H304&lt;&gt;"",H304*0.55,"")</f>
        <v>426662.50000000006</v>
      </c>
      <c r="K304" s="16">
        <f>IF(Trabajos!H304&lt;&gt;"",H304*0.45,"")</f>
        <v>349087.5</v>
      </c>
      <c r="L304" s="16" t="str">
        <f>IF(Trabajos!L304="","",Trabajos!L304)</f>
        <v>Tomas</v>
      </c>
    </row>
    <row r="305" spans="2:12" x14ac:dyDescent="0.25">
      <c r="B305" s="52">
        <f>IF(Trabajos!B305="","",Trabajos!B305)</f>
        <v>45995</v>
      </c>
      <c r="C305" s="53" t="str">
        <f>IF(Trabajos!F305="","",Trabajos!F305)</f>
        <v>Espartina S.A.</v>
      </c>
      <c r="D305" s="54" t="str">
        <f>IF(Trabajos!D305="","",Trabajos!D305)</f>
        <v>Aplicación de cebos</v>
      </c>
      <c r="E305" s="17">
        <f>IF(Trabajos!J305="","",Trabajos!J305)</f>
        <v>667000</v>
      </c>
      <c r="F305" s="17">
        <f>IF(Trabajos!O305="","",Trabajos!O305)</f>
        <v>124275.9</v>
      </c>
      <c r="G305" s="7"/>
      <c r="H305" s="17">
        <f>IF(Trabajos!H305&lt;&gt;"",E305-E305*G305,"")</f>
        <v>667000</v>
      </c>
      <c r="I305" s="17">
        <f>IF(Trabajos!H305&lt;&gt;"",F305-F305*G305,"")</f>
        <v>124275.9</v>
      </c>
      <c r="J305" s="16">
        <f>IF(Trabajos!H305&lt;&gt;"",H305*0.55,"")</f>
        <v>366850.00000000006</v>
      </c>
      <c r="K305" s="16">
        <f>IF(Trabajos!H305&lt;&gt;"",H305*0.45,"")</f>
        <v>300150</v>
      </c>
      <c r="L305" s="16" t="str">
        <f>IF(Trabajos!L305="","",Trabajos!L305)</f>
        <v>Tomas</v>
      </c>
    </row>
    <row r="306" spans="2:12" x14ac:dyDescent="0.25">
      <c r="B306" s="52">
        <f>IF(Trabajos!B306="","",Trabajos!B306)</f>
        <v>46002</v>
      </c>
      <c r="C306" s="53" t="str">
        <f>IF(Trabajos!F306="","",Trabajos!F306)</f>
        <v>Cofina Agro</v>
      </c>
      <c r="D306" s="54" t="str">
        <f>IF(Trabajos!D306="","",Trabajos!D306)</f>
        <v>Aplicación de cebos</v>
      </c>
      <c r="E306" s="17">
        <f>IF(Trabajos!J306="","",Trabajos!J306)</f>
        <v>217875</v>
      </c>
      <c r="F306" s="17">
        <f>IF(Trabajos!O306="","",Trabajos!O306)</f>
        <v>71500</v>
      </c>
      <c r="G306" s="7"/>
      <c r="H306" s="17">
        <f>IF(Trabajos!H306&lt;&gt;"",E306-E306*G306,"")</f>
        <v>217875</v>
      </c>
      <c r="I306" s="17">
        <f>IF(Trabajos!H306&lt;&gt;"",F306-F306*G306,"")</f>
        <v>71500</v>
      </c>
      <c r="J306" s="16">
        <f>IF(Trabajos!H306&lt;&gt;"",H306*0.55,"")</f>
        <v>119831.25000000001</v>
      </c>
      <c r="K306" s="16">
        <f>IF(Trabajos!H306&lt;&gt;"",H306*0.45,"")</f>
        <v>98043.75</v>
      </c>
      <c r="L306" s="16" t="str">
        <f>IF(Trabajos!L306="","",Trabajos!L306)</f>
        <v>Zoom</v>
      </c>
    </row>
    <row r="307" spans="2:12" x14ac:dyDescent="0.25">
      <c r="B307" s="52">
        <f>IF(Trabajos!B307="","",Trabajos!B307)</f>
        <v>46003</v>
      </c>
      <c r="C307" s="53" t="str">
        <f>IF(Trabajos!F307="","",Trabajos!F307)</f>
        <v>Espartina S.A.</v>
      </c>
      <c r="D307" s="54" t="str">
        <f>IF(Trabajos!D307="","",Trabajos!D307)</f>
        <v>Aplicación de cebos</v>
      </c>
      <c r="E307" s="17">
        <f>IF(Trabajos!J307="","",Trabajos!J307)</f>
        <v>775750</v>
      </c>
      <c r="F307" s="17">
        <f>IF(Trabajos!O307="","",Trabajos!O307)</f>
        <v>219153.19999999998</v>
      </c>
      <c r="G307" s="7"/>
      <c r="H307" s="17">
        <f>IF(Trabajos!H307&lt;&gt;"",E307-E307*G307,"")</f>
        <v>775750</v>
      </c>
      <c r="I307" s="17">
        <f>IF(Trabajos!H307&lt;&gt;"",F307-F307*G307,"")</f>
        <v>219153.19999999998</v>
      </c>
      <c r="J307" s="16">
        <f>IF(Trabajos!H307&lt;&gt;"",H307*0.55,"")</f>
        <v>426662.50000000006</v>
      </c>
      <c r="K307" s="16">
        <f>IF(Trabajos!H307&lt;&gt;"",H307*0.45,"")</f>
        <v>349087.5</v>
      </c>
      <c r="L307" s="16" t="str">
        <f>IF(Trabajos!L307="","",Trabajos!L307)</f>
        <v>Tomas</v>
      </c>
    </row>
    <row r="308" spans="2:12" x14ac:dyDescent="0.25">
      <c r="B308" s="52">
        <f>IF(Trabajos!B308="","",Trabajos!B308)</f>
        <v>46004</v>
      </c>
      <c r="C308" s="53" t="str">
        <f>IF(Trabajos!F308="","",Trabajos!F308)</f>
        <v>Carlos Fernando Fuertes</v>
      </c>
      <c r="D308" s="54" t="str">
        <f>IF(Trabajos!D308="","",Trabajos!D308)</f>
        <v>Aplicación de cebos</v>
      </c>
      <c r="E308" s="17">
        <f>IF(Trabajos!J308="","",Trabajos!J308)</f>
        <v>527040</v>
      </c>
      <c r="F308" s="17">
        <f>IF(Trabajos!O308="","",Trabajos!O308)</f>
        <v>0</v>
      </c>
      <c r="G308" s="7"/>
      <c r="H308" s="17">
        <f>IF(Trabajos!H308&lt;&gt;"",E308-E308*G308,"")</f>
        <v>527040</v>
      </c>
      <c r="I308" s="17">
        <f>IF(Trabajos!H308&lt;&gt;"",F308-F308*G308,"")</f>
        <v>0</v>
      </c>
      <c r="J308" s="16">
        <f>IF(Trabajos!H308&lt;&gt;"",H308*0.55,"")</f>
        <v>289872</v>
      </c>
      <c r="K308" s="16">
        <f>IF(Trabajos!H308&lt;&gt;"",H308*0.45,"")</f>
        <v>237168</v>
      </c>
      <c r="L308" s="16" t="str">
        <f>IF(Trabajos!L308="","",Trabajos!L308)</f>
        <v>Tomas</v>
      </c>
    </row>
    <row r="309" spans="2:12" x14ac:dyDescent="0.25">
      <c r="B309" s="52">
        <f>IF(Trabajos!B309="","",Trabajos!B309)</f>
        <v>46008</v>
      </c>
      <c r="C309" s="53" t="str">
        <f>IF(Trabajos!F309="","",Trabajos!F309)</f>
        <v>Agustin Galeano</v>
      </c>
      <c r="D309" s="54" t="str">
        <f>IF(Trabajos!D309="","",Trabajos!D309)</f>
        <v>Muestreo de suelos</v>
      </c>
      <c r="E309" s="17">
        <f>IF(Trabajos!J309="","",Trabajos!J309)</f>
        <v>282240</v>
      </c>
      <c r="F309" s="17">
        <f>IF(Trabajos!O309="","",Trabajos!O309)</f>
        <v>67600</v>
      </c>
      <c r="G309" s="7"/>
      <c r="H309" s="17">
        <f>IF(Trabajos!H309&lt;&gt;"",E309-E309*G309,"")</f>
        <v>282240</v>
      </c>
      <c r="I309" s="17">
        <f>IF(Trabajos!H309&lt;&gt;"",F309-F309*G309,"")</f>
        <v>67600</v>
      </c>
      <c r="J309" s="16">
        <f>IF(Trabajos!H309&lt;&gt;"",H309*0.55,"")</f>
        <v>155232</v>
      </c>
      <c r="K309" s="16">
        <f>IF(Trabajos!H309&lt;&gt;"",H309*0.45,"")</f>
        <v>127008</v>
      </c>
      <c r="L309" s="16" t="str">
        <f>IF(Trabajos!L309="","",Trabajos!L309)</f>
        <v>Zoom</v>
      </c>
    </row>
    <row r="310" spans="2:12" x14ac:dyDescent="0.25">
      <c r="B310" s="52">
        <f>IF(Trabajos!B310="","",Trabajos!B310)</f>
        <v>46009</v>
      </c>
      <c r="C310" s="53" t="str">
        <f>IF(Trabajos!F310="","",Trabajos!F310)</f>
        <v>Jose Echeverria e Hijos</v>
      </c>
      <c r="D310" s="54" t="str">
        <f>IF(Trabajos!D310="","",Trabajos!D310)</f>
        <v>Muestreo de suelos</v>
      </c>
      <c r="E310" s="17">
        <f>IF(Trabajos!J310="","",Trabajos!J310)</f>
        <v>28600</v>
      </c>
      <c r="F310" s="17">
        <f>IF(Trabajos!O310="","",Trabajos!O310)</f>
        <v>14000</v>
      </c>
      <c r="G310" s="7"/>
      <c r="H310" s="17">
        <f>IF(Trabajos!H310&lt;&gt;"",E310-E310*G310,"")</f>
        <v>28600</v>
      </c>
      <c r="I310" s="17">
        <f>IF(Trabajos!H310&lt;&gt;"",F310-F310*G310,"")</f>
        <v>14000</v>
      </c>
      <c r="J310" s="16">
        <f>IF(Trabajos!H310&lt;&gt;"",H310*0.55,"")</f>
        <v>15730.000000000002</v>
      </c>
      <c r="K310" s="16">
        <f>IF(Trabajos!H310&lt;&gt;"",H310*0.45,"")</f>
        <v>12870</v>
      </c>
      <c r="L310" s="16" t="str">
        <f>IF(Trabajos!L310="","",Trabajos!L310)</f>
        <v>Zoom</v>
      </c>
    </row>
    <row r="311" spans="2:12" x14ac:dyDescent="0.25">
      <c r="B311" s="52">
        <f>IF(Trabajos!B311="","",Trabajos!B311)</f>
        <v>45993</v>
      </c>
      <c r="C311" s="53" t="str">
        <f>IF(Trabajos!F311="","",Trabajos!F311)</f>
        <v>Espartina S.A.</v>
      </c>
      <c r="D311" s="54" t="str">
        <f>IF(Trabajos!D311="","",Trabajos!D311)</f>
        <v>Aplicación de cebos</v>
      </c>
      <c r="E311" s="17">
        <f>IF(Trabajos!J311="","",Trabajos!J311)</f>
        <v>369750</v>
      </c>
      <c r="F311" s="17">
        <f>IF(Trabajos!O311="","",Trabajos!O311)</f>
        <v>197772.4</v>
      </c>
      <c r="G311" s="7"/>
      <c r="H311" s="17">
        <f>IF(Trabajos!H311&lt;&gt;"",E311-E311*G311,"")</f>
        <v>369750</v>
      </c>
      <c r="I311" s="17">
        <f>IF(Trabajos!H311&lt;&gt;"",F311-F311*G311,"")</f>
        <v>197772.4</v>
      </c>
      <c r="J311" s="16">
        <f>IF(Trabajos!H311&lt;&gt;"",H311*0.55,"")</f>
        <v>203362.50000000003</v>
      </c>
      <c r="K311" s="16">
        <f>IF(Trabajos!H311&lt;&gt;"",H311*0.45,"")</f>
        <v>166387.5</v>
      </c>
      <c r="L311" s="16" t="str">
        <f>IF(Trabajos!L311="","",Trabajos!L311)</f>
        <v>Zoom</v>
      </c>
    </row>
    <row r="312" spans="2:12" x14ac:dyDescent="0.25">
      <c r="B312" s="52">
        <f>IF(Trabajos!B312="","",Trabajos!B312)</f>
        <v>46013</v>
      </c>
      <c r="C312" s="53" t="str">
        <f>IF(Trabajos!F312="","",Trabajos!F312)</f>
        <v>Espartina S.A.</v>
      </c>
      <c r="D312" s="54" t="str">
        <f>IF(Trabajos!D312="","",Trabajos!D312)</f>
        <v>Aplicación de cebos</v>
      </c>
      <c r="E312" s="17">
        <f>IF(Trabajos!J312="","",Trabajos!J312)</f>
        <v>1189000</v>
      </c>
      <c r="F312" s="17">
        <f>IF(Trabajos!O312="","",Trabajos!O312)</f>
        <v>0</v>
      </c>
      <c r="G312" s="7"/>
      <c r="H312" s="17">
        <f>IF(Trabajos!H312&lt;&gt;"",E312-E312*G312,"")</f>
        <v>1189000</v>
      </c>
      <c r="I312" s="17">
        <f>IF(Trabajos!H312&lt;&gt;"",F312-F312*G312,"")</f>
        <v>0</v>
      </c>
      <c r="J312" s="16">
        <f>IF(Trabajos!H312&lt;&gt;"",H312*0.55,"")</f>
        <v>653950</v>
      </c>
      <c r="K312" s="16">
        <f>IF(Trabajos!H312&lt;&gt;"",H312*0.45,"")</f>
        <v>535050</v>
      </c>
      <c r="L312" s="16" t="str">
        <f>IF(Trabajos!L312="","",Trabajos!L312)</f>
        <v>Zoom</v>
      </c>
    </row>
    <row r="313" spans="2:12" x14ac:dyDescent="0.25">
      <c r="B313" s="52">
        <f>IF(Trabajos!B313="","",Trabajos!B313)</f>
        <v>45992</v>
      </c>
      <c r="C313" s="53" t="str">
        <f>IF(Trabajos!F313="","",Trabajos!F313)</f>
        <v>Juan Paulo Graf</v>
      </c>
      <c r="D313" s="54" t="str">
        <f>IF(Trabajos!D313="","",Trabajos!D313)</f>
        <v>Aplicación de cebos</v>
      </c>
      <c r="E313" s="17">
        <f>IF(Trabajos!J313="","",Trabajos!J313)</f>
        <v>2163480</v>
      </c>
      <c r="F313" s="17">
        <f>IF(Trabajos!O313="","",Trabajos!O313)</f>
        <v>214500</v>
      </c>
      <c r="G313" s="7"/>
      <c r="H313" s="17">
        <f>IF(Trabajos!H313&lt;&gt;"",E313-E313*G313,"")</f>
        <v>2163480</v>
      </c>
      <c r="I313" s="17">
        <f>IF(Trabajos!H313&lt;&gt;"",F313-F313*G313,"")</f>
        <v>214500</v>
      </c>
      <c r="J313" s="16">
        <f>IF(Trabajos!H313&lt;&gt;"",H313*0.55,"")</f>
        <v>1189914</v>
      </c>
      <c r="K313" s="16">
        <f>IF(Trabajos!H313&lt;&gt;"",H313*0.45,"")</f>
        <v>973566</v>
      </c>
      <c r="L313" s="16" t="str">
        <f>IF(Trabajos!L313="","",Trabajos!L313)</f>
        <v>Zoom</v>
      </c>
    </row>
    <row r="314" spans="2:12" x14ac:dyDescent="0.25">
      <c r="B314" s="52">
        <f>IF(Trabajos!B314="","",Trabajos!B314)</f>
        <v>46010</v>
      </c>
      <c r="C314" s="53" t="str">
        <f>IF(Trabajos!F314="","",Trabajos!F314)</f>
        <v>La Gloriosa S.A.</v>
      </c>
      <c r="D314" s="54" t="str">
        <f>IF(Trabajos!D314="","",Trabajos!D314)</f>
        <v>Muestreo de suelos</v>
      </c>
      <c r="E314" s="17">
        <f>IF(Trabajos!J314="","",Trabajos!J314)</f>
        <v>244120.5</v>
      </c>
      <c r="F314" s="17">
        <f>IF(Trabajos!O314="","",Trabajos!O314)</f>
        <v>128800</v>
      </c>
      <c r="G314" s="7"/>
      <c r="H314" s="17">
        <f>IF(Trabajos!H314&lt;&gt;"",E314-E314*G314,"")</f>
        <v>244120.5</v>
      </c>
      <c r="I314" s="17">
        <f>IF(Trabajos!H314&lt;&gt;"",F314-F314*G314,"")</f>
        <v>128800</v>
      </c>
      <c r="J314" s="16">
        <f>IF(Trabajos!H314&lt;&gt;"",H314*0.55,"")</f>
        <v>134266.27500000002</v>
      </c>
      <c r="K314" s="16">
        <f>IF(Trabajos!H314&lt;&gt;"",H314*0.45,"")</f>
        <v>109854.22500000001</v>
      </c>
      <c r="L314" s="16" t="str">
        <f>IF(Trabajos!L314="","",Trabajos!L314)</f>
        <v>Zoom</v>
      </c>
    </row>
    <row r="315" spans="2:12" x14ac:dyDescent="0.25">
      <c r="B315" s="52">
        <f>IF(Trabajos!B315="","",Trabajos!B315)</f>
        <v>46017</v>
      </c>
      <c r="C315" s="53" t="str">
        <f>IF(Trabajos!F315="","",Trabajos!F315)</f>
        <v>La Gloriosa S.A.</v>
      </c>
      <c r="D315" s="54" t="str">
        <f>IF(Trabajos!D315="","",Trabajos!D315)</f>
        <v>Muestreo de suelos</v>
      </c>
      <c r="E315" s="17">
        <f>IF(Trabajos!J315="","",Trabajos!J315)</f>
        <v>577800</v>
      </c>
      <c r="F315" s="17">
        <f>IF(Trabajos!O315="","",Trabajos!O315)</f>
        <v>74200</v>
      </c>
      <c r="G315" s="7"/>
      <c r="H315" s="17">
        <f>IF(Trabajos!H315&lt;&gt;"",E315-E315*G315,"")</f>
        <v>577800</v>
      </c>
      <c r="I315" s="17">
        <f>IF(Trabajos!H315&lt;&gt;"",F315-F315*G315,"")</f>
        <v>74200</v>
      </c>
      <c r="J315" s="16">
        <f>IF(Trabajos!H315&lt;&gt;"",H315*0.55,"")</f>
        <v>317790</v>
      </c>
      <c r="K315" s="16">
        <f>IF(Trabajos!H315&lt;&gt;"",H315*0.45,"")</f>
        <v>260010</v>
      </c>
      <c r="L315" s="16" t="str">
        <f>IF(Trabajos!L315="","",Trabajos!L315)</f>
        <v>Zoom</v>
      </c>
    </row>
    <row r="316" spans="2:12" x14ac:dyDescent="0.25">
      <c r="B316" s="52">
        <f>IF(Trabajos!B316="","",Trabajos!B316)</f>
        <v>46018</v>
      </c>
      <c r="C316" s="53" t="str">
        <f>IF(Trabajos!F316="","",Trabajos!F316)</f>
        <v>La Gloriosa S.A.</v>
      </c>
      <c r="D316" s="54" t="str">
        <f>IF(Trabajos!D316="","",Trabajos!D316)</f>
        <v>Muestreo de suelos</v>
      </c>
      <c r="E316" s="17">
        <f>IF(Trabajos!J316="","",Trabajos!J316)</f>
        <v>628357.5</v>
      </c>
      <c r="F316" s="17">
        <f>IF(Trabajos!O316="","",Trabajos!O316)</f>
        <v>74200</v>
      </c>
      <c r="G316" s="7"/>
      <c r="H316" s="17">
        <f>IF(Trabajos!H316&lt;&gt;"",E316-E316*G316,"")</f>
        <v>628357.5</v>
      </c>
      <c r="I316" s="17">
        <f>IF(Trabajos!H316&lt;&gt;"",F316-F316*G316,"")</f>
        <v>74200</v>
      </c>
      <c r="J316" s="16">
        <f>IF(Trabajos!H316&lt;&gt;"",H316*0.55,"")</f>
        <v>345596.625</v>
      </c>
      <c r="K316" s="16">
        <f>IF(Trabajos!H316&lt;&gt;"",H316*0.45,"")</f>
        <v>282760.875</v>
      </c>
      <c r="L316" s="16" t="str">
        <f>IF(Trabajos!L316="","",Trabajos!L316)</f>
        <v>Zoom</v>
      </c>
    </row>
    <row r="317" spans="2:12" x14ac:dyDescent="0.25">
      <c r="B317" s="52">
        <f>IF(Trabajos!B317="","",Trabajos!B317)</f>
        <v>46012</v>
      </c>
      <c r="C317" s="53" t="str">
        <f>IF(Trabajos!F317="","",Trabajos!F317)</f>
        <v>Espartina S.A.</v>
      </c>
      <c r="D317" s="54" t="str">
        <f>IF(Trabajos!D317="","",Trabajos!D317)</f>
        <v>Muestreo de suelos</v>
      </c>
      <c r="E317" s="17">
        <f>IF(Trabajos!J317="","",Trabajos!J317)</f>
        <v>73750</v>
      </c>
      <c r="F317" s="17">
        <f>IF(Trabajos!O317="","",Trabajos!O317)</f>
        <v>40089</v>
      </c>
      <c r="G317" s="7"/>
      <c r="H317" s="17">
        <f>IF(Trabajos!H317&lt;&gt;"",E317-E317*G317,"")</f>
        <v>73750</v>
      </c>
      <c r="I317" s="17">
        <f>IF(Trabajos!H317&lt;&gt;"",F317-F317*G317,"")</f>
        <v>40089</v>
      </c>
      <c r="J317" s="16">
        <f>IF(Trabajos!H317&lt;&gt;"",H317*0.55,"")</f>
        <v>40562.5</v>
      </c>
      <c r="K317" s="16">
        <f>IF(Trabajos!H317&lt;&gt;"",H317*0.45,"")</f>
        <v>33187.5</v>
      </c>
      <c r="L317" s="16" t="str">
        <f>IF(Trabajos!L317="","",Trabajos!L317)</f>
        <v>Zoom</v>
      </c>
    </row>
    <row r="318" spans="2:12" x14ac:dyDescent="0.25">
      <c r="B318" s="52">
        <f>IF(Trabajos!B318="","",Trabajos!B318)</f>
        <v>46037</v>
      </c>
      <c r="C318" s="53" t="str">
        <f>IF(Trabajos!F318="","",Trabajos!F318)</f>
        <v>La Gloriosa S.A.</v>
      </c>
      <c r="D318" s="54" t="str">
        <f>IF(Trabajos!D318="","",Trabajos!D318)</f>
        <v>Muestreo de suelos</v>
      </c>
      <c r="E318" s="17">
        <f>IF(Trabajos!J318="","",Trabajos!J318)</f>
        <v>433350</v>
      </c>
      <c r="F318" s="17">
        <f>IF(Trabajos!O318="","",Trabajos!O318)</f>
        <v>74200</v>
      </c>
      <c r="G318" s="7"/>
      <c r="H318" s="17">
        <f>IF(Trabajos!H318&lt;&gt;"",E318-E318*G318,"")</f>
        <v>433350</v>
      </c>
      <c r="I318" s="17">
        <f>IF(Trabajos!H318&lt;&gt;"",F318-F318*G318,"")</f>
        <v>74200</v>
      </c>
      <c r="J318" s="16">
        <f>IF(Trabajos!H318&lt;&gt;"",H318*0.55,"")</f>
        <v>238342.50000000003</v>
      </c>
      <c r="K318" s="16">
        <f>IF(Trabajos!H318&lt;&gt;"",H318*0.45,"")</f>
        <v>195007.5</v>
      </c>
      <c r="L318" s="16" t="str">
        <f>IF(Trabajos!L318="","",Trabajos!L318)</f>
        <v>Zoom</v>
      </c>
    </row>
    <row r="319" spans="2:12" x14ac:dyDescent="0.25">
      <c r="B319" s="52">
        <f>IF(Trabajos!B319="","",Trabajos!B319)</f>
        <v>46038</v>
      </c>
      <c r="C319" s="53" t="str">
        <f>IF(Trabajos!F319="","",Trabajos!F319)</f>
        <v>La Gloriosa S.A.</v>
      </c>
      <c r="D319" s="54" t="str">
        <f>IF(Trabajos!D319="","",Trabajos!D319)</f>
        <v>Muestreo de suelos</v>
      </c>
      <c r="E319" s="17">
        <f>IF(Trabajos!J319="","",Trabajos!J319)</f>
        <v>433350</v>
      </c>
      <c r="F319" s="17">
        <f>IF(Trabajos!O319="","",Trabajos!O319)</f>
        <v>74200</v>
      </c>
      <c r="G319" s="7"/>
      <c r="H319" s="17">
        <f>IF(Trabajos!H319&lt;&gt;"",E319-E319*G319,"")</f>
        <v>433350</v>
      </c>
      <c r="I319" s="17">
        <f>IF(Trabajos!H319&lt;&gt;"",F319-F319*G319,"")</f>
        <v>74200</v>
      </c>
      <c r="J319" s="16">
        <f>IF(Trabajos!H319&lt;&gt;"",H319*0.55,"")</f>
        <v>238342.50000000003</v>
      </c>
      <c r="K319" s="16">
        <f>IF(Trabajos!H319&lt;&gt;"",H319*0.45,"")</f>
        <v>195007.5</v>
      </c>
      <c r="L319" s="16" t="str">
        <f>IF(Trabajos!L319="","",Trabajos!L319)</f>
        <v>Zoom</v>
      </c>
    </row>
    <row r="320" spans="2:12" x14ac:dyDescent="0.25">
      <c r="B320" s="52">
        <f>IF(Trabajos!B320="","",Trabajos!B320)</f>
        <v>46049</v>
      </c>
      <c r="C320" s="53" t="str">
        <f>IF(Trabajos!F320="","",Trabajos!F320)</f>
        <v>La Gloriosa S.A.</v>
      </c>
      <c r="D320" s="54" t="str">
        <f>IF(Trabajos!D320="","",Trabajos!D320)</f>
        <v>Muestreo de suelos</v>
      </c>
      <c r="E320" s="17">
        <f>IF(Trabajos!J320="","",Trabajos!J320)</f>
        <v>500085.9</v>
      </c>
      <c r="F320" s="17">
        <f>IF(Trabajos!O320="","",Trabajos!O320)</f>
        <v>74200</v>
      </c>
      <c r="G320" s="7"/>
      <c r="H320" s="17">
        <f>IF(Trabajos!H320&lt;&gt;"",E320-E320*G320,"")</f>
        <v>500085.9</v>
      </c>
      <c r="I320" s="17">
        <f>IF(Trabajos!H320&lt;&gt;"",F320-F320*G320,"")</f>
        <v>74200</v>
      </c>
      <c r="J320" s="16">
        <f>IF(Trabajos!H320&lt;&gt;"",H320*0.55,"")</f>
        <v>275047.24500000005</v>
      </c>
      <c r="K320" s="16">
        <f>IF(Trabajos!H320&lt;&gt;"",H320*0.45,"")</f>
        <v>225038.65500000003</v>
      </c>
      <c r="L320" s="16" t="str">
        <f>IF(Trabajos!L320="","",Trabajos!L320)</f>
        <v>Zoom</v>
      </c>
    </row>
    <row r="321" spans="2:12" x14ac:dyDescent="0.25">
      <c r="B321" s="52">
        <f>IF(Trabajos!B321="","",Trabajos!B321)</f>
        <v>46039</v>
      </c>
      <c r="C321" s="53" t="str">
        <f>IF(Trabajos!F321="","",Trabajos!F321)</f>
        <v>Espartina S.A.</v>
      </c>
      <c r="D321" s="54" t="str">
        <f>IF(Trabajos!D321="","",Trabajos!D321)</f>
        <v>Aplicación de cebos</v>
      </c>
      <c r="E321" s="17">
        <f>IF(Trabajos!J321="","",Trabajos!J321)</f>
        <v>360625</v>
      </c>
      <c r="F321" s="17">
        <f>IF(Trabajos!O321="","",Trabajos!O321)</f>
        <v>124275.9</v>
      </c>
      <c r="G321" s="7"/>
      <c r="H321" s="17">
        <f>IF(Trabajos!H321&lt;&gt;"",E321-E321*G321,"")</f>
        <v>360625</v>
      </c>
      <c r="I321" s="17">
        <f>IF(Trabajos!H321&lt;&gt;"",F321-F321*G321,"")</f>
        <v>124275.9</v>
      </c>
      <c r="J321" s="16">
        <f>IF(Trabajos!H321&lt;&gt;"",H321*0.55,"")</f>
        <v>198343.75000000003</v>
      </c>
      <c r="K321" s="16">
        <f>IF(Trabajos!H321&lt;&gt;"",H321*0.45,"")</f>
        <v>162281.25</v>
      </c>
      <c r="L321" s="16" t="str">
        <f>IF(Trabajos!L321="","",Trabajos!L321)</f>
        <v>Zoom</v>
      </c>
    </row>
    <row r="322" spans="2:12" x14ac:dyDescent="0.25">
      <c r="B322" s="52">
        <f>IF(Trabajos!B322="","",Trabajos!B322)</f>
        <v>46158</v>
      </c>
      <c r="C322" s="53" t="str">
        <f>IF(Trabajos!F322="","",Trabajos!F322)</f>
        <v>Polixen S.A.</v>
      </c>
      <c r="D322" s="54" t="str">
        <f>IF(Trabajos!D322="","",Trabajos!D322)</f>
        <v>Aplicación de cebos</v>
      </c>
      <c r="E322" s="17">
        <f>IF(Trabajos!J322="","",Trabajos!J322)</f>
        <v>350750</v>
      </c>
      <c r="F322" s="17">
        <f>IF(Trabajos!O322="","",Trabajos!O322)</f>
        <v>0</v>
      </c>
      <c r="G322" s="7"/>
      <c r="H322" s="17">
        <f>IF(Trabajos!H322&lt;&gt;"",E322-E322*G322,"")</f>
        <v>350750</v>
      </c>
      <c r="I322" s="17">
        <f>IF(Trabajos!H322&lt;&gt;"",F322-F322*G322,"")</f>
        <v>0</v>
      </c>
      <c r="J322" s="16">
        <f>IF(Trabajos!H322&lt;&gt;"",H322*0.55,"")</f>
        <v>192912.50000000003</v>
      </c>
      <c r="K322" s="16">
        <f>IF(Trabajos!H322&lt;&gt;"",H322*0.45,"")</f>
        <v>157837.5</v>
      </c>
      <c r="L322" s="16" t="str">
        <f>IF(Trabajos!L322="","",Trabajos!L322)</f>
        <v>Tomas</v>
      </c>
    </row>
    <row r="323" spans="2:12" x14ac:dyDescent="0.25">
      <c r="B323" s="52">
        <f>IF(Trabajos!B323="","",Trabajos!B323)</f>
        <v>46164</v>
      </c>
      <c r="C323" s="53" t="str">
        <f>IF(Trabajos!F323="","",Trabajos!F323)</f>
        <v>Mackrey Agropecuaria</v>
      </c>
      <c r="D323" s="54" t="str">
        <f>IF(Trabajos!D323="","",Trabajos!D323)</f>
        <v>Muestreo de suelos</v>
      </c>
      <c r="E323" s="17">
        <f>IF(Trabajos!J323="","",Trabajos!J323)</f>
        <v>37200</v>
      </c>
      <c r="F323" s="17">
        <f>IF(Trabajos!O323="","",Trabajos!O323)</f>
        <v>18700</v>
      </c>
      <c r="G323" s="7"/>
      <c r="H323" s="17">
        <f>IF(Trabajos!H323&lt;&gt;"",E323-E323*G323,"")</f>
        <v>37200</v>
      </c>
      <c r="I323" s="17">
        <f>IF(Trabajos!H323&lt;&gt;"",F323-F323*G323,"")</f>
        <v>18700</v>
      </c>
      <c r="J323" s="16">
        <f>IF(Trabajos!H323&lt;&gt;"",H323*0.55,"")</f>
        <v>20460</v>
      </c>
      <c r="K323" s="16">
        <f>IF(Trabajos!H323&lt;&gt;"",H323*0.45,"")</f>
        <v>16740</v>
      </c>
      <c r="L323" s="16" t="str">
        <f>IF(Trabajos!L323="","",Trabajos!L323)</f>
        <v>Zoom</v>
      </c>
    </row>
    <row r="324" spans="2:12" x14ac:dyDescent="0.25">
      <c r="B324" s="52">
        <f>IF(Trabajos!B324="","",Trabajos!B324)</f>
        <v>46165</v>
      </c>
      <c r="C324" s="53" t="str">
        <f>IF(Trabajos!F324="","",Trabajos!F324)</f>
        <v>Purtierra</v>
      </c>
      <c r="D324" s="54" t="str">
        <f>IF(Trabajos!D324="","",Trabajos!D324)</f>
        <v>Mapeo Dron</v>
      </c>
      <c r="E324" s="17">
        <f>IF(Trabajos!J324="","",Trabajos!J324)</f>
        <v>651357</v>
      </c>
      <c r="F324" s="17">
        <f>IF(Trabajos!O324="","",Trabajos!O324)</f>
        <v>78200</v>
      </c>
      <c r="G324" s="7"/>
      <c r="H324" s="17">
        <f>IF(Trabajos!H324&lt;&gt;"",E324-E324*G324,"")</f>
        <v>651357</v>
      </c>
      <c r="I324" s="17">
        <f>IF(Trabajos!H324&lt;&gt;"",F324-F324*G324,"")</f>
        <v>78200</v>
      </c>
      <c r="J324" s="16">
        <f>IF(Trabajos!H324&lt;&gt;"",H324*0.55,"")</f>
        <v>358246.35000000003</v>
      </c>
      <c r="K324" s="16">
        <f>IF(Trabajos!H324&lt;&gt;"",H324*0.45,"")</f>
        <v>293110.65000000002</v>
      </c>
      <c r="L324" s="16" t="str">
        <f>IF(Trabajos!L324="","",Trabajos!L324)</f>
        <v>Tomas</v>
      </c>
    </row>
    <row r="325" spans="2:12" x14ac:dyDescent="0.25">
      <c r="B325" s="52">
        <f>IF(Trabajos!B325="","",Trabajos!B325)</f>
        <v>46168</v>
      </c>
      <c r="C325" s="53" t="str">
        <f>IF(Trabajos!F325="","",Trabajos!F325)</f>
        <v>La Nany S.A.</v>
      </c>
      <c r="D325" s="54" t="str">
        <f>IF(Trabajos!D325="","",Trabajos!D325)</f>
        <v>Muestreo de suelos</v>
      </c>
      <c r="E325" s="17">
        <f>IF(Trabajos!J325="","",Trabajos!J325)</f>
        <v>439352.5</v>
      </c>
      <c r="F325" s="17">
        <f>IF(Trabajos!O325="","",Trabajos!O325)</f>
        <v>0</v>
      </c>
      <c r="G325" s="7"/>
      <c r="H325" s="17">
        <f>IF(Trabajos!H325&lt;&gt;"",E325-E325*G325,"")</f>
        <v>439352.5</v>
      </c>
      <c r="I325" s="17">
        <f>IF(Trabajos!H325&lt;&gt;"",F325-F325*G325,"")</f>
        <v>0</v>
      </c>
      <c r="J325" s="16">
        <f>IF(Trabajos!H325&lt;&gt;"",H325*0.55,"")</f>
        <v>241643.87500000003</v>
      </c>
      <c r="K325" s="16">
        <f>IF(Trabajos!H325&lt;&gt;"",H325*0.45,"")</f>
        <v>197708.625</v>
      </c>
      <c r="L325" s="16" t="str">
        <f>IF(Trabajos!L325="","",Trabajos!L325)</f>
        <v>Tomas</v>
      </c>
    </row>
    <row r="326" spans="2:12" x14ac:dyDescent="0.25">
      <c r="B326" s="52">
        <f>IF(Trabajos!B326="","",Trabajos!B326)</f>
        <v>46168</v>
      </c>
      <c r="C326" s="53" t="str">
        <f>IF(Trabajos!F326="","",Trabajos!F326)</f>
        <v>La Nany S.A.</v>
      </c>
      <c r="D326" s="54" t="str">
        <f>IF(Trabajos!D326="","",Trabajos!D326)</f>
        <v>Muestreo de suelos</v>
      </c>
      <c r="E326" s="17">
        <f>IF(Trabajos!J326="","",Trabajos!J326)</f>
        <v>211753.5</v>
      </c>
      <c r="F326" s="17">
        <f>IF(Trabajos!O326="","",Trabajos!O326)</f>
        <v>88400</v>
      </c>
      <c r="G326" s="7"/>
      <c r="H326" s="17">
        <f>IF(Trabajos!H326&lt;&gt;"",E326-E326*G326,"")</f>
        <v>211753.5</v>
      </c>
      <c r="I326" s="17">
        <f>IF(Trabajos!H326&lt;&gt;"",F326-F326*G326,"")</f>
        <v>88400</v>
      </c>
      <c r="J326" s="16">
        <f>IF(Trabajos!H326&lt;&gt;"",H326*0.55,"")</f>
        <v>116464.425</v>
      </c>
      <c r="K326" s="16">
        <f>IF(Trabajos!H326&lt;&gt;"",H326*0.45,"")</f>
        <v>95289.074999999997</v>
      </c>
      <c r="L326" s="16" t="str">
        <f>IF(Trabajos!L326="","",Trabajos!L326)</f>
        <v>Tomas</v>
      </c>
    </row>
    <row r="327" spans="2:12" x14ac:dyDescent="0.25">
      <c r="B327" s="52">
        <f>IF(Trabajos!B327="","",Trabajos!B327)</f>
        <v>46200</v>
      </c>
      <c r="C327" s="53" t="str">
        <f>IF(Trabajos!F327="","",Trabajos!F327)</f>
        <v>Jose Velazco</v>
      </c>
      <c r="D327" s="54" t="str">
        <f>IF(Trabajos!D327="","",Trabajos!D327)</f>
        <v>Muestreo de suelos</v>
      </c>
      <c r="E327" s="17">
        <f>IF(Trabajos!J327="","",Trabajos!J327)</f>
        <v>186669</v>
      </c>
      <c r="F327" s="17">
        <f>IF(Trabajos!O327="","",Trabajos!O327)</f>
        <v>0</v>
      </c>
      <c r="G327" s="7"/>
      <c r="H327" s="17">
        <f>IF(Trabajos!H327&lt;&gt;"",E327-E327*G327,"")</f>
        <v>186669</v>
      </c>
      <c r="I327" s="17">
        <f>IF(Trabajos!H327&lt;&gt;"",F327-F327*G327,"")</f>
        <v>0</v>
      </c>
      <c r="J327" s="16">
        <f>IF(Trabajos!H327&lt;&gt;"",H327*0.55,"")</f>
        <v>102667.95000000001</v>
      </c>
      <c r="K327" s="16">
        <f>IF(Trabajos!H327&lt;&gt;"",H327*0.45,"")</f>
        <v>84001.05</v>
      </c>
      <c r="L327" s="16" t="str">
        <f>IF(Trabajos!L327="","",Trabajos!L327)</f>
        <v>Tomas</v>
      </c>
    </row>
    <row r="328" spans="2:12" x14ac:dyDescent="0.25">
      <c r="B328" s="52">
        <f>IF(Trabajos!B328="","",Trabajos!B328)</f>
        <v>46171</v>
      </c>
      <c r="C328" s="53" t="str">
        <f>IF(Trabajos!F328="","",Trabajos!F328)</f>
        <v>Espartina S.A.</v>
      </c>
      <c r="D328" s="54" t="str">
        <f>IF(Trabajos!D328="","",Trabajos!D328)</f>
        <v>Muestreo de suelos</v>
      </c>
      <c r="E328" s="17">
        <f>IF(Trabajos!J328="","",Trabajos!J328)</f>
        <v>148324.44444443999</v>
      </c>
      <c r="F328" s="17">
        <f>IF(Trabajos!O328="","",Trabajos!O328)</f>
        <v>0</v>
      </c>
      <c r="G328" s="7"/>
      <c r="H328" s="17">
        <f>IF(Trabajos!H328&lt;&gt;"",E328-E328*G328,"")</f>
        <v>148324.44444443999</v>
      </c>
      <c r="I328" s="17">
        <f>IF(Trabajos!H328&lt;&gt;"",F328-F328*G328,"")</f>
        <v>0</v>
      </c>
      <c r="J328" s="16">
        <f>IF(Trabajos!H328&lt;&gt;"",H328*0.55,"")</f>
        <v>81578.444444441993</v>
      </c>
      <c r="K328" s="16">
        <f>IF(Trabajos!H328&lt;&gt;"",H328*0.45,"")</f>
        <v>66745.999999997992</v>
      </c>
      <c r="L328" s="16" t="str">
        <f>IF(Trabajos!L328="","",Trabajos!L328)</f>
        <v>Tomas</v>
      </c>
    </row>
    <row r="329" spans="2:12" x14ac:dyDescent="0.25">
      <c r="B329" s="52">
        <f>IF(Trabajos!B329="","",Trabajos!B329)</f>
        <v>46173</v>
      </c>
      <c r="C329" s="53" t="str">
        <f>IF(Trabajos!F329="","",Trabajos!F329)</f>
        <v>Guillermo Pugliese</v>
      </c>
      <c r="D329" s="54" t="str">
        <f>IF(Trabajos!D329="","",Trabajos!D329)</f>
        <v>Seguimiento NDVI</v>
      </c>
      <c r="E329" s="17">
        <f>IF(Trabajos!J329="","",Trabajos!J329)</f>
        <v>4286937.5999999996</v>
      </c>
      <c r="F329" s="17">
        <f>IF(Trabajos!O329="","",Trabajos!O329)</f>
        <v>0</v>
      </c>
      <c r="G329" s="7"/>
      <c r="H329" s="17">
        <f>IF(Trabajos!H329&lt;&gt;"",E329-E329*G329,"")</f>
        <v>4286937.5999999996</v>
      </c>
      <c r="I329" s="17">
        <f>IF(Trabajos!H329&lt;&gt;"",F329-F329*G329,"")</f>
        <v>0</v>
      </c>
      <c r="J329" s="16">
        <f>IF(Trabajos!H329&lt;&gt;"",H329*0.55,"")</f>
        <v>2357815.6800000002</v>
      </c>
      <c r="K329" s="16">
        <f>IF(Trabajos!H329&lt;&gt;"",H329*0.45,"")</f>
        <v>1929121.92</v>
      </c>
      <c r="L329" s="16" t="str">
        <f>IF(Trabajos!L329="","",Trabajos!L329)</f>
        <v>Zoom</v>
      </c>
    </row>
    <row r="330" spans="2:12" x14ac:dyDescent="0.25">
      <c r="B330" s="52">
        <f>IF(Trabajos!B330="","",Trabajos!B330)</f>
        <v>46175</v>
      </c>
      <c r="C330" s="53" t="str">
        <f>IF(Trabajos!F330="","",Trabajos!F330)</f>
        <v>Espartina S.A.</v>
      </c>
      <c r="D330" s="54" t="str">
        <f>IF(Trabajos!D330="","",Trabajos!D330)</f>
        <v>Muestreo de suelos</v>
      </c>
      <c r="E330" s="17">
        <f>IF(Trabajos!J330="","",Trabajos!J330)</f>
        <v>148324.44444443999</v>
      </c>
      <c r="F330" s="17">
        <f>IF(Trabajos!O330="","",Trabajos!O330)</f>
        <v>167937.6</v>
      </c>
      <c r="G330" s="7"/>
      <c r="H330" s="17">
        <f>IF(Trabajos!H330&lt;&gt;"",E330-E330*G330,"")</f>
        <v>148324.44444443999</v>
      </c>
      <c r="I330" s="17">
        <f>IF(Trabajos!H330&lt;&gt;"",F330-F330*G330,"")</f>
        <v>167937.6</v>
      </c>
      <c r="J330" s="16">
        <f>IF(Trabajos!H330&lt;&gt;"",H330*0.55,"")</f>
        <v>81578.444444441993</v>
      </c>
      <c r="K330" s="16">
        <f>IF(Trabajos!H330&lt;&gt;"",H330*0.45,"")</f>
        <v>66745.999999997992</v>
      </c>
      <c r="L330" s="16" t="str">
        <f>IF(Trabajos!L330="","",Trabajos!L330)</f>
        <v>Tomas</v>
      </c>
    </row>
    <row r="331" spans="2:12" x14ac:dyDescent="0.25">
      <c r="B331" s="52">
        <f>IF(Trabajos!B331="","",Trabajos!B331)</f>
        <v>46175</v>
      </c>
      <c r="C331" s="53" t="str">
        <f>IF(Trabajos!F331="","",Trabajos!F331)</f>
        <v>Espartina S.A.</v>
      </c>
      <c r="D331" s="54" t="str">
        <f>IF(Trabajos!D331="","",Trabajos!D331)</f>
        <v>Muestreo de suelos</v>
      </c>
      <c r="E331" s="17">
        <f>IF(Trabajos!J331="","",Trabajos!J331)</f>
        <v>148324.44444443999</v>
      </c>
      <c r="F331" s="17">
        <f>IF(Trabajos!O331="","",Trabajos!O331)</f>
        <v>143743.20000000001</v>
      </c>
      <c r="G331" s="7"/>
      <c r="H331" s="17">
        <f>IF(Trabajos!H331&lt;&gt;"",E331-E331*G331,"")</f>
        <v>148324.44444443999</v>
      </c>
      <c r="I331" s="17">
        <f>IF(Trabajos!H331&lt;&gt;"",F331-F331*G331,"")</f>
        <v>143743.20000000001</v>
      </c>
      <c r="J331" s="16">
        <f>IF(Trabajos!H331&lt;&gt;"",H331*0.55,"")</f>
        <v>81578.444444441993</v>
      </c>
      <c r="K331" s="16">
        <f>IF(Trabajos!H331&lt;&gt;"",H331*0.45,"")</f>
        <v>66745.999999997992</v>
      </c>
      <c r="L331" s="16" t="str">
        <f>IF(Trabajos!L331="","",Trabajos!L331)</f>
        <v>Tomas</v>
      </c>
    </row>
    <row r="332" spans="2:12" x14ac:dyDescent="0.25">
      <c r="B332" s="52">
        <f>IF(Trabajos!B332="","",Trabajos!B332)</f>
        <v>46175</v>
      </c>
      <c r="C332" s="53" t="str">
        <f>IF(Trabajos!F332="","",Trabajos!F332)</f>
        <v>Espartina S.A.</v>
      </c>
      <c r="D332" s="54" t="str">
        <f>IF(Trabajos!D332="","",Trabajos!D332)</f>
        <v>Muestreo de suelos</v>
      </c>
      <c r="E332" s="17">
        <f>IF(Trabajos!J332="","",Trabajos!J332)</f>
        <v>148324.44444443999</v>
      </c>
      <c r="F332" s="17">
        <f>IF(Trabajos!O332="","",Trabajos!O332)</f>
        <v>0</v>
      </c>
      <c r="G332" s="7"/>
      <c r="H332" s="17">
        <f>IF(Trabajos!H332&lt;&gt;"",E332-E332*G332,"")</f>
        <v>148324.44444443999</v>
      </c>
      <c r="I332" s="17">
        <f>IF(Trabajos!H332&lt;&gt;"",F332-F332*G332,"")</f>
        <v>0</v>
      </c>
      <c r="J332" s="16">
        <f>IF(Trabajos!H332&lt;&gt;"",H332*0.55,"")</f>
        <v>81578.444444441993</v>
      </c>
      <c r="K332" s="16">
        <f>IF(Trabajos!H332&lt;&gt;"",H332*0.45,"")</f>
        <v>66745.999999997992</v>
      </c>
      <c r="L332" s="16" t="str">
        <f>IF(Trabajos!L332="","",Trabajos!L332)</f>
        <v>Tomas</v>
      </c>
    </row>
    <row r="333" spans="2:12" x14ac:dyDescent="0.25">
      <c r="B333" s="52">
        <f>IF(Trabajos!B333="","",Trabajos!B333)</f>
        <v>46175</v>
      </c>
      <c r="C333" s="53" t="str">
        <f>IF(Trabajos!F333="","",Trabajos!F333)</f>
        <v>Espartina S.A.</v>
      </c>
      <c r="D333" s="54" t="str">
        <f>IF(Trabajos!D333="","",Trabajos!D333)</f>
        <v>Muestreo de suelos</v>
      </c>
      <c r="E333" s="17">
        <f>IF(Trabajos!J333="","",Trabajos!J333)</f>
        <v>148324.44444443999</v>
      </c>
      <c r="F333" s="17">
        <f>IF(Trabajos!O333="","",Trabajos!O333)</f>
        <v>132357.6</v>
      </c>
      <c r="G333" s="7"/>
      <c r="H333" s="17">
        <f>IF(Trabajos!H333&lt;&gt;"",E333-E333*G333,"")</f>
        <v>148324.44444443999</v>
      </c>
      <c r="I333" s="17">
        <f>IF(Trabajos!H333&lt;&gt;"",F333-F333*G333,"")</f>
        <v>132357.6</v>
      </c>
      <c r="J333" s="16">
        <f>IF(Trabajos!H333&lt;&gt;"",H333*0.55,"")</f>
        <v>81578.444444441993</v>
      </c>
      <c r="K333" s="16">
        <f>IF(Trabajos!H333&lt;&gt;"",H333*0.45,"")</f>
        <v>66745.999999997992</v>
      </c>
      <c r="L333" s="16" t="str">
        <f>IF(Trabajos!L333="","",Trabajos!L333)</f>
        <v>Paco</v>
      </c>
    </row>
    <row r="334" spans="2:12" x14ac:dyDescent="0.25">
      <c r="B334" s="52">
        <f>IF(Trabajos!B334="","",Trabajos!B334)</f>
        <v>46175</v>
      </c>
      <c r="C334" s="53" t="str">
        <f>IF(Trabajos!F334="","",Trabajos!F334)</f>
        <v>Espartina S.A.</v>
      </c>
      <c r="D334" s="54" t="str">
        <f>IF(Trabajos!D334="","",Trabajos!D334)</f>
        <v>Muestreo de suelos</v>
      </c>
      <c r="E334" s="17">
        <f>IF(Trabajos!J334="","",Trabajos!J334)</f>
        <v>148324.44444443999</v>
      </c>
      <c r="F334" s="17">
        <f>IF(Trabajos!O334="","",Trabajos!O334)</f>
        <v>0</v>
      </c>
      <c r="G334" s="7"/>
      <c r="H334" s="17">
        <f>IF(Trabajos!H334&lt;&gt;"",E334-E334*G334,"")</f>
        <v>148324.44444443999</v>
      </c>
      <c r="I334" s="17">
        <f>IF(Trabajos!H334&lt;&gt;"",F334-F334*G334,"")</f>
        <v>0</v>
      </c>
      <c r="J334" s="16">
        <f>IF(Trabajos!H334&lt;&gt;"",H334*0.55,"")</f>
        <v>81578.444444441993</v>
      </c>
      <c r="K334" s="16">
        <f>IF(Trabajos!H334&lt;&gt;"",H334*0.45,"")</f>
        <v>66745.999999997992</v>
      </c>
      <c r="L334" s="16" t="str">
        <f>IF(Trabajos!L334="","",Trabajos!L334)</f>
        <v>Paco</v>
      </c>
    </row>
    <row r="335" spans="2:12" x14ac:dyDescent="0.25">
      <c r="B335" s="52">
        <f>IF(Trabajos!B335="","",Trabajos!B335)</f>
        <v>46176</v>
      </c>
      <c r="C335" s="53" t="str">
        <f>IF(Trabajos!F335="","",Trabajos!F335)</f>
        <v>Espartina S.A.</v>
      </c>
      <c r="D335" s="54" t="str">
        <f>IF(Trabajos!D335="","",Trabajos!D335)</f>
        <v>Muestreo de suelos</v>
      </c>
      <c r="E335" s="17">
        <f>IF(Trabajos!J335="","",Trabajos!J335)</f>
        <v>148324.44444443999</v>
      </c>
      <c r="F335" s="17">
        <f>IF(Trabajos!O335="","",Trabajos!O335)</f>
        <v>149436</v>
      </c>
      <c r="G335" s="7"/>
      <c r="H335" s="17">
        <f>IF(Trabajos!H335&lt;&gt;"",E335-E335*G335,"")</f>
        <v>148324.44444443999</v>
      </c>
      <c r="I335" s="17">
        <f>IF(Trabajos!H335&lt;&gt;"",F335-F335*G335,"")</f>
        <v>149436</v>
      </c>
      <c r="J335" s="16">
        <f>IF(Trabajos!H335&lt;&gt;"",H335*0.55,"")</f>
        <v>81578.444444441993</v>
      </c>
      <c r="K335" s="16">
        <f>IF(Trabajos!H335&lt;&gt;"",H335*0.45,"")</f>
        <v>66745.999999997992</v>
      </c>
      <c r="L335" s="16" t="str">
        <f>IF(Trabajos!L335="","",Trabajos!L335)</f>
        <v>Paco</v>
      </c>
    </row>
    <row r="336" spans="2:12" x14ac:dyDescent="0.25">
      <c r="B336" s="52">
        <f>IF(Trabajos!B336="","",Trabajos!B336)</f>
        <v>46176</v>
      </c>
      <c r="C336" s="53" t="str">
        <f>IF(Trabajos!F336="","",Trabajos!F336)</f>
        <v>Baltan Agropecuaria</v>
      </c>
      <c r="D336" s="54" t="str">
        <f>IF(Trabajos!D336="","",Trabajos!D336)</f>
        <v>Muestreo de suelos</v>
      </c>
      <c r="E336" s="17">
        <f>IF(Trabajos!J336="","",Trabajos!J336)</f>
        <v>56179.5</v>
      </c>
      <c r="F336" s="17">
        <f>IF(Trabajos!O336="","",Trabajos!O336)</f>
        <v>30600</v>
      </c>
      <c r="G336" s="7"/>
      <c r="H336" s="17">
        <f>IF(Trabajos!H336&lt;&gt;"",E336-E336*G336,"")</f>
        <v>56179.5</v>
      </c>
      <c r="I336" s="17">
        <f>IF(Trabajos!H336&lt;&gt;"",F336-F336*G336,"")</f>
        <v>30600</v>
      </c>
      <c r="J336" s="16">
        <f>IF(Trabajos!H336&lt;&gt;"",H336*0.55,"")</f>
        <v>30898.725000000002</v>
      </c>
      <c r="K336" s="16">
        <f>IF(Trabajos!H336&lt;&gt;"",H336*0.45,"")</f>
        <v>25280.775000000001</v>
      </c>
      <c r="L336" s="16" t="str">
        <f>IF(Trabajos!L336="","",Trabajos!L336)</f>
        <v>Tomas</v>
      </c>
    </row>
    <row r="337" spans="2:12" x14ac:dyDescent="0.25">
      <c r="B337" s="52">
        <f>IF(Trabajos!B337="","",Trabajos!B337)</f>
        <v>46167</v>
      </c>
      <c r="C337" s="53" t="str">
        <f>IF(Trabajos!F337="","",Trabajos!F337)</f>
        <v>Alejandro Massigoge</v>
      </c>
      <c r="D337" s="54" t="str">
        <f>IF(Trabajos!D337="","",Trabajos!D337)</f>
        <v>Muestreo de suelos</v>
      </c>
      <c r="E337" s="17">
        <f>IF(Trabajos!J337="","",Trabajos!J337)</f>
        <v>309551</v>
      </c>
      <c r="F337" s="17">
        <f>IF(Trabajos!O337="","",Trabajos!O337)</f>
        <v>0</v>
      </c>
      <c r="G337" s="7"/>
      <c r="H337" s="17">
        <f>IF(Trabajos!H337&lt;&gt;"",E337-E337*G337,"")</f>
        <v>309551</v>
      </c>
      <c r="I337" s="17">
        <f>IF(Trabajos!H337&lt;&gt;"",F337-F337*G337,"")</f>
        <v>0</v>
      </c>
      <c r="J337" s="16">
        <f>IF(Trabajos!H337&lt;&gt;"",H337*0.55,"")</f>
        <v>170253.05000000002</v>
      </c>
      <c r="K337" s="16">
        <f>IF(Trabajos!H337&lt;&gt;"",H337*0.45,"")</f>
        <v>139297.95000000001</v>
      </c>
      <c r="L337" s="16" t="str">
        <f>IF(Trabajos!L337="","",Trabajos!L337)</f>
        <v>Paco</v>
      </c>
    </row>
    <row r="338" spans="2:12" x14ac:dyDescent="0.25">
      <c r="B338" s="52">
        <f>IF(Trabajos!B338="","",Trabajos!B338)</f>
        <v>46184</v>
      </c>
      <c r="C338" s="53" t="str">
        <f>IF(Trabajos!F338="","",Trabajos!F338)</f>
        <v>Purtierra</v>
      </c>
      <c r="D338" s="54" t="str">
        <f>IF(Trabajos!D338="","",Trabajos!D338)</f>
        <v>Mapeo Dron</v>
      </c>
      <c r="E338" s="17">
        <f>IF(Trabajos!J338="","",Trabajos!J338)</f>
        <v>607047</v>
      </c>
      <c r="F338" s="17">
        <f>IF(Trabajos!O338="","",Trabajos!O338)</f>
        <v>78200</v>
      </c>
      <c r="G338" s="7"/>
      <c r="H338" s="17">
        <f>IF(Trabajos!H338&lt;&gt;"",E338-E338*G338,"")</f>
        <v>607047</v>
      </c>
      <c r="I338" s="17">
        <f>IF(Trabajos!H338&lt;&gt;"",F338-F338*G338,"")</f>
        <v>78200</v>
      </c>
      <c r="J338" s="16">
        <f>IF(Trabajos!H338&lt;&gt;"",H338*0.55,"")</f>
        <v>333875.85000000003</v>
      </c>
      <c r="K338" s="16">
        <f>IF(Trabajos!H338&lt;&gt;"",H338*0.45,"")</f>
        <v>273171.15000000002</v>
      </c>
      <c r="L338" s="16" t="str">
        <f>IF(Trabajos!L338="","",Trabajos!L338)</f>
        <v>Tomas</v>
      </c>
    </row>
    <row r="339" spans="2:12" x14ac:dyDescent="0.25">
      <c r="B339" s="52">
        <f>IF(Trabajos!B339="","",Trabajos!B339)</f>
        <v>46185</v>
      </c>
      <c r="C339" s="53" t="str">
        <f>IF(Trabajos!F339="","",Trabajos!F339)</f>
        <v>Nugas S.A.</v>
      </c>
      <c r="D339" s="54" t="str">
        <f>IF(Trabajos!D339="","",Trabajos!D339)</f>
        <v>Muestreo de suelos</v>
      </c>
      <c r="E339" s="17">
        <f>IF(Trabajos!J339="","",Trabajos!J339)</f>
        <v>221488.80000000002</v>
      </c>
      <c r="F339" s="17">
        <f>IF(Trabajos!O339="","",Trabajos!O339)</f>
        <v>136000</v>
      </c>
      <c r="G339" s="7"/>
      <c r="H339" s="17">
        <f>IF(Trabajos!H339&lt;&gt;"",E339-E339*G339,"")</f>
        <v>221488.80000000002</v>
      </c>
      <c r="I339" s="17">
        <f>IF(Trabajos!H339&lt;&gt;"",F339-F339*G339,"")</f>
        <v>136000</v>
      </c>
      <c r="J339" s="16">
        <f>IF(Trabajos!H339&lt;&gt;"",H339*0.55,"")</f>
        <v>121818.84000000003</v>
      </c>
      <c r="K339" s="16">
        <f>IF(Trabajos!H339&lt;&gt;"",H339*0.45,"")</f>
        <v>99669.96</v>
      </c>
      <c r="L339" s="16" t="str">
        <f>IF(Trabajos!L339="","",Trabajos!L339)</f>
        <v>Tomas</v>
      </c>
    </row>
    <row r="340" spans="2:12" x14ac:dyDescent="0.25">
      <c r="B340" s="52">
        <f>IF(Trabajos!B340="","",Trabajos!B340)</f>
        <v>46185</v>
      </c>
      <c r="C340" s="53" t="str">
        <f>IF(Trabajos!F340="","",Trabajos!F340)</f>
        <v>Nugas S.A.</v>
      </c>
      <c r="D340" s="54" t="str">
        <f>IF(Trabajos!D340="","",Trabajos!D340)</f>
        <v>Muestreo de suelos</v>
      </c>
      <c r="E340" s="17">
        <f>IF(Trabajos!J340="","",Trabajos!J340)</f>
        <v>125034</v>
      </c>
      <c r="F340" s="17">
        <f>IF(Trabajos!O340="","",Trabajos!O340)</f>
        <v>0</v>
      </c>
      <c r="G340" s="7"/>
      <c r="H340" s="17">
        <f>IF(Trabajos!H340&lt;&gt;"",E340-E340*G340,"")</f>
        <v>125034</v>
      </c>
      <c r="I340" s="17">
        <f>IF(Trabajos!H340&lt;&gt;"",F340-F340*G340,"")</f>
        <v>0</v>
      </c>
      <c r="J340" s="16">
        <f>IF(Trabajos!H340&lt;&gt;"",H340*0.55,"")</f>
        <v>68768.700000000012</v>
      </c>
      <c r="K340" s="16">
        <f>IF(Trabajos!H340&lt;&gt;"",H340*0.45,"")</f>
        <v>56265.3</v>
      </c>
      <c r="L340" s="16" t="str">
        <f>IF(Trabajos!L340="","",Trabajos!L340)</f>
        <v>Tomas</v>
      </c>
    </row>
    <row r="341" spans="2:12" x14ac:dyDescent="0.25">
      <c r="B341" s="52">
        <f>IF(Trabajos!B341="","",Trabajos!B341)</f>
        <v>46185</v>
      </c>
      <c r="C341" s="53" t="str">
        <f>IF(Trabajos!F341="","",Trabajos!F341)</f>
        <v>Alfredo Hitce</v>
      </c>
      <c r="D341" s="54" t="str">
        <f>IF(Trabajos!D341="","",Trabajos!D341)</f>
        <v>Muestreo de suelos</v>
      </c>
      <c r="E341" s="17">
        <f>IF(Trabajos!J341="","",Trabajos!J341)</f>
        <v>147312</v>
      </c>
      <c r="F341" s="17">
        <f>IF(Trabajos!O341="","",Trabajos!O341)</f>
        <v>115600</v>
      </c>
      <c r="G341" s="7"/>
      <c r="H341" s="17">
        <f>IF(Trabajos!H341&lt;&gt;"",E341-E341*G341,"")</f>
        <v>147312</v>
      </c>
      <c r="I341" s="17">
        <f>IF(Trabajos!H341&lt;&gt;"",F341-F341*G341,"")</f>
        <v>115600</v>
      </c>
      <c r="J341" s="16">
        <f>IF(Trabajos!H341&lt;&gt;"",H341*0.55,"")</f>
        <v>81021.600000000006</v>
      </c>
      <c r="K341" s="16">
        <f>IF(Trabajos!H341&lt;&gt;"",H341*0.45,"")</f>
        <v>66290.400000000009</v>
      </c>
      <c r="L341" s="16" t="str">
        <f>IF(Trabajos!L341="","",Trabajos!L341)</f>
        <v>Tomas</v>
      </c>
    </row>
    <row r="342" spans="2:12" x14ac:dyDescent="0.25">
      <c r="B342" s="52">
        <f>IF(Trabajos!B342="","",Trabajos!B342)</f>
        <v>46185</v>
      </c>
      <c r="C342" s="53" t="str">
        <f>IF(Trabajos!F342="","",Trabajos!F342)</f>
        <v>Espartina S.A.</v>
      </c>
      <c r="D342" s="54" t="str">
        <f>IF(Trabajos!D342="","",Trabajos!D342)</f>
        <v>Muestreo de suelos</v>
      </c>
      <c r="E342" s="17">
        <f>IF(Trabajos!J342="","",Trabajos!J342)</f>
        <v>148324.44444443999</v>
      </c>
      <c r="F342" s="17">
        <f>IF(Trabajos!O342="","",Trabajos!O342)</f>
        <v>176476.80000000002</v>
      </c>
      <c r="G342" s="7"/>
      <c r="H342" s="17">
        <f>IF(Trabajos!H342&lt;&gt;"",E342-E342*G342,"")</f>
        <v>148324.44444443999</v>
      </c>
      <c r="I342" s="17">
        <f>IF(Trabajos!H342&lt;&gt;"",F342-F342*G342,"")</f>
        <v>176476.80000000002</v>
      </c>
      <c r="J342" s="16">
        <f>IF(Trabajos!H342&lt;&gt;"",H342*0.55,"")</f>
        <v>81578.444444441993</v>
      </c>
      <c r="K342" s="16">
        <f>IF(Trabajos!H342&lt;&gt;"",H342*0.45,"")</f>
        <v>66745.999999997992</v>
      </c>
      <c r="L342" s="16" t="str">
        <f>IF(Trabajos!L342="","",Trabajos!L342)</f>
        <v>Paco</v>
      </c>
    </row>
    <row r="343" spans="2:12" x14ac:dyDescent="0.25">
      <c r="B343" s="52">
        <f>IF(Trabajos!B343="","",Trabajos!B343)</f>
        <v>46185</v>
      </c>
      <c r="C343" s="53" t="str">
        <f>IF(Trabajos!F343="","",Trabajos!F343)</f>
        <v>Espartina S.A.</v>
      </c>
      <c r="D343" s="54" t="str">
        <f>IF(Trabajos!D343="","",Trabajos!D343)</f>
        <v>Muestreo de suelos</v>
      </c>
      <c r="E343" s="17">
        <f>IF(Trabajos!J343="","",Trabajos!J343)</f>
        <v>148324.44444443999</v>
      </c>
      <c r="F343" s="17">
        <f>IF(Trabajos!O343="","",Trabajos!O343)</f>
        <v>0</v>
      </c>
      <c r="G343" s="7"/>
      <c r="H343" s="17">
        <f>IF(Trabajos!H343&lt;&gt;"",E343-E343*G343,"")</f>
        <v>148324.44444443999</v>
      </c>
      <c r="I343" s="17">
        <f>IF(Trabajos!H343&lt;&gt;"",F343-F343*G343,"")</f>
        <v>0</v>
      </c>
      <c r="J343" s="16">
        <f>IF(Trabajos!H343&lt;&gt;"",H343*0.55,"")</f>
        <v>81578.444444441993</v>
      </c>
      <c r="K343" s="16">
        <f>IF(Trabajos!H343&lt;&gt;"",H343*0.45,"")</f>
        <v>66745.999999997992</v>
      </c>
      <c r="L343" s="16" t="str">
        <f>IF(Trabajos!L343="","",Trabajos!L343)</f>
        <v>Paco</v>
      </c>
    </row>
    <row r="344" spans="2:12" x14ac:dyDescent="0.25">
      <c r="B344" s="52">
        <f>IF(Trabajos!B344="","",Trabajos!B344)</f>
        <v>46189</v>
      </c>
      <c r="C344" s="53" t="str">
        <f>IF(Trabajos!F344="","",Trabajos!F344)</f>
        <v>Fernando Pili</v>
      </c>
      <c r="D344" s="54" t="str">
        <f>IF(Trabajos!D344="","",Trabajos!D344)</f>
        <v>Mapeo Dron</v>
      </c>
      <c r="E344" s="17">
        <f>IF(Trabajos!J344="","",Trabajos!J344)</f>
        <v>1056090.75</v>
      </c>
      <c r="F344" s="17">
        <f>IF(Trabajos!O344="","",Trabajos!O344)</f>
        <v>0</v>
      </c>
      <c r="G344" s="7"/>
      <c r="H344" s="17">
        <f>IF(Trabajos!H344&lt;&gt;"",E344-E344*G344,"")</f>
        <v>1056090.75</v>
      </c>
      <c r="I344" s="17">
        <f>IF(Trabajos!H344&lt;&gt;"",F344-F344*G344,"")</f>
        <v>0</v>
      </c>
      <c r="J344" s="16">
        <f>IF(Trabajos!H344&lt;&gt;"",H344*0.55,"")</f>
        <v>580849.91250000009</v>
      </c>
      <c r="K344" s="16">
        <f>IF(Trabajos!H344&lt;&gt;"",H344*0.45,"")</f>
        <v>475240.83750000002</v>
      </c>
      <c r="L344" s="16" t="str">
        <f>IF(Trabajos!L344="","",Trabajos!L344)</f>
        <v>Paco</v>
      </c>
    </row>
    <row r="345" spans="2:12" x14ac:dyDescent="0.25">
      <c r="B345" s="52">
        <f>IF(Trabajos!B361="","",Trabajos!B361)</f>
        <v>46212</v>
      </c>
      <c r="C345" s="53" t="str">
        <f>IF(Trabajos!F361="","",Trabajos!F361)</f>
        <v>Espartina S.A.</v>
      </c>
      <c r="D345" s="54" t="str">
        <f>IF(Trabajos!D361="","",Trabajos!D361)</f>
        <v>Muestreo de suelos</v>
      </c>
      <c r="E345" s="17">
        <f>IF(Trabajos!J361="","",Trabajos!J361)</f>
        <v>74400</v>
      </c>
      <c r="F345" s="17">
        <f>IF(Trabajos!O361="","",Trabajos!O361)</f>
        <v>0</v>
      </c>
      <c r="G345" s="7"/>
      <c r="H345" s="17">
        <f>IF(Trabajos!H361&lt;&gt;"",E345-E345*G345,"")</f>
        <v>74400</v>
      </c>
      <c r="I345" s="17">
        <f>IF(Trabajos!H361&lt;&gt;"",F345-F345*G345,"")</f>
        <v>0</v>
      </c>
      <c r="J345" s="16">
        <f>IF(Trabajos!H361&lt;&gt;"",H345*0.55,"")</f>
        <v>40920</v>
      </c>
      <c r="K345" s="16">
        <f>IF(Trabajos!H361&lt;&gt;"",H345*0.45,"")</f>
        <v>33480</v>
      </c>
      <c r="L345" s="16" t="str">
        <f>IF(Trabajos!L361="","",Trabajos!L361)</f>
        <v>Tomas</v>
      </c>
    </row>
    <row r="346" spans="2:12" x14ac:dyDescent="0.25">
      <c r="B346" s="52">
        <f>IF(Trabajos!B362="","",Trabajos!B362)</f>
        <v>46212</v>
      </c>
      <c r="C346" s="53" t="str">
        <f>IF(Trabajos!F362="","",Trabajos!F362)</f>
        <v>Espartina S.A.</v>
      </c>
      <c r="D346" s="54" t="str">
        <f>IF(Trabajos!D362="","",Trabajos!D362)</f>
        <v>Muestreo de suelos</v>
      </c>
      <c r="E346" s="17">
        <f>IF(Trabajos!J362="","",Trabajos!J362)</f>
        <v>74400</v>
      </c>
      <c r="F346" s="17">
        <f>IF(Trabajos!O362="","",Trabajos!O362)</f>
        <v>0</v>
      </c>
      <c r="G346" s="7"/>
      <c r="H346" s="17">
        <f>IF(Trabajos!H362&lt;&gt;"",E346-E346*G346,"")</f>
        <v>74400</v>
      </c>
      <c r="I346" s="17">
        <f>IF(Trabajos!H362&lt;&gt;"",F346-F346*G346,"")</f>
        <v>0</v>
      </c>
      <c r="J346" s="16">
        <f>IF(Trabajos!H362&lt;&gt;"",H346*0.55,"")</f>
        <v>40920</v>
      </c>
      <c r="K346" s="16">
        <f>IF(Trabajos!H362&lt;&gt;"",H346*0.45,"")</f>
        <v>33480</v>
      </c>
      <c r="L346" s="16" t="str">
        <f>IF(Trabajos!L362="","",Trabajos!L362)</f>
        <v>Tomas</v>
      </c>
    </row>
    <row r="347" spans="2:12" x14ac:dyDescent="0.25">
      <c r="B347" s="52" t="str">
        <f>IF(Trabajos!B393="","",Trabajos!B393)</f>
        <v/>
      </c>
      <c r="C347" s="53" t="str">
        <f>IF(Trabajos!F393="","",Trabajos!F393)</f>
        <v/>
      </c>
      <c r="D347" s="54" t="str">
        <f>IF(Trabajos!D393="","",Trabajos!D393)</f>
        <v/>
      </c>
      <c r="E347" s="17" t="str">
        <f>IF(Trabajos!J393="","",Trabajos!J393)</f>
        <v/>
      </c>
      <c r="F347" s="17" t="str">
        <f>IF(Trabajos!O393="","",Trabajos!O393)</f>
        <v/>
      </c>
      <c r="G347" s="7"/>
      <c r="H347" s="17" t="str">
        <f>IF(Trabajos!H393&lt;&gt;"",E347-E347*G347,"")</f>
        <v/>
      </c>
      <c r="I347" s="17" t="str">
        <f>IF(Trabajos!H393&lt;&gt;"",F347-F347*G347,"")</f>
        <v/>
      </c>
      <c r="J347" s="16" t="str">
        <f>IF(Trabajos!H393&lt;&gt;"",H347*0.55,"")</f>
        <v/>
      </c>
      <c r="K347" s="16" t="str">
        <f>IF(Trabajos!H393&lt;&gt;"",H347*0.45,"")</f>
        <v/>
      </c>
      <c r="L347" s="16" t="str">
        <f>IF(Trabajos!L393="","",Trabajos!L393)</f>
        <v/>
      </c>
    </row>
    <row r="348" spans="2:12" x14ac:dyDescent="0.25">
      <c r="B348" s="52" t="str">
        <f>IF(Trabajos!B394="","",Trabajos!B394)</f>
        <v/>
      </c>
      <c r="C348" s="53" t="str">
        <f>IF(Trabajos!F394="","",Trabajos!F394)</f>
        <v/>
      </c>
      <c r="D348" s="54" t="str">
        <f>IF(Trabajos!D394="","",Trabajos!D394)</f>
        <v/>
      </c>
      <c r="E348" s="17" t="str">
        <f>IF(Trabajos!J394="","",Trabajos!J394)</f>
        <v/>
      </c>
      <c r="F348" s="17" t="str">
        <f>IF(Trabajos!O394="","",Trabajos!O394)</f>
        <v/>
      </c>
      <c r="G348" s="7"/>
      <c r="H348" s="17" t="str">
        <f>IF(Trabajos!H394&lt;&gt;"",E348-E348*G348,"")</f>
        <v/>
      </c>
      <c r="I348" s="17" t="str">
        <f>IF(Trabajos!H394&lt;&gt;"",F348-F348*G348,"")</f>
        <v/>
      </c>
      <c r="J348" s="16" t="str">
        <f>IF(Trabajos!H394&lt;&gt;"",H348*0.55,"")</f>
        <v/>
      </c>
      <c r="K348" s="16" t="str">
        <f>IF(Trabajos!H394&lt;&gt;"",H348*0.45,"")</f>
        <v/>
      </c>
      <c r="L348" s="16" t="str">
        <f>IF(Trabajos!L394="","",Trabajos!L394)</f>
        <v/>
      </c>
    </row>
    <row r="349" spans="2:12" x14ac:dyDescent="0.25">
      <c r="B349" s="57" t="s">
        <v>9</v>
      </c>
      <c r="C349" s="58"/>
      <c r="D349" s="58"/>
      <c r="E349" s="59">
        <f>SUM(E5:E348)</f>
        <v>191913111.52999961</v>
      </c>
      <c r="F349" s="59">
        <f>SUM(F5:F348)</f>
        <v>28057096.899999984</v>
      </c>
      <c r="G349" s="60"/>
      <c r="H349" s="59">
        <f>SUM(H5:H348)</f>
        <v>191911755.76423961</v>
      </c>
      <c r="I349" s="59">
        <f>SUM(I5:I348)</f>
        <v>28056729.987999983</v>
      </c>
      <c r="J349" s="61">
        <f>SUM(J5:J348)</f>
        <v>105551465.67033176</v>
      </c>
      <c r="K349" s="61">
        <f>SUM(K5:K348)</f>
        <v>86360290.093907803</v>
      </c>
    </row>
    <row r="350" spans="2:12" x14ac:dyDescent="0.25">
      <c r="B350" s="8"/>
    </row>
    <row r="351" spans="2:12" x14ac:dyDescent="0.25">
      <c r="B351" s="8"/>
      <c r="L351" s="5" t="s">
        <v>4</v>
      </c>
    </row>
    <row r="352" spans="2:12" x14ac:dyDescent="0.25">
      <c r="B352" s="8"/>
      <c r="K352" s="5" t="s">
        <v>4</v>
      </c>
    </row>
    <row r="353" spans="2:2" x14ac:dyDescent="0.25">
      <c r="B353" s="8"/>
    </row>
    <row r="354" spans="2:2" x14ac:dyDescent="0.25">
      <c r="B354" s="8"/>
    </row>
    <row r="355" spans="2:2" x14ac:dyDescent="0.25">
      <c r="B355" s="8"/>
    </row>
    <row r="356" spans="2:2" x14ac:dyDescent="0.25">
      <c r="B356" s="8"/>
    </row>
    <row r="357" spans="2:2" x14ac:dyDescent="0.25">
      <c r="B357" s="8"/>
    </row>
  </sheetData>
  <autoFilter ref="B4:U349" xr:uid="{00000000-0009-0000-0000-000008000000}"/>
  <mergeCells count="4">
    <mergeCell ref="J3:L3"/>
    <mergeCell ref="O3:Q3"/>
    <mergeCell ref="H3:I3"/>
    <mergeCell ref="B2:C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154"/>
  <sheetViews>
    <sheetView showGridLines="0" workbookViewId="0">
      <pane ySplit="9" topLeftCell="A10" activePane="bottomLeft" state="frozen"/>
      <selection activeCell="A2" sqref="A2"/>
      <selection pane="bottomLeft" activeCell="D82" sqref="D82"/>
    </sheetView>
  </sheetViews>
  <sheetFormatPr baseColWidth="10" defaultRowHeight="15" x14ac:dyDescent="0.25"/>
  <cols>
    <col min="1" max="1" width="7.140625" customWidth="1"/>
    <col min="2" max="2" width="12.85546875" bestFit="1" customWidth="1"/>
    <col min="3" max="3" width="22.7109375" bestFit="1" customWidth="1"/>
    <col min="4" max="4" width="22.5703125" bestFit="1" customWidth="1"/>
    <col min="5" max="5" width="14.140625" bestFit="1" customWidth="1"/>
    <col min="6" max="6" width="14.5703125" bestFit="1" customWidth="1"/>
    <col min="8" max="8" width="14.140625" bestFit="1" customWidth="1"/>
    <col min="9" max="9" width="14.5703125" bestFit="1" customWidth="1"/>
    <col min="10" max="11" width="14.140625" bestFit="1" customWidth="1"/>
    <col min="13" max="13" width="10" customWidth="1"/>
    <col min="15" max="17" width="14.140625" bestFit="1" customWidth="1"/>
  </cols>
  <sheetData>
    <row r="1" spans="2:17" ht="5.25" customHeight="1" x14ac:dyDescent="0.25">
      <c r="B1" s="49"/>
      <c r="C1" s="49"/>
      <c r="D1" s="49"/>
      <c r="E1" s="50"/>
      <c r="F1" s="50"/>
      <c r="G1" s="51"/>
      <c r="H1" s="50"/>
      <c r="I1" s="50"/>
      <c r="J1" s="50"/>
      <c r="K1" s="50"/>
      <c r="L1" s="50"/>
      <c r="M1" s="49"/>
      <c r="N1" s="49"/>
      <c r="O1" s="49"/>
      <c r="P1" s="49"/>
      <c r="Q1" s="49"/>
    </row>
    <row r="2" spans="2:17" ht="26.25" x14ac:dyDescent="0.4">
      <c r="B2" s="247" t="s">
        <v>40</v>
      </c>
      <c r="C2" s="247"/>
      <c r="E2" s="5"/>
      <c r="F2" s="5"/>
      <c r="G2" s="6"/>
      <c r="H2" s="5"/>
      <c r="I2" s="5"/>
      <c r="J2" s="5"/>
      <c r="K2" s="5"/>
      <c r="L2" s="5"/>
    </row>
    <row r="3" spans="2:17" x14ac:dyDescent="0.25">
      <c r="C3" s="11"/>
      <c r="D3" s="11"/>
      <c r="E3" s="12"/>
      <c r="F3" s="12"/>
      <c r="G3" s="6"/>
      <c r="H3" s="243" t="s">
        <v>25</v>
      </c>
      <c r="I3" s="246"/>
      <c r="J3" s="243" t="s">
        <v>17</v>
      </c>
      <c r="K3" s="244"/>
      <c r="L3" s="244"/>
      <c r="O3" s="245" t="s">
        <v>23</v>
      </c>
      <c r="P3" s="245"/>
      <c r="Q3" s="245"/>
    </row>
    <row r="4" spans="2:17" x14ac:dyDescent="0.25">
      <c r="B4" s="41" t="s">
        <v>16</v>
      </c>
      <c r="C4" s="41" t="s">
        <v>6</v>
      </c>
      <c r="D4" s="41" t="s">
        <v>27</v>
      </c>
      <c r="E4" s="41" t="s">
        <v>3</v>
      </c>
      <c r="F4" s="41" t="s">
        <v>15</v>
      </c>
      <c r="G4" s="41" t="s">
        <v>24</v>
      </c>
      <c r="H4" s="41" t="s">
        <v>3</v>
      </c>
      <c r="I4" s="41" t="s">
        <v>15</v>
      </c>
      <c r="J4" s="41" t="s">
        <v>13</v>
      </c>
      <c r="K4" s="41" t="s">
        <v>111</v>
      </c>
      <c r="L4" s="41" t="s">
        <v>15</v>
      </c>
      <c r="O4" s="72" t="s">
        <v>10</v>
      </c>
      <c r="P4" s="72" t="s">
        <v>11</v>
      </c>
      <c r="Q4" s="72" t="s">
        <v>14</v>
      </c>
    </row>
    <row r="5" spans="2:17" x14ac:dyDescent="0.25">
      <c r="B5" s="52">
        <f>IF('Trabajos 2'!B5="","",'Trabajos 2'!B5)</f>
        <v>45908</v>
      </c>
      <c r="C5" s="53" t="str">
        <f>IF('Trabajos 2'!F5="","",'Trabajos 2'!F5)</f>
        <v>Carlos Fernando Fuertes</v>
      </c>
      <c r="D5" s="54" t="str">
        <f>IF('Trabajos 2'!D5="","",'Trabajos 2'!D5)</f>
        <v>Seguimiento de cultivos</v>
      </c>
      <c r="E5" s="17">
        <f>IF('Trabajos 2'!J5="","",'Trabajos 2'!J5)</f>
        <v>100000</v>
      </c>
      <c r="F5" s="17">
        <f>IF('Trabajos 2'!O5="","",'Trabajos 2'!O5)</f>
        <v>78000</v>
      </c>
      <c r="G5" s="181"/>
      <c r="H5" s="17">
        <f>IF('Trabajos 2'!H5&lt;&gt;"",E5-E5*G5,"")</f>
        <v>100000</v>
      </c>
      <c r="I5" s="17">
        <f>IF('Trabajos 2'!H5&lt;&gt;"",F5-F5*G5,"")</f>
        <v>78000</v>
      </c>
      <c r="J5" s="16">
        <f>IF('Trabajos 2'!H5&lt;&gt;"",H5*0.55,"")</f>
        <v>55000.000000000007</v>
      </c>
      <c r="K5" s="16">
        <f>IF('Trabajos 2'!H5&lt;&gt;"",H5*0.45,"")</f>
        <v>45000</v>
      </c>
      <c r="L5" s="16" t="str">
        <f>IF('Trabajos 2'!L5="","",'Trabajos 2'!L5)</f>
        <v>Tomas</v>
      </c>
      <c r="N5" s="41" t="s">
        <v>13</v>
      </c>
      <c r="O5" s="55">
        <f>IFERROR((J154*Referencias!L17),"")</f>
        <v>0</v>
      </c>
      <c r="P5" s="55">
        <f>IFERROR((J154*Referencias!M17),"")</f>
        <v>4117225.7534246575</v>
      </c>
      <c r="Q5" s="55">
        <f>IFERROR((J154*Referencias!N17),"")</f>
        <v>2917098.2465753425</v>
      </c>
    </row>
    <row r="6" spans="2:17" x14ac:dyDescent="0.25">
      <c r="B6" s="52">
        <f>IF('Trabajos 2'!B6="","",'Trabajos 2'!B6)</f>
        <v>45912</v>
      </c>
      <c r="C6" s="53" t="str">
        <f>IF('Trabajos 2'!F6="","",'Trabajos 2'!F6)</f>
        <v>Omar Piaggio</v>
      </c>
      <c r="D6" s="54" t="str">
        <f>IF('Trabajos 2'!D6="","",'Trabajos 2'!D6)</f>
        <v>Seguimiento de cultivos</v>
      </c>
      <c r="E6" s="17">
        <f>IF('Trabajos 2'!J6="","",'Trabajos 2'!J6)</f>
        <v>150000</v>
      </c>
      <c r="F6" s="17">
        <f>IF('Trabajos 2'!O6="","",'Trabajos 2'!O6)</f>
        <v>146250</v>
      </c>
      <c r="G6" s="181"/>
      <c r="H6" s="17">
        <f>IF('Trabajos 2'!H6&lt;&gt;"",E6-E6*G6,"")</f>
        <v>150000</v>
      </c>
      <c r="I6" s="17">
        <f>IF('Trabajos 2'!H6&lt;&gt;"",F6-F6*G6,"")</f>
        <v>146250</v>
      </c>
      <c r="J6" s="16">
        <f>IF('Trabajos 2'!H6&lt;&gt;"",H6*0.55,"")</f>
        <v>82500</v>
      </c>
      <c r="K6" s="16">
        <f>IF('Trabajos 2'!H6&lt;&gt;"",H6*0.45,"")</f>
        <v>67500</v>
      </c>
      <c r="L6" s="16" t="str">
        <f>IF('Trabajos 2'!L6="","",'Trabajos 2'!L6)</f>
        <v>Tomas</v>
      </c>
      <c r="N6" s="41" t="s">
        <v>111</v>
      </c>
      <c r="O6" s="55">
        <f>IFERROR((K154*Referencias!Q7),"")</f>
        <v>2877678</v>
      </c>
      <c r="P6" s="55">
        <f>IFERROR((K154*Referencias!R7),"")</f>
        <v>2877678</v>
      </c>
      <c r="Q6" s="9" t="s">
        <v>4</v>
      </c>
    </row>
    <row r="7" spans="2:17" x14ac:dyDescent="0.25">
      <c r="B7" s="52">
        <f>IF('Trabajos 2'!B7="","",'Trabajos 2'!B7)</f>
        <v>45917</v>
      </c>
      <c r="C7" s="53" t="str">
        <f>IF('Trabajos 2'!F7="","",'Trabajos 2'!F7)</f>
        <v>Omar Piaggio</v>
      </c>
      <c r="D7" s="54" t="str">
        <f>IF('Trabajos 2'!D7="","",'Trabajos 2'!D7)</f>
        <v>Seguimiento de cultivos</v>
      </c>
      <c r="E7" s="17">
        <f>IF('Trabajos 2'!J7="","",'Trabajos 2'!J7)</f>
        <v>0</v>
      </c>
      <c r="F7" s="17">
        <f>IF('Trabajos 2'!O7="","",'Trabajos 2'!O7)</f>
        <v>146250</v>
      </c>
      <c r="G7" s="181"/>
      <c r="H7" s="17">
        <f>IF('Trabajos 2'!H7&lt;&gt;"",E7-E7*G7,"")</f>
        <v>0</v>
      </c>
      <c r="I7" s="17">
        <f>IF('Trabajos 2'!H7&lt;&gt;"",F7-F7*G7,"")</f>
        <v>146250</v>
      </c>
      <c r="J7" s="16">
        <f>IF('Trabajos 2'!H7&lt;&gt;"",H7*0.55,"")</f>
        <v>0</v>
      </c>
      <c r="K7" s="16">
        <f>IF('Trabajos 2'!H7&lt;&gt;"",H7*0.45,"")</f>
        <v>0</v>
      </c>
      <c r="L7" s="16" t="str">
        <f>IF('Trabajos 2'!L7="","",'Trabajos 2'!L7)</f>
        <v>Tomas</v>
      </c>
      <c r="N7" s="41" t="s">
        <v>22</v>
      </c>
      <c r="O7" s="55">
        <f>IFERROR((SUMIF(L5:L153,O4,I5:I153)),"")</f>
        <v>0</v>
      </c>
      <c r="P7" s="55">
        <f>IFERROR((SUMIF(L5:L153,P4,I5:I153)),"")</f>
        <v>8184500</v>
      </c>
      <c r="Q7" s="55">
        <f>IFERROR((SUMIF(L5:L153,Q4,I5:I153)),"")</f>
        <v>5463063.4499999993</v>
      </c>
    </row>
    <row r="8" spans="2:17" x14ac:dyDescent="0.25">
      <c r="B8" s="52">
        <f>IF('Trabajos 2'!B8="","",'Trabajos 2'!B8)</f>
        <v>45926</v>
      </c>
      <c r="C8" s="53" t="str">
        <f>IF('Trabajos 2'!F8="","",'Trabajos 2'!F8)</f>
        <v>Nugas S.A.</v>
      </c>
      <c r="D8" s="54" t="str">
        <f>IF('Trabajos 2'!D8="","",'Trabajos 2'!D8)</f>
        <v>Seguimiento de cultivos</v>
      </c>
      <c r="E8" s="17">
        <f>IF('Trabajos 2'!J8="","",'Trabajos 2'!J8)</f>
        <v>100000</v>
      </c>
      <c r="F8" s="17">
        <f>IF('Trabajos 2'!O8="","",'Trabajos 2'!O8)</f>
        <v>104000</v>
      </c>
      <c r="G8" s="181"/>
      <c r="H8" s="17">
        <f>IF('Trabajos 2'!H8&lt;&gt;"",E8-E8*G8,"")</f>
        <v>100000</v>
      </c>
      <c r="I8" s="17">
        <f>IF('Trabajos 2'!H8&lt;&gt;"",F8-F8*G8,"")</f>
        <v>104000</v>
      </c>
      <c r="J8" s="16">
        <f>IF('Trabajos 2'!H8&lt;&gt;"",H8*0.55,"")</f>
        <v>55000.000000000007</v>
      </c>
      <c r="K8" s="16">
        <f>IF('Trabajos 2'!H8&lt;&gt;"",H8*0.45,"")</f>
        <v>45000</v>
      </c>
      <c r="L8" s="16" t="str">
        <f>IF('Trabajos 2'!L8="","",'Trabajos 2'!L8)</f>
        <v>Tomas</v>
      </c>
      <c r="N8" s="41" t="s">
        <v>9</v>
      </c>
      <c r="O8" s="56">
        <f>IFERROR((SUM(O5:O7)+Q5*Referencias!Q7+Q7*Referencias!Q7),"")</f>
        <v>7067758.8482876709</v>
      </c>
      <c r="P8" s="56">
        <f>IFERROR((SUM(P5:P7)+Q5*Referencias!R7+Q7*Referencias!R7),"")</f>
        <v>19369484.601712331</v>
      </c>
      <c r="Q8" s="10" t="s">
        <v>4</v>
      </c>
    </row>
    <row r="9" spans="2:17" x14ac:dyDescent="0.25">
      <c r="B9" s="52">
        <f>IF('Trabajos 2'!B9="","",'Trabajos 2'!B9)</f>
        <v>45933</v>
      </c>
      <c r="C9" s="53" t="str">
        <f>IF('Trabajos 2'!F9="","",'Trabajos 2'!F9)</f>
        <v>Nugas S.A.</v>
      </c>
      <c r="D9" s="54" t="str">
        <f>IF('Trabajos 2'!D9="","",'Trabajos 2'!D9)</f>
        <v>Seguimiento de cultivos</v>
      </c>
      <c r="E9" s="17">
        <f>IF('Trabajos 2'!J9="","",'Trabajos 2'!J9)</f>
        <v>100000</v>
      </c>
      <c r="F9" s="17">
        <f>IF('Trabajos 2'!O9="","",'Trabajos 2'!O9)</f>
        <v>104000</v>
      </c>
      <c r="G9" s="181"/>
      <c r="H9" s="17">
        <f>IF('Trabajos 2'!H9&lt;&gt;"",E9-E9*G9,"")</f>
        <v>100000</v>
      </c>
      <c r="I9" s="17">
        <f>IF('Trabajos 2'!H9&lt;&gt;"",F9-F9*G9,"")</f>
        <v>104000</v>
      </c>
      <c r="J9" s="16">
        <f>IF('Trabajos 2'!H9&lt;&gt;"",H9*0.55,"")</f>
        <v>55000.000000000007</v>
      </c>
      <c r="K9" s="16">
        <f>IF('Trabajos 2'!H9&lt;&gt;"",H9*0.45,"")</f>
        <v>45000</v>
      </c>
      <c r="L9" s="16" t="str">
        <f>IF('Trabajos 2'!L9="","",'Trabajos 2'!L9)</f>
        <v>Zoom</v>
      </c>
      <c r="N9" s="41" t="s">
        <v>20</v>
      </c>
      <c r="O9" s="110">
        <f>IFERROR((O8/(O8+P8)),"")</f>
        <v>0.2673409904347524</v>
      </c>
      <c r="P9" s="110">
        <f>IFERROR((P8/(O8+P8)),"")</f>
        <v>0.73265900956524754</v>
      </c>
      <c r="Q9" s="9" t="s">
        <v>4</v>
      </c>
    </row>
    <row r="10" spans="2:17" x14ac:dyDescent="0.25">
      <c r="B10" s="52">
        <f>IF('Trabajos 2'!B10="","",'Trabajos 2'!B10)</f>
        <v>45934</v>
      </c>
      <c r="C10" s="53" t="str">
        <f>IF('Trabajos 2'!F10="","",'Trabajos 2'!F10)</f>
        <v>Omar Piaggio</v>
      </c>
      <c r="D10" s="54" t="str">
        <f>IF('Trabajos 2'!D10="","",'Trabajos 2'!D10)</f>
        <v>Seguimiento de cultivos</v>
      </c>
      <c r="E10" s="17">
        <f>IF('Trabajos 2'!J10="","",'Trabajos 2'!J10)</f>
        <v>150000</v>
      </c>
      <c r="F10" s="17">
        <f>IF('Trabajos 2'!O10="","",'Trabajos 2'!O10)</f>
        <v>146250</v>
      </c>
      <c r="G10" s="181"/>
      <c r="H10" s="17">
        <f>IF('Trabajos 2'!H10&lt;&gt;"",E10-E10*G10,"")</f>
        <v>150000</v>
      </c>
      <c r="I10" s="17">
        <f>IF('Trabajos 2'!H10&lt;&gt;"",F10-F10*G10,"")</f>
        <v>146250</v>
      </c>
      <c r="J10" s="16">
        <f>IF('Trabajos 2'!H10&lt;&gt;"",H10*0.55,"")</f>
        <v>82500</v>
      </c>
      <c r="K10" s="16">
        <f>IF('Trabajos 2'!H10&lt;&gt;"",H10*0.45,"")</f>
        <v>67500</v>
      </c>
      <c r="L10" s="16" t="str">
        <f>IF('Trabajos 2'!L10="","",'Trabajos 2'!L10)</f>
        <v>Tomas</v>
      </c>
    </row>
    <row r="11" spans="2:17" x14ac:dyDescent="0.25">
      <c r="B11" s="52">
        <f>IF('Trabajos 2'!B11="","",'Trabajos 2'!B11)</f>
        <v>45939</v>
      </c>
      <c r="C11" s="53" t="str">
        <f>IF('Trabajos 2'!F11="","",'Trabajos 2'!F11)</f>
        <v>Carlos Fernando Fuertes</v>
      </c>
      <c r="D11" s="54" t="str">
        <f>IF('Trabajos 2'!D11="","",'Trabajos 2'!D11)</f>
        <v>Seguimiento de cultivos</v>
      </c>
      <c r="E11" s="17">
        <f>IF('Trabajos 2'!J11="","",'Trabajos 2'!J11)</f>
        <v>100000</v>
      </c>
      <c r="F11" s="17">
        <f>IF('Trabajos 2'!O11="","",'Trabajos 2'!O11)</f>
        <v>78000</v>
      </c>
      <c r="G11" s="181"/>
      <c r="H11" s="17">
        <f>IF('Trabajos 2'!H11&lt;&gt;"",E11-E11*G11,"")</f>
        <v>100000</v>
      </c>
      <c r="I11" s="17">
        <f>IF('Trabajos 2'!H11&lt;&gt;"",F11-F11*G11,"")</f>
        <v>78000</v>
      </c>
      <c r="J11" s="16">
        <f>IF('Trabajos 2'!H11&lt;&gt;"",H11*0.55,"")</f>
        <v>55000.000000000007</v>
      </c>
      <c r="K11" s="16">
        <f>IF('Trabajos 2'!H11&lt;&gt;"",H11*0.45,"")</f>
        <v>45000</v>
      </c>
      <c r="L11" s="16" t="str">
        <f>IF('Trabajos 2'!L11="","",'Trabajos 2'!L11)</f>
        <v>Tomas</v>
      </c>
    </row>
    <row r="12" spans="2:17" x14ac:dyDescent="0.25">
      <c r="B12" s="52">
        <f>IF('Trabajos 2'!B12="","",'Trabajos 2'!B12)</f>
        <v>45940</v>
      </c>
      <c r="C12" s="53" t="str">
        <f>IF('Trabajos 2'!F12="","",'Trabajos 2'!F12)</f>
        <v>Nugas S.A.</v>
      </c>
      <c r="D12" s="54" t="str">
        <f>IF('Trabajos 2'!D12="","",'Trabajos 2'!D12)</f>
        <v>Seguimiento de cultivos</v>
      </c>
      <c r="E12" s="17">
        <f>IF('Trabajos 2'!J12="","",'Trabajos 2'!J12)</f>
        <v>100000</v>
      </c>
      <c r="F12" s="17">
        <f>IF('Trabajos 2'!O12="","",'Trabajos 2'!O12)</f>
        <v>104000</v>
      </c>
      <c r="G12" s="181"/>
      <c r="H12" s="17">
        <f>IF('Trabajos 2'!H12&lt;&gt;"",E12-E12*G12,"")</f>
        <v>100000</v>
      </c>
      <c r="I12" s="17">
        <f>IF('Trabajos 2'!H12&lt;&gt;"",F12-F12*G12,"")</f>
        <v>104000</v>
      </c>
      <c r="J12" s="16">
        <f>IF('Trabajos 2'!H12&lt;&gt;"",H12*0.55,"")</f>
        <v>55000.000000000007</v>
      </c>
      <c r="K12" s="16">
        <f>IF('Trabajos 2'!H12&lt;&gt;"",H12*0.45,"")</f>
        <v>45000</v>
      </c>
      <c r="L12" s="16" t="str">
        <f>IF('Trabajos 2'!L12="","",'Trabajos 2'!L12)</f>
        <v>Zoom</v>
      </c>
    </row>
    <row r="13" spans="2:17" x14ac:dyDescent="0.25">
      <c r="B13" s="52">
        <f>IF('Trabajos 2'!B13="","",'Trabajos 2'!B13)</f>
        <v>45948</v>
      </c>
      <c r="C13" s="53" t="str">
        <f>IF('Trabajos 2'!F13="","",'Trabajos 2'!F13)</f>
        <v>Omar Piaggio</v>
      </c>
      <c r="D13" s="54" t="str">
        <f>IF('Trabajos 2'!D13="","",'Trabajos 2'!D13)</f>
        <v>Seguimiento de cultivos</v>
      </c>
      <c r="E13" s="17">
        <f>IF('Trabajos 2'!J13="","",'Trabajos 2'!J13)</f>
        <v>150000</v>
      </c>
      <c r="F13" s="17">
        <f>IF('Trabajos 2'!O13="","",'Trabajos 2'!O13)</f>
        <v>146250</v>
      </c>
      <c r="G13" s="181"/>
      <c r="H13" s="17">
        <f>IF('Trabajos 2'!H13&lt;&gt;"",E13-E13*G13,"")</f>
        <v>150000</v>
      </c>
      <c r="I13" s="17">
        <f>IF('Trabajos 2'!H13&lt;&gt;"",F13-F13*G13,"")</f>
        <v>146250</v>
      </c>
      <c r="J13" s="16">
        <f>IF('Trabajos 2'!H13&lt;&gt;"",H13*0.55,"")</f>
        <v>82500</v>
      </c>
      <c r="K13" s="16">
        <f>IF('Trabajos 2'!H13&lt;&gt;"",H13*0.45,"")</f>
        <v>67500</v>
      </c>
      <c r="L13" s="16" t="str">
        <f>IF('Trabajos 2'!L13="","",'Trabajos 2'!L13)</f>
        <v>Tomas</v>
      </c>
    </row>
    <row r="14" spans="2:17" x14ac:dyDescent="0.25">
      <c r="B14" s="52">
        <f>IF('Trabajos 2'!B14="","",'Trabajos 2'!B14)</f>
        <v>45950</v>
      </c>
      <c r="C14" s="53" t="str">
        <f>IF('Trabajos 2'!F14="","",'Trabajos 2'!F14)</f>
        <v>Omar Piaggio</v>
      </c>
      <c r="D14" s="54" t="str">
        <f>IF('Trabajos 2'!D14="","",'Trabajos 2'!D14)</f>
        <v>Seguimiento de cultivos</v>
      </c>
      <c r="E14" s="17">
        <f>IF('Trabajos 2'!J14="","",'Trabajos 2'!J14)</f>
        <v>150000</v>
      </c>
      <c r="F14" s="17">
        <f>IF('Trabajos 2'!O14="","",'Trabajos 2'!O14)</f>
        <v>146250</v>
      </c>
      <c r="G14" s="181"/>
      <c r="H14" s="17">
        <f>IF('Trabajos 2'!H14&lt;&gt;"",E14-E14*G14,"")</f>
        <v>150000</v>
      </c>
      <c r="I14" s="17">
        <f>IF('Trabajos 2'!H14&lt;&gt;"",F14-F14*G14,"")</f>
        <v>146250</v>
      </c>
      <c r="J14" s="16">
        <f>IF('Trabajos 2'!H14&lt;&gt;"",H14*0.55,"")</f>
        <v>82500</v>
      </c>
      <c r="K14" s="16">
        <f>IF('Trabajos 2'!H14&lt;&gt;"",H14*0.45,"")</f>
        <v>67500</v>
      </c>
      <c r="L14" s="16" t="str">
        <f>IF('Trabajos 2'!L14="","",'Trabajos 2'!L14)</f>
        <v>Tomas</v>
      </c>
    </row>
    <row r="15" spans="2:17" x14ac:dyDescent="0.25">
      <c r="B15" s="52">
        <f>IF('Trabajos 2'!B15="","",'Trabajos 2'!B15)</f>
        <v>45950</v>
      </c>
      <c r="C15" s="53" t="str">
        <f>IF('Trabajos 2'!F15="","",'Trabajos 2'!F15)</f>
        <v>Nugas S.A.</v>
      </c>
      <c r="D15" s="54" t="str">
        <f>IF('Trabajos 2'!D15="","",'Trabajos 2'!D15)</f>
        <v>Seguimiento de cultivos</v>
      </c>
      <c r="E15" s="17">
        <f>IF('Trabajos 2'!J15="","",'Trabajos 2'!J15)</f>
        <v>100000</v>
      </c>
      <c r="F15" s="17">
        <f>IF('Trabajos 2'!O15="","",'Trabajos 2'!O15)</f>
        <v>104000</v>
      </c>
      <c r="G15" s="181"/>
      <c r="H15" s="17">
        <f>IF('Trabajos 2'!H15&lt;&gt;"",E15-E15*G15,"")</f>
        <v>100000</v>
      </c>
      <c r="I15" s="17">
        <f>IF('Trabajos 2'!H15&lt;&gt;"",F15-F15*G15,"")</f>
        <v>104000</v>
      </c>
      <c r="J15" s="16">
        <f>IF('Trabajos 2'!H15&lt;&gt;"",H15*0.55,"")</f>
        <v>55000.000000000007</v>
      </c>
      <c r="K15" s="16">
        <f>IF('Trabajos 2'!H15&lt;&gt;"",H15*0.45,"")</f>
        <v>45000</v>
      </c>
      <c r="L15" s="16" t="str">
        <f>IF('Trabajos 2'!L15="","",'Trabajos 2'!L15)</f>
        <v>Zoom</v>
      </c>
    </row>
    <row r="16" spans="2:17" x14ac:dyDescent="0.25">
      <c r="B16" s="52">
        <f>IF('Trabajos 2'!B16="","",'Trabajos 2'!B16)</f>
        <v>45959</v>
      </c>
      <c r="C16" s="53" t="str">
        <f>IF('Trabajos 2'!F16="","",'Trabajos 2'!F16)</f>
        <v>Nugas S.A.</v>
      </c>
      <c r="D16" s="54" t="str">
        <f>IF('Trabajos 2'!D16="","",'Trabajos 2'!D16)</f>
        <v>Seguimiento de cultivos</v>
      </c>
      <c r="E16" s="17">
        <f>IF('Trabajos 2'!J16="","",'Trabajos 2'!J16)</f>
        <v>100000</v>
      </c>
      <c r="F16" s="17">
        <f>IF('Trabajos 2'!O16="","",'Trabajos 2'!O16)</f>
        <v>104000</v>
      </c>
      <c r="G16" s="181"/>
      <c r="H16" s="17">
        <f>IF('Trabajos 2'!H16&lt;&gt;"",E16-E16*G16,"")</f>
        <v>100000</v>
      </c>
      <c r="I16" s="17">
        <f>IF('Trabajos 2'!H16&lt;&gt;"",F16-F16*G16,"")</f>
        <v>104000</v>
      </c>
      <c r="J16" s="16">
        <f>IF('Trabajos 2'!H16&lt;&gt;"",H16*0.55,"")</f>
        <v>55000.000000000007</v>
      </c>
      <c r="K16" s="16">
        <f>IF('Trabajos 2'!H16&lt;&gt;"",H16*0.45,"")</f>
        <v>45000</v>
      </c>
      <c r="L16" s="16" t="str">
        <f>IF('Trabajos 2'!L16="","",'Trabajos 2'!L16)</f>
        <v>Zoom</v>
      </c>
    </row>
    <row r="17" spans="2:13" x14ac:dyDescent="0.25">
      <c r="B17" s="52">
        <f>IF('Trabajos 2'!B17="","",'Trabajos 2'!B17)</f>
        <v>45967</v>
      </c>
      <c r="C17" s="53" t="str">
        <f>IF('Trabajos 2'!F17="","",'Trabajos 2'!F17)</f>
        <v>Carlos Fernando Fuertes</v>
      </c>
      <c r="D17" s="54" t="str">
        <f>IF('Trabajos 2'!D17="","",'Trabajos 2'!D17)</f>
        <v>Seguimiento de cultivos</v>
      </c>
      <c r="E17" s="17">
        <f>IF('Trabajos 2'!J17="","",'Trabajos 2'!J17)</f>
        <v>100000</v>
      </c>
      <c r="F17" s="17">
        <f>IF('Trabajos 2'!O17="","",'Trabajos 2'!O17)</f>
        <v>78000</v>
      </c>
      <c r="G17" s="181"/>
      <c r="H17" s="17">
        <f>IF('Trabajos 2'!H17&lt;&gt;"",E17-E17*G17,"")</f>
        <v>100000</v>
      </c>
      <c r="I17" s="17">
        <f>IF('Trabajos 2'!H17&lt;&gt;"",F17-F17*G17,"")</f>
        <v>78000</v>
      </c>
      <c r="J17" s="16">
        <f>IF('Trabajos 2'!H17&lt;&gt;"",H17*0.55,"")</f>
        <v>55000.000000000007</v>
      </c>
      <c r="K17" s="16">
        <f>IF('Trabajos 2'!H17&lt;&gt;"",H17*0.45,"")</f>
        <v>45000</v>
      </c>
      <c r="L17" s="16" t="str">
        <f>IF('Trabajos 2'!L17="","",'Trabajos 2'!L17)</f>
        <v>Tomas</v>
      </c>
    </row>
    <row r="18" spans="2:13" x14ac:dyDescent="0.25">
      <c r="B18" s="52">
        <f>IF('Trabajos 2'!B18="","",'Trabajos 2'!B18)</f>
        <v>45968</v>
      </c>
      <c r="C18" s="53" t="str">
        <f>IF('Trabajos 2'!F18="","",'Trabajos 2'!F18)</f>
        <v>Carlos Fernando Fuertes</v>
      </c>
      <c r="D18" s="54" t="str">
        <f>IF('Trabajos 2'!D18="","",'Trabajos 2'!D18)</f>
        <v>Seguimiento de cultivos</v>
      </c>
      <c r="E18" s="17">
        <f>IF('Trabajos 2'!J18="","",'Trabajos 2'!J18)</f>
        <v>100000</v>
      </c>
      <c r="F18" s="17">
        <f>IF('Trabajos 2'!O18="","",'Trabajos 2'!O18)</f>
        <v>78000</v>
      </c>
      <c r="G18" s="181"/>
      <c r="H18" s="17">
        <f>IF('Trabajos 2'!H18&lt;&gt;"",E18-E18*G18,"")</f>
        <v>100000</v>
      </c>
      <c r="I18" s="17">
        <f>IF('Trabajos 2'!H18&lt;&gt;"",F18-F18*G18,"")</f>
        <v>78000</v>
      </c>
      <c r="J18" s="16">
        <f>IF('Trabajos 2'!H18&lt;&gt;"",H18*0.55,"")</f>
        <v>55000.000000000007</v>
      </c>
      <c r="K18" s="16">
        <f>IF('Trabajos 2'!H18&lt;&gt;"",H18*0.45,"")</f>
        <v>45000</v>
      </c>
      <c r="L18" s="16" t="str">
        <f>IF('Trabajos 2'!L18="","",'Trabajos 2'!L18)</f>
        <v>Tomas</v>
      </c>
    </row>
    <row r="19" spans="2:13" x14ac:dyDescent="0.25">
      <c r="B19" s="52">
        <f>IF('Trabajos 2'!B19="","",'Trabajos 2'!B19)</f>
        <v>45968</v>
      </c>
      <c r="C19" s="53" t="str">
        <f>IF('Trabajos 2'!F19="","",'Trabajos 2'!F19)</f>
        <v>Nugas S.A.</v>
      </c>
      <c r="D19" s="54" t="str">
        <f>IF('Trabajos 2'!D19="","",'Trabajos 2'!D19)</f>
        <v>Seguimiento de cultivos</v>
      </c>
      <c r="E19" s="17">
        <f>IF('Trabajos 2'!J19="","",'Trabajos 2'!J19)</f>
        <v>100000</v>
      </c>
      <c r="F19" s="17">
        <f>IF('Trabajos 2'!O19="","",'Trabajos 2'!O19)</f>
        <v>104000</v>
      </c>
      <c r="G19" s="181"/>
      <c r="H19" s="17">
        <f>IF('Trabajos 2'!H19&lt;&gt;"",E19-E19*G19,"")</f>
        <v>100000</v>
      </c>
      <c r="I19" s="17">
        <f>IF('Trabajos 2'!H19&lt;&gt;"",F19-F19*G19,"")</f>
        <v>104000</v>
      </c>
      <c r="J19" s="16">
        <f>IF('Trabajos 2'!H19&lt;&gt;"",H19*0.55,"")</f>
        <v>55000.000000000007</v>
      </c>
      <c r="K19" s="16">
        <f>IF('Trabajos 2'!H19&lt;&gt;"",H19*0.45,"")</f>
        <v>45000</v>
      </c>
      <c r="L19" s="16" t="str">
        <f>IF('Trabajos 2'!L19="","",'Trabajos 2'!L19)</f>
        <v>Zoom</v>
      </c>
    </row>
    <row r="20" spans="2:13" x14ac:dyDescent="0.25">
      <c r="B20" s="52">
        <f>IF('Trabajos 2'!B20="","",'Trabajos 2'!B20)</f>
        <v>45970</v>
      </c>
      <c r="C20" s="53" t="str">
        <f>IF('Trabajos 2'!F20="","",'Trabajos 2'!F20)</f>
        <v>Omar Piaggio</v>
      </c>
      <c r="D20" s="54" t="str">
        <f>IF('Trabajos 2'!D20="","",'Trabajos 2'!D20)</f>
        <v>Seguimiento de cultivos</v>
      </c>
      <c r="E20" s="17">
        <f>IF('Trabajos 2'!J20="","",'Trabajos 2'!J20)</f>
        <v>150000</v>
      </c>
      <c r="F20" s="17">
        <f>IF('Trabajos 2'!O20="","",'Trabajos 2'!O20)</f>
        <v>146250</v>
      </c>
      <c r="G20" s="181"/>
      <c r="H20" s="17">
        <f>IF('Trabajos 2'!H20&lt;&gt;"",E20-E20*G20,"")</f>
        <v>150000</v>
      </c>
      <c r="I20" s="17">
        <f>IF('Trabajos 2'!H20&lt;&gt;"",F20-F20*G20,"")</f>
        <v>146250</v>
      </c>
      <c r="J20" s="16">
        <f>IF('Trabajos 2'!H20&lt;&gt;"",H20*0.55,"")</f>
        <v>82500</v>
      </c>
      <c r="K20" s="16">
        <f>IF('Trabajos 2'!H20&lt;&gt;"",H20*0.45,"")</f>
        <v>67500</v>
      </c>
      <c r="L20" s="16" t="str">
        <f>IF('Trabajos 2'!L20="","",'Trabajos 2'!L20)</f>
        <v>Tomas</v>
      </c>
    </row>
    <row r="21" spans="2:13" x14ac:dyDescent="0.25">
      <c r="B21" s="52">
        <f>IF('Trabajos 2'!B21="","",'Trabajos 2'!B21)</f>
        <v>45971</v>
      </c>
      <c r="C21" s="53" t="str">
        <f>IF('Trabajos 2'!F21="","",'Trabajos 2'!F21)</f>
        <v>Carlos Fernando Fuertes</v>
      </c>
      <c r="D21" s="54" t="str">
        <f>IF('Trabajos 2'!D21="","",'Trabajos 2'!D21)</f>
        <v>Seguimiento de cultivos</v>
      </c>
      <c r="E21" s="17">
        <f>IF('Trabajos 2'!J21="","",'Trabajos 2'!J21)</f>
        <v>100000</v>
      </c>
      <c r="F21" s="17">
        <f>IF('Trabajos 2'!O21="","",'Trabajos 2'!O21)</f>
        <v>78000</v>
      </c>
      <c r="G21" s="181"/>
      <c r="H21" s="17">
        <f>IF('Trabajos 2'!H21&lt;&gt;"",E21-E21*G21,"")</f>
        <v>100000</v>
      </c>
      <c r="I21" s="17">
        <f>IF('Trabajos 2'!H21&lt;&gt;"",F21-F21*G21,"")</f>
        <v>78000</v>
      </c>
      <c r="J21" s="16">
        <f>IF('Trabajos 2'!H21&lt;&gt;"",H21*0.55,"")</f>
        <v>55000.000000000007</v>
      </c>
      <c r="K21" s="16">
        <f>IF('Trabajos 2'!H21&lt;&gt;"",H21*0.45,"")</f>
        <v>45000</v>
      </c>
      <c r="L21" s="16" t="str">
        <f>IF('Trabajos 2'!L21="","",'Trabajos 2'!L21)</f>
        <v>Tomas</v>
      </c>
    </row>
    <row r="22" spans="2:13" x14ac:dyDescent="0.25">
      <c r="B22" s="52">
        <f>IF('Trabajos 2'!B22="","",'Trabajos 2'!B22)</f>
        <v>45973</v>
      </c>
      <c r="C22" s="53" t="str">
        <f>IF('Trabajos 2'!F22="","",'Trabajos 2'!F22)</f>
        <v>Omar Piaggio</v>
      </c>
      <c r="D22" s="54" t="str">
        <f>IF('Trabajos 2'!D22="","",'Trabajos 2'!D22)</f>
        <v>Seguimiento de cultivos</v>
      </c>
      <c r="E22" s="17">
        <f>IF('Trabajos 2'!J22="","",'Trabajos 2'!J22)</f>
        <v>150000</v>
      </c>
      <c r="F22" s="17">
        <f>IF('Trabajos 2'!O22="","",'Trabajos 2'!O22)</f>
        <v>146250</v>
      </c>
      <c r="G22" s="181"/>
      <c r="H22" s="17">
        <f>IF('Trabajos 2'!H22&lt;&gt;"",E22-E22*G22,"")</f>
        <v>150000</v>
      </c>
      <c r="I22" s="17">
        <f>IF('Trabajos 2'!H22&lt;&gt;"",F22-F22*G22,"")</f>
        <v>146250</v>
      </c>
      <c r="J22" s="16">
        <f>IF('Trabajos 2'!H22&lt;&gt;"",H22*0.55,"")</f>
        <v>82500</v>
      </c>
      <c r="K22" s="16">
        <f>IF('Trabajos 2'!H22&lt;&gt;"",H22*0.45,"")</f>
        <v>67500</v>
      </c>
      <c r="L22" s="16" t="str">
        <f>IF('Trabajos 2'!L22="","",'Trabajos 2'!L22)</f>
        <v>Tomas</v>
      </c>
      <c r="M22" t="s">
        <v>4</v>
      </c>
    </row>
    <row r="23" spans="2:13" x14ac:dyDescent="0.25">
      <c r="B23" s="52">
        <f>IF('Trabajos 2'!B23="","",'Trabajos 2'!B23)</f>
        <v>45975</v>
      </c>
      <c r="C23" s="53" t="str">
        <f>IF('Trabajos 2'!F23="","",'Trabajos 2'!F23)</f>
        <v>Nugas S.A.</v>
      </c>
      <c r="D23" s="54" t="str">
        <f>IF('Trabajos 2'!D23="","",'Trabajos 2'!D23)</f>
        <v>Seguimiento de cultivos</v>
      </c>
      <c r="E23" s="17">
        <f>IF('Trabajos 2'!J23="","",'Trabajos 2'!J23)</f>
        <v>200000</v>
      </c>
      <c r="F23" s="17">
        <f>IF('Trabajos 2'!O23="","",'Trabajos 2'!O23)</f>
        <v>104000</v>
      </c>
      <c r="G23" s="181"/>
      <c r="H23" s="17">
        <f>IF('Trabajos 2'!H23&lt;&gt;"",E23-E23*G23,"")</f>
        <v>200000</v>
      </c>
      <c r="I23" s="17">
        <f>IF('Trabajos 2'!H23&lt;&gt;"",F23-F23*G23,"")</f>
        <v>104000</v>
      </c>
      <c r="J23" s="16">
        <f>IF('Trabajos 2'!H23&lt;&gt;"",H23*0.55,"")</f>
        <v>110000.00000000001</v>
      </c>
      <c r="K23" s="16">
        <f>IF('Trabajos 2'!H23&lt;&gt;"",H23*0.45,"")</f>
        <v>90000</v>
      </c>
      <c r="L23" s="16" t="str">
        <f>IF('Trabajos 2'!L23="","",'Trabajos 2'!L23)</f>
        <v>Zoom</v>
      </c>
    </row>
    <row r="24" spans="2:13" x14ac:dyDescent="0.25">
      <c r="B24" s="52">
        <f>IF('Trabajos 2'!B24="","",'Trabajos 2'!B24)</f>
        <v>45975</v>
      </c>
      <c r="C24" s="53" t="str">
        <f>IF('Trabajos 2'!F24="","",'Trabajos 2'!F24)</f>
        <v>Omar Piaggio</v>
      </c>
      <c r="D24" s="54" t="str">
        <f>IF('Trabajos 2'!D24="","",'Trabajos 2'!D24)</f>
        <v>Seguimiento de cultivos</v>
      </c>
      <c r="E24" s="17">
        <f>IF('Trabajos 2'!J24="","",'Trabajos 2'!J24)</f>
        <v>150000</v>
      </c>
      <c r="F24" s="17">
        <f>IF('Trabajos 2'!O24="","",'Trabajos 2'!O24)</f>
        <v>146250</v>
      </c>
      <c r="G24" s="181"/>
      <c r="H24" s="17">
        <f>IF('Trabajos 2'!H24&lt;&gt;"",E24-E24*G24,"")</f>
        <v>150000</v>
      </c>
      <c r="I24" s="17">
        <f>IF('Trabajos 2'!H24&lt;&gt;"",F24-F24*G24,"")</f>
        <v>146250</v>
      </c>
      <c r="J24" s="16">
        <f>IF('Trabajos 2'!H24&lt;&gt;"",H24*0.55,"")</f>
        <v>82500</v>
      </c>
      <c r="K24" s="16">
        <f>IF('Trabajos 2'!H24&lt;&gt;"",H24*0.45,"")</f>
        <v>67500</v>
      </c>
      <c r="L24" s="16" t="str">
        <f>IF('Trabajos 2'!L24="","",'Trabajos 2'!L24)</f>
        <v>Tomas</v>
      </c>
    </row>
    <row r="25" spans="2:13" x14ac:dyDescent="0.25">
      <c r="B25" s="52">
        <f>IF('Trabajos 2'!B25="","",'Trabajos 2'!B25)</f>
        <v>45986</v>
      </c>
      <c r="C25" s="53" t="str">
        <f>IF('Trabajos 2'!F25="","",'Trabajos 2'!F25)</f>
        <v>Nugas S.A.</v>
      </c>
      <c r="D25" s="54" t="str">
        <f>IF('Trabajos 2'!D25="","",'Trabajos 2'!D25)</f>
        <v>Seguimiento de cultivos</v>
      </c>
      <c r="E25" s="17">
        <f>IF('Trabajos 2'!J25="","",'Trabajos 2'!J25)</f>
        <v>200000</v>
      </c>
      <c r="F25" s="17">
        <f>IF('Trabajos 2'!O25="","",'Trabajos 2'!O25)</f>
        <v>104000</v>
      </c>
      <c r="G25" s="181"/>
      <c r="H25" s="17">
        <f>IF('Trabajos 2'!H25&lt;&gt;"",E25-E25*G25,"")</f>
        <v>200000</v>
      </c>
      <c r="I25" s="17">
        <f>IF('Trabajos 2'!H25&lt;&gt;"",F25-F25*G25,"")</f>
        <v>104000</v>
      </c>
      <c r="J25" s="16">
        <f>IF('Trabajos 2'!H25&lt;&gt;"",H25*0.55,"")</f>
        <v>110000.00000000001</v>
      </c>
      <c r="K25" s="16">
        <f>IF('Trabajos 2'!H25&lt;&gt;"",H25*0.45,"")</f>
        <v>90000</v>
      </c>
      <c r="L25" s="16" t="str">
        <f>IF('Trabajos 2'!L25="","",'Trabajos 2'!L25)</f>
        <v>Zoom</v>
      </c>
    </row>
    <row r="26" spans="2:13" x14ac:dyDescent="0.25">
      <c r="B26" s="52">
        <f>IF('Trabajos 2'!B26="","",'Trabajos 2'!B26)</f>
        <v>45985</v>
      </c>
      <c r="C26" s="53" t="str">
        <f>IF('Trabajos 2'!F26="","",'Trabajos 2'!F26)</f>
        <v>Omar Piaggio</v>
      </c>
      <c r="D26" s="54" t="str">
        <f>IF('Trabajos 2'!D26="","",'Trabajos 2'!D26)</f>
        <v>Seguimiento de cultivos</v>
      </c>
      <c r="E26" s="17">
        <f>IF('Trabajos 2'!J26="","",'Trabajos 2'!J26)</f>
        <v>150000</v>
      </c>
      <c r="F26" s="17">
        <f>IF('Trabajos 2'!O26="","",'Trabajos 2'!O26)</f>
        <v>146250</v>
      </c>
      <c r="G26" s="181"/>
      <c r="H26" s="17">
        <f>IF('Trabajos 2'!H26&lt;&gt;"",E26-E26*G26,"")</f>
        <v>150000</v>
      </c>
      <c r="I26" s="17">
        <f>IF('Trabajos 2'!H26&lt;&gt;"",F26-F26*G26,"")</f>
        <v>146250</v>
      </c>
      <c r="J26" s="16">
        <f>IF('Trabajos 2'!H26&lt;&gt;"",H26*0.55,"")</f>
        <v>82500</v>
      </c>
      <c r="K26" s="16">
        <f>IF('Trabajos 2'!H26&lt;&gt;"",H26*0.45,"")</f>
        <v>67500</v>
      </c>
      <c r="L26" s="16" t="str">
        <f>IF('Trabajos 2'!L26="","",'Trabajos 2'!L26)</f>
        <v>Tomas</v>
      </c>
    </row>
    <row r="27" spans="2:13" x14ac:dyDescent="0.25">
      <c r="B27" s="52">
        <f>IF('Trabajos 2'!B27="","",'Trabajos 2'!B27)</f>
        <v>45999</v>
      </c>
      <c r="C27" s="53" t="str">
        <f>IF('Trabajos 2'!F27="","",'Trabajos 2'!F27)</f>
        <v>Omar Piaggio</v>
      </c>
      <c r="D27" s="54" t="str">
        <f>IF('Trabajos 2'!D27="","",'Trabajos 2'!D27)</f>
        <v>Seguimiento de cultivos</v>
      </c>
      <c r="E27" s="17">
        <f>IF('Trabajos 2'!J27="","",'Trabajos 2'!J27)</f>
        <v>150000</v>
      </c>
      <c r="F27" s="17">
        <f>IF('Trabajos 2'!O27="","",'Trabajos 2'!O27)</f>
        <v>146250</v>
      </c>
      <c r="G27" s="181"/>
      <c r="H27" s="17">
        <f>IF('Trabajos 2'!H27&lt;&gt;"",E27-E27*G27,"")</f>
        <v>150000</v>
      </c>
      <c r="I27" s="17">
        <f>IF('Trabajos 2'!H27&lt;&gt;"",F27-F27*G27,"")</f>
        <v>146250</v>
      </c>
      <c r="J27" s="16">
        <f>IF('Trabajos 2'!H27&lt;&gt;"",H27*0.55,"")</f>
        <v>82500</v>
      </c>
      <c r="K27" s="16">
        <f>IF('Trabajos 2'!H27&lt;&gt;"",H27*0.45,"")</f>
        <v>67500</v>
      </c>
      <c r="L27" s="16" t="str">
        <f>IF('Trabajos 2'!L27="","",'Trabajos 2'!L27)</f>
        <v>Tomas</v>
      </c>
    </row>
    <row r="28" spans="2:13" x14ac:dyDescent="0.25">
      <c r="B28" s="52">
        <f>IF('Trabajos 2'!B28="","",'Trabajos 2'!B28)</f>
        <v>45981</v>
      </c>
      <c r="C28" s="53" t="str">
        <f>IF('Trabajos 2'!F28="","",'Trabajos 2'!F28)</f>
        <v>Carlos Fernando Fuertes</v>
      </c>
      <c r="D28" s="54" t="str">
        <f>IF('Trabajos 2'!D28="","",'Trabajos 2'!D28)</f>
        <v>Seguimiento de cultivos</v>
      </c>
      <c r="E28" s="17">
        <f>IF('Trabajos 2'!J28="","",'Trabajos 2'!J28)</f>
        <v>100000</v>
      </c>
      <c r="F28" s="17">
        <f>IF('Trabajos 2'!O28="","",'Trabajos 2'!O28)</f>
        <v>78000</v>
      </c>
      <c r="G28" s="181"/>
      <c r="H28" s="17">
        <f>IF('Trabajos 2'!H28&lt;&gt;"",E28-E28*G28,"")</f>
        <v>100000</v>
      </c>
      <c r="I28" s="17">
        <f>IF('Trabajos 2'!H28&lt;&gt;"",F28-F28*G28,"")</f>
        <v>78000</v>
      </c>
      <c r="J28" s="16">
        <f>IF('Trabajos 2'!H28&lt;&gt;"",H28*0.55,"")</f>
        <v>55000.000000000007</v>
      </c>
      <c r="K28" s="16">
        <f>IF('Trabajos 2'!H28&lt;&gt;"",H28*0.45,"")</f>
        <v>45000</v>
      </c>
      <c r="L28" s="16" t="str">
        <f>IF('Trabajos 2'!L28="","",'Trabajos 2'!L28)</f>
        <v>Tomas</v>
      </c>
    </row>
    <row r="29" spans="2:13" x14ac:dyDescent="0.25">
      <c r="B29" s="52">
        <f>IF('Trabajos 2'!B29="","",'Trabajos 2'!B29)</f>
        <v>46001</v>
      </c>
      <c r="C29" s="53" t="str">
        <f>IF('Trabajos 2'!F29="","",'Trabajos 2'!F29)</f>
        <v>Carlos Fernando Fuertes</v>
      </c>
      <c r="D29" s="54" t="str">
        <f>IF('Trabajos 2'!D29="","",'Trabajos 2'!D29)</f>
        <v>Seguimiento de cultivos</v>
      </c>
      <c r="E29" s="17">
        <f>IF('Trabajos 2'!J29="","",'Trabajos 2'!J29)</f>
        <v>100000</v>
      </c>
      <c r="F29" s="17">
        <f>IF('Trabajos 2'!O29="","",'Trabajos 2'!O29)</f>
        <v>78000</v>
      </c>
      <c r="G29" s="181"/>
      <c r="H29" s="17">
        <f>IF('Trabajos 2'!H29&lt;&gt;"",E29-E29*G29,"")</f>
        <v>100000</v>
      </c>
      <c r="I29" s="17">
        <f>IF('Trabajos 2'!H29&lt;&gt;"",F29-F29*G29,"")</f>
        <v>78000</v>
      </c>
      <c r="J29" s="16">
        <f>IF('Trabajos 2'!H29&lt;&gt;"",H29*0.55,"")</f>
        <v>55000.000000000007</v>
      </c>
      <c r="K29" s="16">
        <f>IF('Trabajos 2'!H29&lt;&gt;"",H29*0.45,"")</f>
        <v>45000</v>
      </c>
      <c r="L29" s="16" t="str">
        <f>IF('Trabajos 2'!L29="","",'Trabajos 2'!L29)</f>
        <v>Tomas</v>
      </c>
    </row>
    <row r="30" spans="2:13" x14ac:dyDescent="0.25">
      <c r="B30" s="52">
        <f>IF('Trabajos 2'!B30="","",'Trabajos 2'!B30)</f>
        <v>46002</v>
      </c>
      <c r="C30" s="53" t="str">
        <f>IF('Trabajos 2'!F30="","",'Trabajos 2'!F30)</f>
        <v>Nugas S.A.</v>
      </c>
      <c r="D30" s="54" t="str">
        <f>IF('Trabajos 2'!D30="","",'Trabajos 2'!D30)</f>
        <v>Seguimiento de cultivos</v>
      </c>
      <c r="E30" s="17">
        <f>IF('Trabajos 2'!J30="","",'Trabajos 2'!J30)</f>
        <v>200000</v>
      </c>
      <c r="F30" s="17">
        <f>IF('Trabajos 2'!O30="","",'Trabajos 2'!O30)</f>
        <v>104000</v>
      </c>
      <c r="G30" s="181"/>
      <c r="H30" s="17">
        <f>IF('Trabajos 2'!H30&lt;&gt;"",E30-E30*G30,"")</f>
        <v>200000</v>
      </c>
      <c r="I30" s="17">
        <f>IF('Trabajos 2'!H30&lt;&gt;"",F30-F30*G30,"")</f>
        <v>104000</v>
      </c>
      <c r="J30" s="16">
        <f>IF('Trabajos 2'!H30&lt;&gt;"",H30*0.55,"")</f>
        <v>110000.00000000001</v>
      </c>
      <c r="K30" s="16">
        <f>IF('Trabajos 2'!H30&lt;&gt;"",H30*0.45,"")</f>
        <v>90000</v>
      </c>
      <c r="L30" s="16" t="str">
        <f>IF('Trabajos 2'!L30="","",'Trabajos 2'!L30)</f>
        <v>Tomas</v>
      </c>
    </row>
    <row r="31" spans="2:13" x14ac:dyDescent="0.25">
      <c r="B31" s="52">
        <f>IF('Trabajos 2'!B31="","",'Trabajos 2'!B31)</f>
        <v>46007</v>
      </c>
      <c r="C31" s="53" t="str">
        <f>IF('Trabajos 2'!F31="","",'Trabajos 2'!F31)</f>
        <v>Omar Piaggio</v>
      </c>
      <c r="D31" s="54" t="str">
        <f>IF('Trabajos 2'!D31="","",'Trabajos 2'!D31)</f>
        <v>Seguimiento de cultivos</v>
      </c>
      <c r="E31" s="17">
        <f>IF('Trabajos 2'!J31="","",'Trabajos 2'!J31)</f>
        <v>150000</v>
      </c>
      <c r="F31" s="17">
        <f>IF('Trabajos 2'!O31="","",'Trabajos 2'!O31)</f>
        <v>146250</v>
      </c>
      <c r="G31" s="181"/>
      <c r="H31" s="17">
        <f>IF('Trabajos 2'!H31&lt;&gt;"",E31-E31*G31,"")</f>
        <v>150000</v>
      </c>
      <c r="I31" s="17">
        <f>IF('Trabajos 2'!H31&lt;&gt;"",F31-F31*G31,"")</f>
        <v>146250</v>
      </c>
      <c r="J31" s="16">
        <f>IF('Trabajos 2'!H31&lt;&gt;"",H31*0.55,"")</f>
        <v>82500</v>
      </c>
      <c r="K31" s="16">
        <f>IF('Trabajos 2'!H31&lt;&gt;"",H31*0.45,"")</f>
        <v>67500</v>
      </c>
      <c r="L31" s="16" t="str">
        <f>IF('Trabajos 2'!L31="","",'Trabajos 2'!L31)</f>
        <v>Tomas</v>
      </c>
    </row>
    <row r="32" spans="2:13" x14ac:dyDescent="0.25">
      <c r="B32" s="52">
        <f>IF('Trabajos 2'!B32="","",'Trabajos 2'!B32)</f>
        <v>46009</v>
      </c>
      <c r="C32" s="53" t="str">
        <f>IF('Trabajos 2'!F32="","",'Trabajos 2'!F32)</f>
        <v>Omar Piaggio</v>
      </c>
      <c r="D32" s="54" t="str">
        <f>IF('Trabajos 2'!D32="","",'Trabajos 2'!D32)</f>
        <v>Seguimiento de cultivos</v>
      </c>
      <c r="E32" s="17">
        <f>IF('Trabajos 2'!J32="","",'Trabajos 2'!J32)</f>
        <v>150000</v>
      </c>
      <c r="F32" s="17">
        <f>IF('Trabajos 2'!O32="","",'Trabajos 2'!O32)</f>
        <v>146250</v>
      </c>
      <c r="G32" s="181"/>
      <c r="H32" s="17">
        <f>IF('Trabajos 2'!H32&lt;&gt;"",E32-E32*G32,"")</f>
        <v>150000</v>
      </c>
      <c r="I32" s="17">
        <f>IF('Trabajos 2'!H32&lt;&gt;"",F32-F32*G32,"")</f>
        <v>146250</v>
      </c>
      <c r="J32" s="16">
        <f>IF('Trabajos 2'!H32&lt;&gt;"",H32*0.55,"")</f>
        <v>82500</v>
      </c>
      <c r="K32" s="16">
        <f>IF('Trabajos 2'!H32&lt;&gt;"",H32*0.45,"")</f>
        <v>67500</v>
      </c>
      <c r="L32" s="16" t="str">
        <f>IF('Trabajos 2'!L32="","",'Trabajos 2'!L32)</f>
        <v>Tomas</v>
      </c>
    </row>
    <row r="33" spans="2:12" x14ac:dyDescent="0.25">
      <c r="B33" s="52">
        <f>IF('Trabajos 2'!B33="","",'Trabajos 2'!B33)</f>
        <v>46015</v>
      </c>
      <c r="C33" s="53" t="str">
        <f>IF('Trabajos 2'!F33="","",'Trabajos 2'!F33)</f>
        <v>Omar Piaggio</v>
      </c>
      <c r="D33" s="54" t="str">
        <f>IF('Trabajos 2'!D33="","",'Trabajos 2'!D33)</f>
        <v>Seguimiento de cultivos</v>
      </c>
      <c r="E33" s="17">
        <f>IF('Trabajos 2'!J33="","",'Trabajos 2'!J33)</f>
        <v>150000</v>
      </c>
      <c r="F33" s="17">
        <f>IF('Trabajos 2'!O33="","",'Trabajos 2'!O33)</f>
        <v>146250</v>
      </c>
      <c r="G33" s="181"/>
      <c r="H33" s="17">
        <f>IF('Trabajos 2'!H33&lt;&gt;"",E33-E33*G33,"")</f>
        <v>150000</v>
      </c>
      <c r="I33" s="17">
        <f>IF('Trabajos 2'!H33&lt;&gt;"",F33-F33*G33,"")</f>
        <v>146250</v>
      </c>
      <c r="J33" s="16">
        <f>IF('Trabajos 2'!H33&lt;&gt;"",H33*0.55,"")</f>
        <v>82500</v>
      </c>
      <c r="K33" s="16">
        <f>IF('Trabajos 2'!H33&lt;&gt;"",H33*0.45,"")</f>
        <v>67500</v>
      </c>
      <c r="L33" s="16" t="str">
        <f>IF('Trabajos 2'!L33="","",'Trabajos 2'!L33)</f>
        <v>Tomas</v>
      </c>
    </row>
    <row r="34" spans="2:12" x14ac:dyDescent="0.25">
      <c r="B34" s="52">
        <f>IF('Trabajos 2'!B34="","",'Trabajos 2'!B34)</f>
        <v>46018</v>
      </c>
      <c r="C34" s="53" t="str">
        <f>IF('Trabajos 2'!F34="","",'Trabajos 2'!F34)</f>
        <v>Omar Piaggio</v>
      </c>
      <c r="D34" s="54" t="str">
        <f>IF('Trabajos 2'!D34="","",'Trabajos 2'!D34)</f>
        <v>Seguimiento de cultivos</v>
      </c>
      <c r="E34" s="17">
        <f>IF('Trabajos 2'!J34="","",'Trabajos 2'!J34)</f>
        <v>150000</v>
      </c>
      <c r="F34" s="17">
        <f>IF('Trabajos 2'!O34="","",'Trabajos 2'!O34)</f>
        <v>146250</v>
      </c>
      <c r="G34" s="181"/>
      <c r="H34" s="17">
        <f>IF('Trabajos 2'!H34&lt;&gt;"",E34-E34*G34,"")</f>
        <v>150000</v>
      </c>
      <c r="I34" s="17">
        <f>IF('Trabajos 2'!H34&lt;&gt;"",F34-F34*G34,"")</f>
        <v>146250</v>
      </c>
      <c r="J34" s="16">
        <f>IF('Trabajos 2'!H34&lt;&gt;"",H34*0.55,"")</f>
        <v>82500</v>
      </c>
      <c r="K34" s="16">
        <f>IF('Trabajos 2'!H34&lt;&gt;"",H34*0.45,"")</f>
        <v>67500</v>
      </c>
      <c r="L34" s="16" t="str">
        <f>IF('Trabajos 2'!L34="","",'Trabajos 2'!L34)</f>
        <v>Tomas</v>
      </c>
    </row>
    <row r="35" spans="2:12" x14ac:dyDescent="0.25">
      <c r="B35" s="52">
        <f>IF('Trabajos 2'!B35="","",'Trabajos 2'!B35)</f>
        <v>46018</v>
      </c>
      <c r="C35" s="53" t="str">
        <f>IF('Trabajos 2'!F35="","",'Trabajos 2'!F35)</f>
        <v>Carlos Fernando Fuertes</v>
      </c>
      <c r="D35" s="54" t="str">
        <f>IF('Trabajos 2'!D35="","",'Trabajos 2'!D35)</f>
        <v>Seguimiento de cultivos</v>
      </c>
      <c r="E35" s="17">
        <f>IF('Trabajos 2'!J35="","",'Trabajos 2'!J35)</f>
        <v>100000</v>
      </c>
      <c r="F35" s="17">
        <f>IF('Trabajos 2'!O35="","",'Trabajos 2'!O35)</f>
        <v>78000</v>
      </c>
      <c r="G35" s="181"/>
      <c r="H35" s="17">
        <f>IF('Trabajos 2'!H35&lt;&gt;"",E35-E35*G35,"")</f>
        <v>100000</v>
      </c>
      <c r="I35" s="17">
        <f>IF('Trabajos 2'!H35&lt;&gt;"",F35-F35*G35,"")</f>
        <v>78000</v>
      </c>
      <c r="J35" s="16">
        <f>IF('Trabajos 2'!H35&lt;&gt;"",H35*0.55,"")</f>
        <v>55000.000000000007</v>
      </c>
      <c r="K35" s="16">
        <f>IF('Trabajos 2'!H35&lt;&gt;"",H35*0.45,"")</f>
        <v>45000</v>
      </c>
      <c r="L35" s="16" t="str">
        <f>IF('Trabajos 2'!L35="","",'Trabajos 2'!L35)</f>
        <v>Tomas</v>
      </c>
    </row>
    <row r="36" spans="2:12" x14ac:dyDescent="0.25">
      <c r="B36" s="52">
        <f>IF('Trabajos 2'!B36="","",'Trabajos 2'!B36)</f>
        <v>46020</v>
      </c>
      <c r="C36" s="53" t="str">
        <f>IF('Trabajos 2'!F36="","",'Trabajos 2'!F36)</f>
        <v>Omar Piaggio</v>
      </c>
      <c r="D36" s="54" t="str">
        <f>IF('Trabajos 2'!D36="","",'Trabajos 2'!D36)</f>
        <v>Seguimiento de cultivos</v>
      </c>
      <c r="E36" s="17">
        <f>IF('Trabajos 2'!J36="","",'Trabajos 2'!J36)</f>
        <v>150000</v>
      </c>
      <c r="F36" s="17">
        <f>IF('Trabajos 2'!O36="","",'Trabajos 2'!O36)</f>
        <v>146250</v>
      </c>
      <c r="G36" s="181"/>
      <c r="H36" s="17">
        <f>IF('Trabajos 2'!H36&lt;&gt;"",E36-E36*G36,"")</f>
        <v>150000</v>
      </c>
      <c r="I36" s="17">
        <f>IF('Trabajos 2'!H36&lt;&gt;"",F36-F36*G36,"")</f>
        <v>146250</v>
      </c>
      <c r="J36" s="16">
        <f>IF('Trabajos 2'!H36&lt;&gt;"",H36*0.55,"")</f>
        <v>82500</v>
      </c>
      <c r="K36" s="16">
        <f>IF('Trabajos 2'!H36&lt;&gt;"",H36*0.45,"")</f>
        <v>67500</v>
      </c>
      <c r="L36" s="16" t="str">
        <f>IF('Trabajos 2'!L36="","",'Trabajos 2'!L36)</f>
        <v>Tomas</v>
      </c>
    </row>
    <row r="37" spans="2:12" x14ac:dyDescent="0.25">
      <c r="B37" s="52">
        <f>IF('Trabajos 2'!B37="","",'Trabajos 2'!B37)</f>
        <v>46021</v>
      </c>
      <c r="C37" s="53" t="str">
        <f>IF('Trabajos 2'!F37="","",'Trabajos 2'!F37)</f>
        <v>Carlos Fernando Fuertes</v>
      </c>
      <c r="D37" s="54" t="str">
        <f>IF('Trabajos 2'!D37="","",'Trabajos 2'!D37)</f>
        <v>Seguimiento de cultivos</v>
      </c>
      <c r="E37" s="17">
        <f>IF('Trabajos 2'!J37="","",'Trabajos 2'!J37)</f>
        <v>100000</v>
      </c>
      <c r="F37" s="17">
        <f>IF('Trabajos 2'!O37="","",'Trabajos 2'!O37)</f>
        <v>78000</v>
      </c>
      <c r="G37" s="181"/>
      <c r="H37" s="17">
        <f>IF('Trabajos 2'!H37&lt;&gt;"",E37-E37*G37,"")</f>
        <v>100000</v>
      </c>
      <c r="I37" s="17">
        <f>IF('Trabajos 2'!H37&lt;&gt;"",F37-F37*G37,"")</f>
        <v>78000</v>
      </c>
      <c r="J37" s="16">
        <f>IF('Trabajos 2'!H37&lt;&gt;"",H37*0.55,"")</f>
        <v>55000.000000000007</v>
      </c>
      <c r="K37" s="16">
        <f>IF('Trabajos 2'!H37&lt;&gt;"",H37*0.45,"")</f>
        <v>45000</v>
      </c>
      <c r="L37" s="16" t="str">
        <f>IF('Trabajos 2'!L37="","",'Trabajos 2'!L37)</f>
        <v>Tomas</v>
      </c>
    </row>
    <row r="38" spans="2:12" x14ac:dyDescent="0.25">
      <c r="B38" s="52">
        <f>IF('Trabajos 2'!B38="","",'Trabajos 2'!B38)</f>
        <v>46025</v>
      </c>
      <c r="C38" s="53" t="str">
        <f>IF('Trabajos 2'!F38="","",'Trabajos 2'!F38)</f>
        <v>Nugas S.A.</v>
      </c>
      <c r="D38" s="54" t="str">
        <f>IF('Trabajos 2'!D38="","",'Trabajos 2'!D38)</f>
        <v>Seguimiento de cultivos</v>
      </c>
      <c r="E38" s="17">
        <f>IF('Trabajos 2'!J38="","",'Trabajos 2'!J38)</f>
        <v>200000</v>
      </c>
      <c r="F38" s="17">
        <f>IF('Trabajos 2'!O38="","",'Trabajos 2'!O38)</f>
        <v>112000</v>
      </c>
      <c r="G38" s="181"/>
      <c r="H38" s="17">
        <f>IF('Trabajos 2'!H38&lt;&gt;"",E38-E38*G38,"")</f>
        <v>200000</v>
      </c>
      <c r="I38" s="17">
        <f>IF('Trabajos 2'!H38&lt;&gt;"",F38-F38*G38,"")</f>
        <v>112000</v>
      </c>
      <c r="J38" s="16">
        <f>IF('Trabajos 2'!H38&lt;&gt;"",H38*0.55,"")</f>
        <v>110000.00000000001</v>
      </c>
      <c r="K38" s="16">
        <f>IF('Trabajos 2'!H38&lt;&gt;"",H38*0.45,"")</f>
        <v>90000</v>
      </c>
      <c r="L38" s="16" t="str">
        <f>IF('Trabajos 2'!L38="","",'Trabajos 2'!L38)</f>
        <v>Tomas</v>
      </c>
    </row>
    <row r="39" spans="2:12" x14ac:dyDescent="0.25">
      <c r="B39" s="52">
        <f>IF('Trabajos 2'!B39="","",'Trabajos 2'!B39)</f>
        <v>45997</v>
      </c>
      <c r="C39" s="53" t="str">
        <f>IF('Trabajos 2'!F39="","",'Trabajos 2'!F39)</f>
        <v>Espartina S.A.</v>
      </c>
      <c r="D39" s="54" t="str">
        <f>IF('Trabajos 2'!D39="","",'Trabajos 2'!D39)</f>
        <v>Control de cosecha</v>
      </c>
      <c r="E39" s="17">
        <f>IF('Trabajos 2'!J39="","",'Trabajos 2'!J39)</f>
        <v>100000</v>
      </c>
      <c r="F39" s="17">
        <f>IF('Trabajos 2'!O39="","",'Trabajos 2'!O39)</f>
        <v>157683.4</v>
      </c>
      <c r="G39" s="181"/>
      <c r="H39" s="17">
        <f>IF('Trabajos 2'!H39&lt;&gt;"",E39-E39*G39,"")</f>
        <v>100000</v>
      </c>
      <c r="I39" s="17">
        <f>IF('Trabajos 2'!H39&lt;&gt;"",F39-F39*G39,"")</f>
        <v>157683.4</v>
      </c>
      <c r="J39" s="16">
        <f>IF('Trabajos 2'!H39&lt;&gt;"",H39*0.55,"")</f>
        <v>55000.000000000007</v>
      </c>
      <c r="K39" s="16">
        <f>IF('Trabajos 2'!H39&lt;&gt;"",H39*0.45,"")</f>
        <v>45000</v>
      </c>
      <c r="L39" s="16" t="str">
        <f>IF('Trabajos 2'!L39="","",'Trabajos 2'!L39)</f>
        <v>Zoom</v>
      </c>
    </row>
    <row r="40" spans="2:12" x14ac:dyDescent="0.25">
      <c r="B40" s="52">
        <f>IF('Trabajos 2'!B40="","",'Trabajos 2'!B40)</f>
        <v>45999</v>
      </c>
      <c r="C40" s="53" t="str">
        <f>IF('Trabajos 2'!F40="","",'Trabajos 2'!F40)</f>
        <v>Espartina S.A.</v>
      </c>
      <c r="D40" s="54" t="str">
        <f>IF('Trabajos 2'!D40="","",'Trabajos 2'!D40)</f>
        <v>Control de cosecha</v>
      </c>
      <c r="E40" s="17">
        <f>IF('Trabajos 2'!J40="","",'Trabajos 2'!J40)</f>
        <v>100000</v>
      </c>
      <c r="F40" s="17">
        <f>IF('Trabajos 2'!O40="","",'Trabajos 2'!O40)</f>
        <v>149665.60000000001</v>
      </c>
      <c r="G40" s="181"/>
      <c r="H40" s="17">
        <f>IF('Trabajos 2'!H40&lt;&gt;"",E40-E40*G40,"")</f>
        <v>100000</v>
      </c>
      <c r="I40" s="17">
        <f>IF('Trabajos 2'!H40&lt;&gt;"",F40-F40*G40,"")</f>
        <v>149665.60000000001</v>
      </c>
      <c r="J40" s="16">
        <f>IF('Trabajos 2'!H40&lt;&gt;"",H40*0.55,"")</f>
        <v>55000.000000000007</v>
      </c>
      <c r="K40" s="16">
        <f>IF('Trabajos 2'!H40&lt;&gt;"",H40*0.45,"")</f>
        <v>45000</v>
      </c>
      <c r="L40" s="16" t="str">
        <f>IF('Trabajos 2'!L40="","",'Trabajos 2'!L40)</f>
        <v>Zoom</v>
      </c>
    </row>
    <row r="41" spans="2:12" x14ac:dyDescent="0.25">
      <c r="B41" s="52">
        <f>IF('Trabajos 2'!B41="","",'Trabajos 2'!B41)</f>
        <v>46008</v>
      </c>
      <c r="C41" s="53" t="str">
        <f>IF('Trabajos 2'!F41="","",'Trabajos 2'!F41)</f>
        <v>Espartina S.A.</v>
      </c>
      <c r="D41" s="54" t="str">
        <f>IF('Trabajos 2'!D41="","",'Trabajos 2'!D41)</f>
        <v>Control de cosecha</v>
      </c>
      <c r="E41" s="17">
        <f>IF('Trabajos 2'!J41="","",'Trabajos 2'!J41)</f>
        <v>100000</v>
      </c>
      <c r="F41" s="17">
        <f>IF('Trabajos 2'!O41="","",'Trabajos 2'!O41)</f>
        <v>182404.94999999998</v>
      </c>
      <c r="G41" s="181"/>
      <c r="H41" s="17">
        <f>IF('Trabajos 2'!H41&lt;&gt;"",E41-E41*G41,"")</f>
        <v>100000</v>
      </c>
      <c r="I41" s="17">
        <f>IF('Trabajos 2'!H41&lt;&gt;"",F41-F41*G41,"")</f>
        <v>182404.94999999998</v>
      </c>
      <c r="J41" s="16">
        <f>IF('Trabajos 2'!H41&lt;&gt;"",H41*0.55,"")</f>
        <v>55000.000000000007</v>
      </c>
      <c r="K41" s="16">
        <f>IF('Trabajos 2'!H41&lt;&gt;"",H41*0.45,"")</f>
        <v>45000</v>
      </c>
      <c r="L41" s="16" t="str">
        <f>IF('Trabajos 2'!L41="","",'Trabajos 2'!L41)</f>
        <v>Zoom</v>
      </c>
    </row>
    <row r="42" spans="2:12" x14ac:dyDescent="0.25">
      <c r="B42" s="52">
        <f>IF('Trabajos 2'!B42="","",'Trabajos 2'!B42)</f>
        <v>46009</v>
      </c>
      <c r="C42" s="53" t="str">
        <f>IF('Trabajos 2'!F42="","",'Trabajos 2'!F42)</f>
        <v>Espartina S.A.</v>
      </c>
      <c r="D42" s="54" t="str">
        <f>IF('Trabajos 2'!D42="","",'Trabajos 2'!D42)</f>
        <v>Control de cosecha</v>
      </c>
      <c r="E42" s="17">
        <f>IF('Trabajos 2'!J42="","",'Trabajos 2'!J42)</f>
        <v>100000</v>
      </c>
      <c r="F42" s="17">
        <f>IF('Trabajos 2'!O42="","",'Trabajos 2'!O42)</f>
        <v>184409.4</v>
      </c>
      <c r="G42" s="181"/>
      <c r="H42" s="17">
        <f>IF('Trabajos 2'!H42&lt;&gt;"",E42-E42*G42,"")</f>
        <v>100000</v>
      </c>
      <c r="I42" s="17">
        <f>IF('Trabajos 2'!H42&lt;&gt;"",F42-F42*G42,"")</f>
        <v>184409.4</v>
      </c>
      <c r="J42" s="16">
        <f>IF('Trabajos 2'!H42&lt;&gt;"",H42*0.55,"")</f>
        <v>55000.000000000007</v>
      </c>
      <c r="K42" s="16">
        <f>IF('Trabajos 2'!H42&lt;&gt;"",H42*0.45,"")</f>
        <v>45000</v>
      </c>
      <c r="L42" s="16" t="str">
        <f>IF('Trabajos 2'!L42="","",'Trabajos 2'!L42)</f>
        <v>Zoom</v>
      </c>
    </row>
    <row r="43" spans="2:12" x14ac:dyDescent="0.25">
      <c r="B43" s="52">
        <f>IF('Trabajos 2'!B43="","",'Trabajos 2'!B43)</f>
        <v>46010</v>
      </c>
      <c r="C43" s="53" t="str">
        <f>IF('Trabajos 2'!F43="","",'Trabajos 2'!F43)</f>
        <v>Espartina S.A.</v>
      </c>
      <c r="D43" s="54" t="str">
        <f>IF('Trabajos 2'!D43="","",'Trabajos 2'!D43)</f>
        <v>Control de cosecha</v>
      </c>
      <c r="E43" s="17">
        <f>IF('Trabajos 2'!J43="","",'Trabajos 2'!J43)</f>
        <v>100000</v>
      </c>
      <c r="F43" s="17">
        <f>IF('Trabajos 2'!O43="","",'Trabajos 2'!O43)</f>
        <v>197104.25</v>
      </c>
      <c r="G43" s="181"/>
      <c r="H43" s="17">
        <f>IF('Trabajos 2'!H43&lt;&gt;"",E43-E43*G43,"")</f>
        <v>100000</v>
      </c>
      <c r="I43" s="17">
        <f>IF('Trabajos 2'!H43&lt;&gt;"",F43-F43*G43,"")</f>
        <v>197104.25</v>
      </c>
      <c r="J43" s="16">
        <f>IF('Trabajos 2'!H43&lt;&gt;"",H43*0.55,"")</f>
        <v>55000.000000000007</v>
      </c>
      <c r="K43" s="16">
        <f>IF('Trabajos 2'!H43&lt;&gt;"",H43*0.45,"")</f>
        <v>45000</v>
      </c>
      <c r="L43" s="16" t="str">
        <f>IF('Trabajos 2'!L43="","",'Trabajos 2'!L43)</f>
        <v>Zoom</v>
      </c>
    </row>
    <row r="44" spans="2:12" x14ac:dyDescent="0.25">
      <c r="B44" s="52">
        <f>IF('Trabajos 2'!B44="","",'Trabajos 2'!B44)</f>
        <v>46012</v>
      </c>
      <c r="C44" s="53" t="str">
        <f>IF('Trabajos 2'!F44="","",'Trabajos 2'!F44)</f>
        <v>Espartina S.A.</v>
      </c>
      <c r="D44" s="54" t="str">
        <f>IF('Trabajos 2'!D44="","",'Trabajos 2'!D44)</f>
        <v>Control de cosecha</v>
      </c>
      <c r="E44" s="17">
        <f>IF('Trabajos 2'!J44="","",'Trabajos 2'!J44)</f>
        <v>100000</v>
      </c>
      <c r="F44" s="17">
        <f>IF('Trabajos 2'!O44="","",'Trabajos 2'!O44)</f>
        <v>182404.94999999998</v>
      </c>
      <c r="G44" s="181"/>
      <c r="H44" s="17">
        <f>IF('Trabajos 2'!H44&lt;&gt;"",E44-E44*G44,"")</f>
        <v>100000</v>
      </c>
      <c r="I44" s="17">
        <f>IF('Trabajos 2'!H44&lt;&gt;"",F44-F44*G44,"")</f>
        <v>182404.94999999998</v>
      </c>
      <c r="J44" s="16">
        <f>IF('Trabajos 2'!H44&lt;&gt;"",H44*0.55,"")</f>
        <v>55000.000000000007</v>
      </c>
      <c r="K44" s="16">
        <f>IF('Trabajos 2'!H44&lt;&gt;"",H44*0.45,"")</f>
        <v>45000</v>
      </c>
      <c r="L44" s="16" t="str">
        <f>IF('Trabajos 2'!L44="","",'Trabajos 2'!L44)</f>
        <v>Zoom</v>
      </c>
    </row>
    <row r="45" spans="2:12" x14ac:dyDescent="0.25">
      <c r="B45" s="52">
        <f>IF('Trabajos 2'!B45="","",'Trabajos 2'!B45)</f>
        <v>46013</v>
      </c>
      <c r="C45" s="53" t="str">
        <f>IF('Trabajos 2'!F45="","",'Trabajos 2'!F45)</f>
        <v>Espartina S.A.</v>
      </c>
      <c r="D45" s="54" t="str">
        <f>IF('Trabajos 2'!D45="","",'Trabajos 2'!D45)</f>
        <v>Control de cosecha</v>
      </c>
      <c r="E45" s="17">
        <f>IF('Trabajos 2'!J45="","",'Trabajos 2'!J45)</f>
        <v>100000</v>
      </c>
      <c r="F45" s="17">
        <f>IF('Trabajos 2'!O45="","",'Trabajos 2'!O45)</f>
        <v>190422.75</v>
      </c>
      <c r="G45" s="181"/>
      <c r="H45" s="17">
        <f>IF('Trabajos 2'!H45&lt;&gt;"",E45-E45*G45,"")</f>
        <v>100000</v>
      </c>
      <c r="I45" s="17">
        <f>IF('Trabajos 2'!H45&lt;&gt;"",F45-F45*G45,"")</f>
        <v>190422.75</v>
      </c>
      <c r="J45" s="16">
        <f>IF('Trabajos 2'!H45&lt;&gt;"",H45*0.55,"")</f>
        <v>55000.000000000007</v>
      </c>
      <c r="K45" s="16">
        <f>IF('Trabajos 2'!H45&lt;&gt;"",H45*0.45,"")</f>
        <v>45000</v>
      </c>
      <c r="L45" s="16" t="str">
        <f>IF('Trabajos 2'!L45="","",'Trabajos 2'!L45)</f>
        <v>Zoom</v>
      </c>
    </row>
    <row r="46" spans="2:12" x14ac:dyDescent="0.25">
      <c r="B46" s="52">
        <f>IF('Trabajos 2'!B46="","",'Trabajos 2'!B46)</f>
        <v>46014</v>
      </c>
      <c r="C46" s="53" t="str">
        <f>IF('Trabajos 2'!F46="","",'Trabajos 2'!F46)</f>
        <v>Espartina S.A.</v>
      </c>
      <c r="D46" s="54" t="str">
        <f>IF('Trabajos 2'!D46="","",'Trabajos 2'!D46)</f>
        <v>Control de cosecha</v>
      </c>
      <c r="E46" s="17">
        <f>IF('Trabajos 2'!J46="","",'Trabajos 2'!J46)</f>
        <v>100000</v>
      </c>
      <c r="F46" s="17">
        <f>IF('Trabajos 2'!O46="","",'Trabajos 2'!O46)</f>
        <v>187082</v>
      </c>
      <c r="G46" s="181"/>
      <c r="H46" s="17">
        <f>IF('Trabajos 2'!H46&lt;&gt;"",E46-E46*G46,"")</f>
        <v>100000</v>
      </c>
      <c r="I46" s="17">
        <f>IF('Trabajos 2'!H46&lt;&gt;"",F46-F46*G46,"")</f>
        <v>187082</v>
      </c>
      <c r="J46" s="16">
        <f>IF('Trabajos 2'!H46&lt;&gt;"",H46*0.55,"")</f>
        <v>55000.000000000007</v>
      </c>
      <c r="K46" s="16">
        <f>IF('Trabajos 2'!H46&lt;&gt;"",H46*0.45,"")</f>
        <v>45000</v>
      </c>
      <c r="L46" s="16" t="str">
        <f>IF('Trabajos 2'!L46="","",'Trabajos 2'!L46)</f>
        <v>Zoom</v>
      </c>
    </row>
    <row r="47" spans="2:12" x14ac:dyDescent="0.25">
      <c r="B47" s="52">
        <f>IF('Trabajos 2'!B47="","",'Trabajos 2'!B47)</f>
        <v>46015</v>
      </c>
      <c r="C47" s="53" t="str">
        <f>IF('Trabajos 2'!F47="","",'Trabajos 2'!F47)</f>
        <v>Espartina S.A.</v>
      </c>
      <c r="D47" s="54" t="str">
        <f>IF('Trabajos 2'!D47="","",'Trabajos 2'!D47)</f>
        <v>Control de cosecha</v>
      </c>
      <c r="E47" s="17">
        <f>IF('Trabajos 2'!J47="","",'Trabajos 2'!J47)</f>
        <v>100000</v>
      </c>
      <c r="F47" s="17">
        <f>IF('Trabajos 2'!O47="","",'Trabajos 2'!O47)</f>
        <v>210467.25</v>
      </c>
      <c r="G47" s="181"/>
      <c r="H47" s="17">
        <f>IF('Trabajos 2'!H47&lt;&gt;"",E47-E47*G47,"")</f>
        <v>100000</v>
      </c>
      <c r="I47" s="17">
        <f>IF('Trabajos 2'!H47&lt;&gt;"",F47-F47*G47,"")</f>
        <v>210467.25</v>
      </c>
      <c r="J47" s="16">
        <f>IF('Trabajos 2'!H47&lt;&gt;"",H47*0.55,"")</f>
        <v>55000.000000000007</v>
      </c>
      <c r="K47" s="16">
        <f>IF('Trabajos 2'!H47&lt;&gt;"",H47*0.45,"")</f>
        <v>45000</v>
      </c>
      <c r="L47" s="16" t="str">
        <f>IF('Trabajos 2'!L47="","",'Trabajos 2'!L47)</f>
        <v>Zoom</v>
      </c>
    </row>
    <row r="48" spans="2:12" x14ac:dyDescent="0.25">
      <c r="B48" s="52">
        <f>IF('Trabajos 2'!B48="","",'Trabajos 2'!B48)</f>
        <v>46016</v>
      </c>
      <c r="C48" s="53" t="str">
        <f>IF('Trabajos 2'!F48="","",'Trabajos 2'!F48)</f>
        <v>Espartina S.A.</v>
      </c>
      <c r="D48" s="54" t="str">
        <f>IF('Trabajos 2'!D48="","",'Trabajos 2'!D48)</f>
        <v>Control de cosecha</v>
      </c>
      <c r="E48" s="17">
        <f>IF('Trabajos 2'!J48="","",'Trabajos 2'!J48)</f>
        <v>100000</v>
      </c>
      <c r="F48" s="17">
        <f>IF('Trabajos 2'!O48="","",'Trabajos 2'!O48)</f>
        <v>183073.1</v>
      </c>
      <c r="G48" s="181"/>
      <c r="H48" s="17">
        <f>IF('Trabajos 2'!H48&lt;&gt;"",E48-E48*G48,"")</f>
        <v>100000</v>
      </c>
      <c r="I48" s="17">
        <f>IF('Trabajos 2'!H48&lt;&gt;"",F48-F48*G48,"")</f>
        <v>183073.1</v>
      </c>
      <c r="J48" s="16">
        <f>IF('Trabajos 2'!H48&lt;&gt;"",H48*0.55,"")</f>
        <v>55000.000000000007</v>
      </c>
      <c r="K48" s="16">
        <f>IF('Trabajos 2'!H48&lt;&gt;"",H48*0.45,"")</f>
        <v>45000</v>
      </c>
      <c r="L48" s="16" t="str">
        <f>IF('Trabajos 2'!L48="","",'Trabajos 2'!L48)</f>
        <v>Zoom</v>
      </c>
    </row>
    <row r="49" spans="2:12" x14ac:dyDescent="0.25">
      <c r="B49" s="52">
        <f>IF('Trabajos 2'!B49="","",'Trabajos 2'!B49)</f>
        <v>46017</v>
      </c>
      <c r="C49" s="53" t="str">
        <f>IF('Trabajos 2'!F49="","",'Trabajos 2'!F49)</f>
        <v>Espartina S.A.</v>
      </c>
      <c r="D49" s="54" t="str">
        <f>IF('Trabajos 2'!D49="","",'Trabajos 2'!D49)</f>
        <v>Control de cosecha</v>
      </c>
      <c r="E49" s="17">
        <f>IF('Trabajos 2'!J49="","",'Trabajos 2'!J49)</f>
        <v>100000</v>
      </c>
      <c r="F49" s="17">
        <f>IF('Trabajos 2'!O49="","",'Trabajos 2'!O49)</f>
        <v>195099.8</v>
      </c>
      <c r="G49" s="181"/>
      <c r="H49" s="17">
        <f>IF('Trabajos 2'!H49&lt;&gt;"",E49-E49*G49,"")</f>
        <v>100000</v>
      </c>
      <c r="I49" s="17">
        <f>IF('Trabajos 2'!H49&lt;&gt;"",F49-F49*G49,"")</f>
        <v>195099.8</v>
      </c>
      <c r="J49" s="16">
        <f>IF('Trabajos 2'!H49&lt;&gt;"",H49*0.55,"")</f>
        <v>55000.000000000007</v>
      </c>
      <c r="K49" s="16">
        <f>IF('Trabajos 2'!H49&lt;&gt;"",H49*0.45,"")</f>
        <v>45000</v>
      </c>
      <c r="L49" s="16" t="str">
        <f>IF('Trabajos 2'!L49="","",'Trabajos 2'!L49)</f>
        <v>Zoom</v>
      </c>
    </row>
    <row r="50" spans="2:12" x14ac:dyDescent="0.25">
      <c r="B50" s="52">
        <f>IF('Trabajos 2'!B50="","",'Trabajos 2'!B50)</f>
        <v>46018</v>
      </c>
      <c r="C50" s="53" t="str">
        <f>IF('Trabajos 2'!F50="","",'Trabajos 2'!F50)</f>
        <v>Espartina S.A.</v>
      </c>
      <c r="D50" s="54" t="str">
        <f>IF('Trabajos 2'!D50="","",'Trabajos 2'!D50)</f>
        <v>Control de cosecha</v>
      </c>
      <c r="E50" s="17">
        <f>IF('Trabajos 2'!J50="","",'Trabajos 2'!J50)</f>
        <v>100000</v>
      </c>
      <c r="F50" s="17">
        <f>IF('Trabajos 2'!O50="","",'Trabajos 2'!O50)</f>
        <v>187082</v>
      </c>
      <c r="G50" s="181"/>
      <c r="H50" s="17">
        <f>IF('Trabajos 2'!H50&lt;&gt;"",E50-E50*G50,"")</f>
        <v>100000</v>
      </c>
      <c r="I50" s="17">
        <f>IF('Trabajos 2'!H50&lt;&gt;"",F50-F50*G50,"")</f>
        <v>187082</v>
      </c>
      <c r="J50" s="16">
        <f>IF('Trabajos 2'!H50&lt;&gt;"",H50*0.55,"")</f>
        <v>55000.000000000007</v>
      </c>
      <c r="K50" s="16">
        <f>IF('Trabajos 2'!H50&lt;&gt;"",H50*0.45,"")</f>
        <v>45000</v>
      </c>
      <c r="L50" s="16" t="str">
        <f>IF('Trabajos 2'!L50="","",'Trabajos 2'!L50)</f>
        <v>Zoom</v>
      </c>
    </row>
    <row r="51" spans="2:12" x14ac:dyDescent="0.25">
      <c r="B51" s="52">
        <f>IF('Trabajos 2'!B51="","",'Trabajos 2'!B51)</f>
        <v>46019</v>
      </c>
      <c r="C51" s="53" t="str">
        <f>IF('Trabajos 2'!F51="","",'Trabajos 2'!F51)</f>
        <v>Espartina S.A.</v>
      </c>
      <c r="D51" s="54" t="str">
        <f>IF('Trabajos 2'!D51="","",'Trabajos 2'!D51)</f>
        <v>Control de cosecha</v>
      </c>
      <c r="E51" s="17">
        <f>IF('Trabajos 2'!J51="","",'Trabajos 2'!J51)</f>
        <v>100000</v>
      </c>
      <c r="F51" s="17">
        <f>IF('Trabajos 2'!O51="","",'Trabajos 2'!O51)</f>
        <v>188418.3</v>
      </c>
      <c r="G51" s="181"/>
      <c r="H51" s="17">
        <f>IF('Trabajos 2'!H51&lt;&gt;"",E51-E51*G51,"")</f>
        <v>100000</v>
      </c>
      <c r="I51" s="17">
        <f>IF('Trabajos 2'!H51&lt;&gt;"",F51-F51*G51,"")</f>
        <v>188418.3</v>
      </c>
      <c r="J51" s="16">
        <f>IF('Trabajos 2'!H51&lt;&gt;"",H51*0.55,"")</f>
        <v>55000.000000000007</v>
      </c>
      <c r="K51" s="16">
        <f>IF('Trabajos 2'!H51&lt;&gt;"",H51*0.45,"")</f>
        <v>45000</v>
      </c>
      <c r="L51" s="16" t="str">
        <f>IF('Trabajos 2'!L51="","",'Trabajos 2'!L51)</f>
        <v>Zoom</v>
      </c>
    </row>
    <row r="52" spans="2:12" x14ac:dyDescent="0.25">
      <c r="B52" s="52">
        <f>IF('Trabajos 2'!B52="","",'Trabajos 2'!B52)</f>
        <v>46020</v>
      </c>
      <c r="C52" s="53" t="str">
        <f>IF('Trabajos 2'!F52="","",'Trabajos 2'!F52)</f>
        <v>Espartina S.A.</v>
      </c>
      <c r="D52" s="54" t="str">
        <f>IF('Trabajos 2'!D52="","",'Trabajos 2'!D52)</f>
        <v>Control de cosecha</v>
      </c>
      <c r="E52" s="17">
        <f>IF('Trabajos 2'!J52="","",'Trabajos 2'!J52)</f>
        <v>100000</v>
      </c>
      <c r="F52" s="17">
        <f>IF('Trabajos 2'!O52="","",'Trabajos 2'!O52)</f>
        <v>185745.69999999998</v>
      </c>
      <c r="G52" s="181"/>
      <c r="H52" s="17">
        <f>IF('Trabajos 2'!H52&lt;&gt;"",E52-E52*G52,"")</f>
        <v>100000</v>
      </c>
      <c r="I52" s="17">
        <f>IF('Trabajos 2'!H52&lt;&gt;"",F52-F52*G52,"")</f>
        <v>185745.69999999998</v>
      </c>
      <c r="J52" s="16">
        <f>IF('Trabajos 2'!H52&lt;&gt;"",H52*0.55,"")</f>
        <v>55000.000000000007</v>
      </c>
      <c r="K52" s="16">
        <f>IF('Trabajos 2'!H52&lt;&gt;"",H52*0.45,"")</f>
        <v>45000</v>
      </c>
      <c r="L52" s="16" t="str">
        <f>IF('Trabajos 2'!L52="","",'Trabajos 2'!L52)</f>
        <v>Zoom</v>
      </c>
    </row>
    <row r="53" spans="2:12" x14ac:dyDescent="0.25">
      <c r="B53" s="52">
        <f>IF('Trabajos 2'!B53="","",'Trabajos 2'!B53)</f>
        <v>46032</v>
      </c>
      <c r="C53" s="53" t="str">
        <f>IF('Trabajos 2'!F53="","",'Trabajos 2'!F53)</f>
        <v>Nugas S.A.</v>
      </c>
      <c r="D53" s="54" t="str">
        <f>IF('Trabajos 2'!D53="","",'Trabajos 2'!D53)</f>
        <v>Seguimiento de cultivos</v>
      </c>
      <c r="E53" s="17">
        <f>IF('Trabajos 2'!J53="","",'Trabajos 2'!J53)</f>
        <v>200000</v>
      </c>
      <c r="F53" s="17">
        <f>IF('Trabajos 2'!O53="","",'Trabajos 2'!O53)</f>
        <v>112000</v>
      </c>
      <c r="G53" s="181"/>
      <c r="H53" s="17">
        <f>IF('Trabajos 2'!H53&lt;&gt;"",E53-E53*G53,"")</f>
        <v>200000</v>
      </c>
      <c r="I53" s="17">
        <f>IF('Trabajos 2'!H53&lt;&gt;"",F53-F53*G53,"")</f>
        <v>112000</v>
      </c>
      <c r="J53" s="16">
        <f>IF('Trabajos 2'!H53&lt;&gt;"",H53*0.55,"")</f>
        <v>110000.00000000001</v>
      </c>
      <c r="K53" s="16">
        <f>IF('Trabajos 2'!H53&lt;&gt;"",H53*0.45,"")</f>
        <v>90000</v>
      </c>
      <c r="L53" s="16" t="str">
        <f>IF('Trabajos 2'!L53="","",'Trabajos 2'!L53)</f>
        <v>Zoom</v>
      </c>
    </row>
    <row r="54" spans="2:12" x14ac:dyDescent="0.25">
      <c r="B54" s="52">
        <f>IF('Trabajos 2'!B54="","",'Trabajos 2'!B54)</f>
        <v>46032</v>
      </c>
      <c r="C54" s="53" t="str">
        <f>IF('Trabajos 2'!F54="","",'Trabajos 2'!F54)</f>
        <v>Omar Piaggio</v>
      </c>
      <c r="D54" s="54" t="str">
        <f>IF('Trabajos 2'!D54="","",'Trabajos 2'!D54)</f>
        <v>Seguimiento de cultivos</v>
      </c>
      <c r="E54" s="17">
        <f>IF('Trabajos 2'!J54="","",'Trabajos 2'!J54)</f>
        <v>150000</v>
      </c>
      <c r="F54" s="17">
        <f>IF('Trabajos 2'!O54="","",'Trabajos 2'!O54)</f>
        <v>157500</v>
      </c>
      <c r="G54" s="181"/>
      <c r="H54" s="17">
        <f>IF('Trabajos 2'!H54&lt;&gt;"",E54-E54*G54,"")</f>
        <v>150000</v>
      </c>
      <c r="I54" s="17">
        <f>IF('Trabajos 2'!H54&lt;&gt;"",F54-F54*G54,"")</f>
        <v>157500</v>
      </c>
      <c r="J54" s="16">
        <f>IF('Trabajos 2'!H54&lt;&gt;"",H54*0.55,"")</f>
        <v>82500</v>
      </c>
      <c r="K54" s="16">
        <f>IF('Trabajos 2'!H54&lt;&gt;"",H54*0.45,"")</f>
        <v>67500</v>
      </c>
      <c r="L54" s="16" t="str">
        <f>IF('Trabajos 2'!L54="","",'Trabajos 2'!L54)</f>
        <v>Tomas</v>
      </c>
    </row>
    <row r="55" spans="2:12" x14ac:dyDescent="0.25">
      <c r="B55" s="52">
        <f>IF('Trabajos 2'!B55="","",'Trabajos 2'!B55)</f>
        <v>46032</v>
      </c>
      <c r="C55" s="53" t="str">
        <f>IF('Trabajos 2'!F55="","",'Trabajos 2'!F55)</f>
        <v>Carlos Fernando Fuertes</v>
      </c>
      <c r="D55" s="54" t="str">
        <f>IF('Trabajos 2'!D55="","",'Trabajos 2'!D55)</f>
        <v>Seguimiento de cultivos</v>
      </c>
      <c r="E55" s="17">
        <f>IF('Trabajos 2'!J55="","",'Trabajos 2'!J55)</f>
        <v>100000</v>
      </c>
      <c r="F55" s="17">
        <f>IF('Trabajos 2'!O55="","",'Trabajos 2'!O55)</f>
        <v>84000</v>
      </c>
      <c r="G55" s="181"/>
      <c r="H55" s="17">
        <f>IF('Trabajos 2'!H55&lt;&gt;"",E55-E55*G55,"")</f>
        <v>100000</v>
      </c>
      <c r="I55" s="17">
        <f>IF('Trabajos 2'!H55&lt;&gt;"",F55-F55*G55,"")</f>
        <v>84000</v>
      </c>
      <c r="J55" s="16">
        <f>IF('Trabajos 2'!H55&lt;&gt;"",H55*0.55,"")</f>
        <v>55000.000000000007</v>
      </c>
      <c r="K55" s="16">
        <f>IF('Trabajos 2'!H55&lt;&gt;"",H55*0.45,"")</f>
        <v>45000</v>
      </c>
      <c r="L55" s="16" t="str">
        <f>IF('Trabajos 2'!L55="","",'Trabajos 2'!L55)</f>
        <v>Tomas</v>
      </c>
    </row>
    <row r="56" spans="2:12" x14ac:dyDescent="0.25">
      <c r="B56" s="52">
        <f>IF('Trabajos 2'!B56="","",'Trabajos 2'!B56)</f>
        <v>46041</v>
      </c>
      <c r="C56" s="53" t="str">
        <f>IF('Trabajos 2'!F56="","",'Trabajos 2'!F56)</f>
        <v>Nugas S.A.</v>
      </c>
      <c r="D56" s="54" t="str">
        <f>IF('Trabajos 2'!D56="","",'Trabajos 2'!D56)</f>
        <v>Seguimiento de cultivos</v>
      </c>
      <c r="E56" s="17">
        <f>IF('Trabajos 2'!J56="","",'Trabajos 2'!J56)</f>
        <v>200000</v>
      </c>
      <c r="F56" s="17">
        <f>IF('Trabajos 2'!O56="","",'Trabajos 2'!O56)</f>
        <v>112000</v>
      </c>
      <c r="G56" s="181"/>
      <c r="H56" s="17">
        <f>IF('Trabajos 2'!H56&lt;&gt;"",E56-E56*G56,"")</f>
        <v>200000</v>
      </c>
      <c r="I56" s="17">
        <f>IF('Trabajos 2'!H56&lt;&gt;"",F56-F56*G56,"")</f>
        <v>112000</v>
      </c>
      <c r="J56" s="16">
        <f>IF('Trabajos 2'!H56&lt;&gt;"",H56*0.55,"")</f>
        <v>110000.00000000001</v>
      </c>
      <c r="K56" s="16">
        <f>IF('Trabajos 2'!H56&lt;&gt;"",H56*0.45,"")</f>
        <v>90000</v>
      </c>
      <c r="L56" s="16" t="str">
        <f>IF('Trabajos 2'!L56="","",'Trabajos 2'!L56)</f>
        <v>Zoom</v>
      </c>
    </row>
    <row r="57" spans="2:12" x14ac:dyDescent="0.25">
      <c r="B57" s="52">
        <f>IF('Trabajos 2'!B57="","",'Trabajos 2'!B57)</f>
        <v>46049</v>
      </c>
      <c r="C57" s="53" t="str">
        <f>IF('Trabajos 2'!F57="","",'Trabajos 2'!F57)</f>
        <v>Nugas S.A.</v>
      </c>
      <c r="D57" s="54" t="str">
        <f>IF('Trabajos 2'!D57="","",'Trabajos 2'!D57)</f>
        <v>Seguimiento de cultivos</v>
      </c>
      <c r="E57" s="17">
        <f>IF('Trabajos 2'!J57="","",'Trabajos 2'!J57)</f>
        <v>200000</v>
      </c>
      <c r="F57" s="17">
        <f>IF('Trabajos 2'!O57="","",'Trabajos 2'!O57)</f>
        <v>112000</v>
      </c>
      <c r="G57" s="181"/>
      <c r="H57" s="17">
        <f>IF('Trabajos 2'!H57&lt;&gt;"",E57-E57*G57,"")</f>
        <v>200000</v>
      </c>
      <c r="I57" s="17">
        <f>IF('Trabajos 2'!H57&lt;&gt;"",F57-F57*G57,"")</f>
        <v>112000</v>
      </c>
      <c r="J57" s="16">
        <f>IF('Trabajos 2'!H57&lt;&gt;"",H57*0.55,"")</f>
        <v>110000.00000000001</v>
      </c>
      <c r="K57" s="16">
        <f>IF('Trabajos 2'!H57&lt;&gt;"",H57*0.45,"")</f>
        <v>90000</v>
      </c>
      <c r="L57" s="16" t="str">
        <f>IF('Trabajos 2'!L57="","",'Trabajos 2'!L57)</f>
        <v>Zoom</v>
      </c>
    </row>
    <row r="58" spans="2:12" x14ac:dyDescent="0.25">
      <c r="B58" s="52">
        <f>IF('Trabajos 2'!B58="","",'Trabajos 2'!B58)</f>
        <v>46050</v>
      </c>
      <c r="C58" s="53" t="str">
        <f>IF('Trabajos 2'!F58="","",'Trabajos 2'!F58)</f>
        <v>Omar Piaggio</v>
      </c>
      <c r="D58" s="54" t="str">
        <f>IF('Trabajos 2'!D58="","",'Trabajos 2'!D58)</f>
        <v>Seguimiento de cultivos</v>
      </c>
      <c r="E58" s="17">
        <f>IF('Trabajos 2'!J58="","",'Trabajos 2'!J58)</f>
        <v>150000</v>
      </c>
      <c r="F58" s="17">
        <f>IF('Trabajos 2'!O58="","",'Trabajos 2'!O58)</f>
        <v>157500</v>
      </c>
      <c r="G58" s="181"/>
      <c r="H58" s="17">
        <f>IF('Trabajos 2'!H58&lt;&gt;"",E58-E58*G58,"")</f>
        <v>150000</v>
      </c>
      <c r="I58" s="17">
        <f>IF('Trabajos 2'!H58&lt;&gt;"",F58-F58*G58,"")</f>
        <v>157500</v>
      </c>
      <c r="J58" s="16">
        <f>IF('Trabajos 2'!H58&lt;&gt;"",H58*0.55,"")</f>
        <v>82500</v>
      </c>
      <c r="K58" s="16">
        <f>IF('Trabajos 2'!H58&lt;&gt;"",H58*0.45,"")</f>
        <v>67500</v>
      </c>
      <c r="L58" s="16" t="str">
        <f>IF('Trabajos 2'!L58="","",'Trabajos 2'!L58)</f>
        <v>Tomas</v>
      </c>
    </row>
    <row r="59" spans="2:12" x14ac:dyDescent="0.25">
      <c r="B59" s="52">
        <f>IF('Trabajos 2'!B59="","",'Trabajos 2'!B59)</f>
        <v>46050</v>
      </c>
      <c r="C59" s="53" t="str">
        <f>IF('Trabajos 2'!F59="","",'Trabajos 2'!F59)</f>
        <v>Carlos Fernando Fuertes</v>
      </c>
      <c r="D59" s="54" t="str">
        <f>IF('Trabajos 2'!D59="","",'Trabajos 2'!D59)</f>
        <v>Seguimiento de cultivos</v>
      </c>
      <c r="E59" s="17">
        <f>IF('Trabajos 2'!J59="","",'Trabajos 2'!J59)</f>
        <v>100000</v>
      </c>
      <c r="F59" s="17">
        <f>IF('Trabajos 2'!O59="","",'Trabajos 2'!O59)</f>
        <v>84000</v>
      </c>
      <c r="G59" s="181"/>
      <c r="H59" s="17">
        <f>IF('Trabajos 2'!H59&lt;&gt;"",E59-E59*G59,"")</f>
        <v>100000</v>
      </c>
      <c r="I59" s="17">
        <f>IF('Trabajos 2'!H59&lt;&gt;"",F59-F59*G59,"")</f>
        <v>84000</v>
      </c>
      <c r="J59" s="16">
        <f>IF('Trabajos 2'!H59&lt;&gt;"",H59*0.55,"")</f>
        <v>55000.000000000007</v>
      </c>
      <c r="K59" s="16">
        <f>IF('Trabajos 2'!H59&lt;&gt;"",H59*0.45,"")</f>
        <v>45000</v>
      </c>
      <c r="L59" s="16" t="str">
        <f>IF('Trabajos 2'!L59="","",'Trabajos 2'!L59)</f>
        <v>Tomas</v>
      </c>
    </row>
    <row r="60" spans="2:12" x14ac:dyDescent="0.25">
      <c r="B60" s="52">
        <f>IF('Trabajos 2'!B60="","",'Trabajos 2'!B60)</f>
        <v>46055</v>
      </c>
      <c r="C60" s="53" t="str">
        <f>IF('Trabajos 2'!F60="","",'Trabajos 2'!F60)</f>
        <v>Nugas S.A.</v>
      </c>
      <c r="D60" s="54" t="str">
        <f>IF('Trabajos 2'!D60="","",'Trabajos 2'!D60)</f>
        <v>Seguimiento de cultivos</v>
      </c>
      <c r="E60" s="17">
        <f>IF('Trabajos 2'!J60="","",'Trabajos 2'!J60)</f>
        <v>200000</v>
      </c>
      <c r="F60" s="17">
        <f>IF('Trabajos 2'!O60="","",'Trabajos 2'!O60)</f>
        <v>112000</v>
      </c>
      <c r="G60" s="181"/>
      <c r="H60" s="17">
        <f>IF('Trabajos 2'!H60&lt;&gt;"",E60-E60*G60,"")</f>
        <v>200000</v>
      </c>
      <c r="I60" s="17">
        <f>IF('Trabajos 2'!H60&lt;&gt;"",F60-F60*G60,"")</f>
        <v>112000</v>
      </c>
      <c r="J60" s="16">
        <f>IF('Trabajos 2'!H60&lt;&gt;"",H60*0.55,"")</f>
        <v>110000.00000000001</v>
      </c>
      <c r="K60" s="16">
        <f>IF('Trabajos 2'!H60&lt;&gt;"",H60*0.45,"")</f>
        <v>90000</v>
      </c>
      <c r="L60" s="16" t="str">
        <f>IF('Trabajos 2'!L60="","",'Trabajos 2'!L60)</f>
        <v>Zoom</v>
      </c>
    </row>
    <row r="61" spans="2:12" x14ac:dyDescent="0.25">
      <c r="B61" s="52">
        <f>IF('Trabajos 2'!B61="","",'Trabajos 2'!B61)</f>
        <v>46064</v>
      </c>
      <c r="C61" s="53" t="str">
        <f>IF('Trabajos 2'!F61="","",'Trabajos 2'!F61)</f>
        <v>Nugas S.A.</v>
      </c>
      <c r="D61" s="54" t="str">
        <f>IF('Trabajos 2'!D61="","",'Trabajos 2'!D61)</f>
        <v>Seguimiento de cultivos</v>
      </c>
      <c r="E61" s="17">
        <f>IF('Trabajos 2'!J61="","",'Trabajos 2'!J61)</f>
        <v>200000</v>
      </c>
      <c r="F61" s="17">
        <f>IF('Trabajos 2'!O61="","",'Trabajos 2'!O61)</f>
        <v>112000</v>
      </c>
      <c r="G61" s="181"/>
      <c r="H61" s="17">
        <f>IF('Trabajos 2'!H61&lt;&gt;"",E61-E61*G61,"")</f>
        <v>200000</v>
      </c>
      <c r="I61" s="17">
        <f>IF('Trabajos 2'!H61&lt;&gt;"",F61-F61*G61,"")</f>
        <v>112000</v>
      </c>
      <c r="J61" s="16">
        <f>IF('Trabajos 2'!H61&lt;&gt;"",H61*0.55,"")</f>
        <v>110000.00000000001</v>
      </c>
      <c r="K61" s="16">
        <f>IF('Trabajos 2'!H61&lt;&gt;"",H61*0.45,"")</f>
        <v>90000</v>
      </c>
      <c r="L61" s="16" t="str">
        <f>IF('Trabajos 2'!L61="","",'Trabajos 2'!L61)</f>
        <v>Zoom</v>
      </c>
    </row>
    <row r="62" spans="2:12" x14ac:dyDescent="0.25">
      <c r="B62" s="52">
        <f>IF('Trabajos 2'!B62="","",'Trabajos 2'!B62)</f>
        <v>46066</v>
      </c>
      <c r="C62" s="53" t="str">
        <f>IF('Trabajos 2'!F62="","",'Trabajos 2'!F62)</f>
        <v>Omar Piaggio</v>
      </c>
      <c r="D62" s="54" t="str">
        <f>IF('Trabajos 2'!D62="","",'Trabajos 2'!D62)</f>
        <v>Seguimiento de cultivos</v>
      </c>
      <c r="E62" s="17">
        <f>IF('Trabajos 2'!J62="","",'Trabajos 2'!J62)</f>
        <v>150000</v>
      </c>
      <c r="F62" s="17">
        <f>IF('Trabajos 2'!O62="","",'Trabajos 2'!O62)</f>
        <v>157500</v>
      </c>
      <c r="G62" s="181"/>
      <c r="H62" s="17">
        <f>IF('Trabajos 2'!H62&lt;&gt;"",E62-E62*G62,"")</f>
        <v>150000</v>
      </c>
      <c r="I62" s="17">
        <f>IF('Trabajos 2'!H62&lt;&gt;"",F62-F62*G62,"")</f>
        <v>157500</v>
      </c>
      <c r="J62" s="16">
        <f>IF('Trabajos 2'!H62&lt;&gt;"",H62*0.55,"")</f>
        <v>82500</v>
      </c>
      <c r="K62" s="16">
        <f>IF('Trabajos 2'!H62&lt;&gt;"",H62*0.45,"")</f>
        <v>67500</v>
      </c>
      <c r="L62" s="16" t="str">
        <f>IF('Trabajos 2'!L62="","",'Trabajos 2'!L62)</f>
        <v>Tomas</v>
      </c>
    </row>
    <row r="63" spans="2:12" x14ac:dyDescent="0.25">
      <c r="B63" s="52">
        <f>IF('Trabajos 2'!B63="","",'Trabajos 2'!B63)</f>
        <v>46066</v>
      </c>
      <c r="C63" s="53" t="str">
        <f>IF('Trabajos 2'!F63="","",'Trabajos 2'!F63)</f>
        <v>Carlos Fernando Fuertes</v>
      </c>
      <c r="D63" s="54" t="str">
        <f>IF('Trabajos 2'!D63="","",'Trabajos 2'!D63)</f>
        <v>Seguimiento de cultivos</v>
      </c>
      <c r="E63" s="17">
        <f>IF('Trabajos 2'!J63="","",'Trabajos 2'!J63)</f>
        <v>100000</v>
      </c>
      <c r="F63" s="17">
        <f>IF('Trabajos 2'!O63="","",'Trabajos 2'!O63)</f>
        <v>84000</v>
      </c>
      <c r="G63" s="181"/>
      <c r="H63" s="17">
        <f>IF('Trabajos 2'!H63&lt;&gt;"",E63-E63*G63,"")</f>
        <v>100000</v>
      </c>
      <c r="I63" s="17">
        <f>IF('Trabajos 2'!H63&lt;&gt;"",F63-F63*G63,"")</f>
        <v>84000</v>
      </c>
      <c r="J63" s="16">
        <f>IF('Trabajos 2'!H63&lt;&gt;"",H63*0.55,"")</f>
        <v>55000.000000000007</v>
      </c>
      <c r="K63" s="16">
        <f>IF('Trabajos 2'!H63&lt;&gt;"",H63*0.45,"")</f>
        <v>45000</v>
      </c>
      <c r="L63" s="16" t="str">
        <f>IF('Trabajos 2'!L63="","",'Trabajos 2'!L63)</f>
        <v>Tomas</v>
      </c>
    </row>
    <row r="64" spans="2:12" x14ac:dyDescent="0.25">
      <c r="B64" s="52">
        <f>IF('Trabajos 2'!B64="","",'Trabajos 2'!B64)</f>
        <v>46075</v>
      </c>
      <c r="C64" s="53" t="str">
        <f>IF('Trabajos 2'!F64="","",'Trabajos 2'!F64)</f>
        <v>Nugas S.A.</v>
      </c>
      <c r="D64" s="54" t="str">
        <f>IF('Trabajos 2'!D64="","",'Trabajos 2'!D64)</f>
        <v>Seguimiento de cultivos</v>
      </c>
      <c r="E64" s="17">
        <f>IF('Trabajos 2'!J64="","",'Trabajos 2'!J64)</f>
        <v>200000</v>
      </c>
      <c r="F64" s="17">
        <f>IF('Trabajos 2'!O64="","",'Trabajos 2'!O64)</f>
        <v>112000</v>
      </c>
      <c r="G64" s="181"/>
      <c r="H64" s="17">
        <f>IF('Trabajos 2'!H64&lt;&gt;"",E64-E64*G64,"")</f>
        <v>200000</v>
      </c>
      <c r="I64" s="17">
        <f>IF('Trabajos 2'!H64&lt;&gt;"",F64-F64*G64,"")</f>
        <v>112000</v>
      </c>
      <c r="J64" s="16">
        <f>IF('Trabajos 2'!H64&lt;&gt;"",H64*0.55,"")</f>
        <v>110000.00000000001</v>
      </c>
      <c r="K64" s="16">
        <f>IF('Trabajos 2'!H64&lt;&gt;"",H64*0.45,"")</f>
        <v>90000</v>
      </c>
      <c r="L64" s="16" t="str">
        <f>IF('Trabajos 2'!L64="","",'Trabajos 2'!L64)</f>
        <v>Zoom</v>
      </c>
    </row>
    <row r="65" spans="2:12" x14ac:dyDescent="0.25">
      <c r="B65" s="52">
        <f>IF('Trabajos 2'!B65="","",'Trabajos 2'!B65)</f>
        <v>46078</v>
      </c>
      <c r="C65" s="53" t="str">
        <f>IF('Trabajos 2'!F65="","",'Trabajos 2'!F65)</f>
        <v>Omar Piaggio</v>
      </c>
      <c r="D65" s="54" t="str">
        <f>IF('Trabajos 2'!D65="","",'Trabajos 2'!D65)</f>
        <v>Seguimiento de cultivos</v>
      </c>
      <c r="E65" s="17">
        <f>IF('Trabajos 2'!J65="","",'Trabajos 2'!J65)</f>
        <v>150000</v>
      </c>
      <c r="F65" s="17">
        <f>IF('Trabajos 2'!O65="","",'Trabajos 2'!O65)</f>
        <v>157500</v>
      </c>
      <c r="G65" s="181"/>
      <c r="H65" s="17">
        <f>IF('Trabajos 2'!H65&lt;&gt;"",E65-E65*G65,"")</f>
        <v>150000</v>
      </c>
      <c r="I65" s="17">
        <f>IF('Trabajos 2'!H65&lt;&gt;"",F65-F65*G65,"")</f>
        <v>157500</v>
      </c>
      <c r="J65" s="16">
        <f>IF('Trabajos 2'!H65&lt;&gt;"",H65*0.55,"")</f>
        <v>82500</v>
      </c>
      <c r="K65" s="16">
        <f>IF('Trabajos 2'!H65&lt;&gt;"",H65*0.45,"")</f>
        <v>67500</v>
      </c>
      <c r="L65" s="16" t="str">
        <f>IF('Trabajos 2'!L65="","",'Trabajos 2'!L65)</f>
        <v>Tomas</v>
      </c>
    </row>
    <row r="66" spans="2:12" x14ac:dyDescent="0.25">
      <c r="B66" s="52">
        <f>IF('Trabajos 2'!B66="","",'Trabajos 2'!B66)</f>
        <v>46078</v>
      </c>
      <c r="C66" s="53" t="str">
        <f>IF('Trabajos 2'!F66="","",'Trabajos 2'!F66)</f>
        <v>Carlos Fernando Fuertes</v>
      </c>
      <c r="D66" s="54" t="str">
        <f>IF('Trabajos 2'!D66="","",'Trabajos 2'!D66)</f>
        <v>Seguimiento de cultivos</v>
      </c>
      <c r="E66" s="17">
        <f>IF('Trabajos 2'!J66="","",'Trabajos 2'!J66)</f>
        <v>100000</v>
      </c>
      <c r="F66" s="17">
        <f>IF('Trabajos 2'!O66="","",'Trabajos 2'!O66)</f>
        <v>84000</v>
      </c>
      <c r="G66" s="181"/>
      <c r="H66" s="17">
        <f>IF('Trabajos 2'!H66&lt;&gt;"",E66-E66*G66,"")</f>
        <v>100000</v>
      </c>
      <c r="I66" s="17">
        <f>IF('Trabajos 2'!H66&lt;&gt;"",F66-F66*G66,"")</f>
        <v>84000</v>
      </c>
      <c r="J66" s="16">
        <f>IF('Trabajos 2'!H66&lt;&gt;"",H66*0.55,"")</f>
        <v>55000.000000000007</v>
      </c>
      <c r="K66" s="16">
        <f>IF('Trabajos 2'!H66&lt;&gt;"",H66*0.45,"")</f>
        <v>45000</v>
      </c>
      <c r="L66" s="16" t="str">
        <f>IF('Trabajos 2'!L66="","",'Trabajos 2'!L66)</f>
        <v>Tomas</v>
      </c>
    </row>
    <row r="67" spans="2:12" x14ac:dyDescent="0.25">
      <c r="B67" s="52">
        <f>IF('Trabajos 2'!B67="","",'Trabajos 2'!B67)</f>
        <v>46082</v>
      </c>
      <c r="C67" s="53" t="str">
        <f>IF('Trabajos 2'!F67="","",'Trabajos 2'!F67)</f>
        <v>Nugas S.A.</v>
      </c>
      <c r="D67" s="54" t="str">
        <f>IF('Trabajos 2'!D67="","",'Trabajos 2'!D67)</f>
        <v>Seguimiento de cultivos</v>
      </c>
      <c r="E67" s="17">
        <f>IF('Trabajos 2'!J67="","",'Trabajos 2'!J67)</f>
        <v>200000</v>
      </c>
      <c r="F67" s="17">
        <f>IF('Trabajos 2'!O67="","",'Trabajos 2'!O67)</f>
        <v>112000</v>
      </c>
      <c r="G67" s="181"/>
      <c r="H67" s="17">
        <f>IF('Trabajos 2'!H67&lt;&gt;"",E67-E67*G67,"")</f>
        <v>200000</v>
      </c>
      <c r="I67" s="17">
        <f>IF('Trabajos 2'!H67&lt;&gt;"",F67-F67*G67,"")</f>
        <v>112000</v>
      </c>
      <c r="J67" s="16">
        <f>IF('Trabajos 2'!H67&lt;&gt;"",H67*0.55,"")</f>
        <v>110000.00000000001</v>
      </c>
      <c r="K67" s="16">
        <f>IF('Trabajos 2'!H67&lt;&gt;"",H67*0.45,"")</f>
        <v>90000</v>
      </c>
      <c r="L67" s="16" t="str">
        <f>IF('Trabajos 2'!L67="","",'Trabajos 2'!L67)</f>
        <v>Zoom</v>
      </c>
    </row>
    <row r="68" spans="2:12" x14ac:dyDescent="0.25">
      <c r="B68" s="52">
        <f>IF('Trabajos 2'!B68="","",'Trabajos 2'!B68)</f>
        <v>46089</v>
      </c>
      <c r="C68" s="53" t="str">
        <f>IF('Trabajos 2'!F68="","",'Trabajos 2'!F68)</f>
        <v>Nugas S.A.</v>
      </c>
      <c r="D68" s="54" t="str">
        <f>IF('Trabajos 2'!D68="","",'Trabajos 2'!D68)</f>
        <v>Seguimiento de cultivos</v>
      </c>
      <c r="E68" s="17">
        <f>IF('Trabajos 2'!J68="","",'Trabajos 2'!J68)</f>
        <v>200000</v>
      </c>
      <c r="F68" s="17">
        <f>IF('Trabajos 2'!O68="","",'Trabajos 2'!O68)</f>
        <v>112000</v>
      </c>
      <c r="G68" s="181"/>
      <c r="H68" s="17">
        <f>IF('Trabajos 2'!H68&lt;&gt;"",E68-E68*G68,"")</f>
        <v>200000</v>
      </c>
      <c r="I68" s="17">
        <f>IF('Trabajos 2'!H68&lt;&gt;"",F68-F68*G68,"")</f>
        <v>112000</v>
      </c>
      <c r="J68" s="16">
        <f>IF('Trabajos 2'!H68&lt;&gt;"",H68*0.55,"")</f>
        <v>110000.00000000001</v>
      </c>
      <c r="K68" s="16">
        <f>IF('Trabajos 2'!H68&lt;&gt;"",H68*0.45,"")</f>
        <v>90000</v>
      </c>
      <c r="L68" s="16" t="str">
        <f>IF('Trabajos 2'!L68="","",'Trabajos 2'!L68)</f>
        <v>Zoom</v>
      </c>
    </row>
    <row r="69" spans="2:12" x14ac:dyDescent="0.25">
      <c r="B69" s="52">
        <f>IF('Trabajos 2'!B69="","",'Trabajos 2'!B69)</f>
        <v>46093</v>
      </c>
      <c r="C69" s="53" t="str">
        <f>IF('Trabajos 2'!F69="","",'Trabajos 2'!F69)</f>
        <v>Omar Piaggio</v>
      </c>
      <c r="D69" s="54" t="str">
        <f>IF('Trabajos 2'!D69="","",'Trabajos 2'!D69)</f>
        <v>Seguimiento de cultivos</v>
      </c>
      <c r="E69" s="17">
        <f>IF('Trabajos 2'!J69="","",'Trabajos 2'!J69)</f>
        <v>150000</v>
      </c>
      <c r="F69" s="17">
        <f>IF('Trabajos 2'!O69="","",'Trabajos 2'!O69)</f>
        <v>157500</v>
      </c>
      <c r="G69" s="181"/>
      <c r="H69" s="17">
        <f>IF('Trabajos 2'!H69&lt;&gt;"",E69-E69*G69,"")</f>
        <v>150000</v>
      </c>
      <c r="I69" s="17">
        <f>IF('Trabajos 2'!H69&lt;&gt;"",F69-F69*G69,"")</f>
        <v>157500</v>
      </c>
      <c r="J69" s="16">
        <f>IF('Trabajos 2'!H69&lt;&gt;"",H69*0.55,"")</f>
        <v>82500</v>
      </c>
      <c r="K69" s="16">
        <f>IF('Trabajos 2'!H69&lt;&gt;"",H69*0.45,"")</f>
        <v>67500</v>
      </c>
      <c r="L69" s="16" t="str">
        <f>IF('Trabajos 2'!L69="","",'Trabajos 2'!L69)</f>
        <v>Tomas</v>
      </c>
    </row>
    <row r="70" spans="2:12" x14ac:dyDescent="0.25">
      <c r="B70" s="52">
        <f>IF('Trabajos 2'!B70="","",'Trabajos 2'!B70)</f>
        <v>46093</v>
      </c>
      <c r="C70" s="53" t="str">
        <f>IF('Trabajos 2'!F70="","",'Trabajos 2'!F70)</f>
        <v>Carlos Fernando Fuertes</v>
      </c>
      <c r="D70" s="54" t="str">
        <f>IF('Trabajos 2'!D70="","",'Trabajos 2'!D70)</f>
        <v>Seguimiento de cultivos</v>
      </c>
      <c r="E70" s="17">
        <f>IF('Trabajos 2'!J70="","",'Trabajos 2'!J70)</f>
        <v>100000</v>
      </c>
      <c r="F70" s="17">
        <f>IF('Trabajos 2'!O70="","",'Trabajos 2'!O70)</f>
        <v>84000</v>
      </c>
      <c r="G70" s="181"/>
      <c r="H70" s="17">
        <f>IF('Trabajos 2'!H70&lt;&gt;"",E70-E70*G70,"")</f>
        <v>100000</v>
      </c>
      <c r="I70" s="17">
        <f>IF('Trabajos 2'!H70&lt;&gt;"",F70-F70*G70,"")</f>
        <v>84000</v>
      </c>
      <c r="J70" s="16">
        <f>IF('Trabajos 2'!H70&lt;&gt;"",H70*0.55,"")</f>
        <v>55000.000000000007</v>
      </c>
      <c r="K70" s="16">
        <f>IF('Trabajos 2'!H70&lt;&gt;"",H70*0.45,"")</f>
        <v>45000</v>
      </c>
      <c r="L70" s="16" t="str">
        <f>IF('Trabajos 2'!L70="","",'Trabajos 2'!L70)</f>
        <v>Tomas</v>
      </c>
    </row>
    <row r="71" spans="2:12" x14ac:dyDescent="0.25">
      <c r="B71" s="52">
        <f>IF('Trabajos 2'!B71="","",'Trabajos 2'!B71)</f>
        <v>46101</v>
      </c>
      <c r="C71" s="53" t="str">
        <f>IF('Trabajos 2'!F71="","",'Trabajos 2'!F71)</f>
        <v>Nugas S.A.</v>
      </c>
      <c r="D71" s="54" t="str">
        <f>IF('Trabajos 2'!D71="","",'Trabajos 2'!D71)</f>
        <v>Seguimiento de cultivos</v>
      </c>
      <c r="E71" s="17">
        <f>IF('Trabajos 2'!J71="","",'Trabajos 2'!J71)</f>
        <v>140000</v>
      </c>
      <c r="F71" s="17">
        <f>IF('Trabajos 2'!O71="","",'Trabajos 2'!O71)</f>
        <v>136000</v>
      </c>
      <c r="G71" s="181"/>
      <c r="H71" s="17">
        <f>IF('Trabajos 2'!H71&lt;&gt;"",E71-E71*G71,"")</f>
        <v>140000</v>
      </c>
      <c r="I71" s="17">
        <f>IF('Trabajos 2'!H71&lt;&gt;"",F71-F71*G71,"")</f>
        <v>136000</v>
      </c>
      <c r="J71" s="16">
        <f>IF('Trabajos 2'!H71&lt;&gt;"",H71*0.55,"")</f>
        <v>77000</v>
      </c>
      <c r="K71" s="16">
        <f>IF('Trabajos 2'!H71&lt;&gt;"",H71*0.45,"")</f>
        <v>63000</v>
      </c>
      <c r="L71" s="16" t="str">
        <f>IF('Trabajos 2'!L71="","",'Trabajos 2'!L71)</f>
        <v>Zoom</v>
      </c>
    </row>
    <row r="72" spans="2:12" x14ac:dyDescent="0.25">
      <c r="B72" s="52">
        <f>IF('Trabajos 2'!B72="","",'Trabajos 2'!B72)</f>
        <v>46105</v>
      </c>
      <c r="C72" s="53" t="str">
        <f>IF('Trabajos 2'!F72="","",'Trabajos 2'!F72)</f>
        <v>Carlos Fernando Fuertes</v>
      </c>
      <c r="D72" s="54" t="str">
        <f>IF('Trabajos 2'!D72="","",'Trabajos 2'!D72)</f>
        <v>Seguimiento de cultivos</v>
      </c>
      <c r="E72" s="17">
        <f>IF('Trabajos 2'!J72="","",'Trabajos 2'!J72)</f>
        <v>100000</v>
      </c>
      <c r="F72" s="17">
        <f>IF('Trabajos 2'!O72="","",'Trabajos 2'!O72)</f>
        <v>102000</v>
      </c>
      <c r="G72" s="181"/>
      <c r="H72" s="17">
        <f>IF('Trabajos 2'!H72&lt;&gt;"",E72-E72*G72,"")</f>
        <v>100000</v>
      </c>
      <c r="I72" s="17">
        <f>IF('Trabajos 2'!H72&lt;&gt;"",F72-F72*G72,"")</f>
        <v>102000</v>
      </c>
      <c r="J72" s="16">
        <f>IF('Trabajos 2'!H72&lt;&gt;"",H72*0.55,"")</f>
        <v>55000.000000000007</v>
      </c>
      <c r="K72" s="16">
        <f>IF('Trabajos 2'!H72&lt;&gt;"",H72*0.45,"")</f>
        <v>45000</v>
      </c>
      <c r="L72" s="16" t="str">
        <f>IF('Trabajos 2'!L72="","",'Trabajos 2'!L72)</f>
        <v>Tomas</v>
      </c>
    </row>
    <row r="73" spans="2:12" x14ac:dyDescent="0.25">
      <c r="B73" s="52">
        <f>IF('Trabajos 2'!B73="","",'Trabajos 2'!B73)</f>
        <v>46105</v>
      </c>
      <c r="C73" s="53" t="str">
        <f>IF('Trabajos 2'!F73="","",'Trabajos 2'!F73)</f>
        <v>Omar Piaggio</v>
      </c>
      <c r="D73" s="54" t="str">
        <f>IF('Trabajos 2'!D73="","",'Trabajos 2'!D73)</f>
        <v>Seguimiento de cultivos</v>
      </c>
      <c r="E73" s="17">
        <f>IF('Trabajos 2'!J73="","",'Trabajos 2'!J73)</f>
        <v>150000</v>
      </c>
      <c r="F73" s="17">
        <f>IF('Trabajos 2'!O73="","",'Trabajos 2'!O73)</f>
        <v>191250</v>
      </c>
      <c r="G73" s="181"/>
      <c r="H73" s="17">
        <f>IF('Trabajos 2'!H73&lt;&gt;"",E73-E73*G73,"")</f>
        <v>150000</v>
      </c>
      <c r="I73" s="17">
        <f>IF('Trabajos 2'!H73&lt;&gt;"",F73-F73*G73,"")</f>
        <v>191250</v>
      </c>
      <c r="J73" s="16">
        <f>IF('Trabajos 2'!H73&lt;&gt;"",H73*0.55,"")</f>
        <v>82500</v>
      </c>
      <c r="K73" s="16">
        <f>IF('Trabajos 2'!H73&lt;&gt;"",H73*0.45,"")</f>
        <v>67500</v>
      </c>
      <c r="L73" s="16" t="str">
        <f>IF('Trabajos 2'!L73="","",'Trabajos 2'!L73)</f>
        <v>Tomas</v>
      </c>
    </row>
    <row r="74" spans="2:12" x14ac:dyDescent="0.25">
      <c r="B74" s="52">
        <f>IF('Trabajos 2'!B74="","",'Trabajos 2'!B74)</f>
        <v>46107</v>
      </c>
      <c r="C74" s="53" t="str">
        <f>IF('Trabajos 2'!F74="","",'Trabajos 2'!F74)</f>
        <v>Omar Piaggio</v>
      </c>
      <c r="D74" s="54" t="str">
        <f>IF('Trabajos 2'!D74="","",'Trabajos 2'!D74)</f>
        <v>Seguimiento de cultivos</v>
      </c>
      <c r="E74" s="17">
        <f>IF('Trabajos 2'!J74="","",'Trabajos 2'!J74)</f>
        <v>150000</v>
      </c>
      <c r="F74" s="17">
        <f>IF('Trabajos 2'!O74="","",'Trabajos 2'!O74)</f>
        <v>238000</v>
      </c>
      <c r="G74" s="181"/>
      <c r="H74" s="17">
        <f>IF('Trabajos 2'!H74&lt;&gt;"",E74-E74*G74,"")</f>
        <v>150000</v>
      </c>
      <c r="I74" s="17">
        <f>IF('Trabajos 2'!H74&lt;&gt;"",F74-F74*G74,"")</f>
        <v>238000</v>
      </c>
      <c r="J74" s="16">
        <f>IF('Trabajos 2'!H74&lt;&gt;"",H74*0.55,"")</f>
        <v>82500</v>
      </c>
      <c r="K74" s="16">
        <f>IF('Trabajos 2'!H74&lt;&gt;"",H74*0.45,"")</f>
        <v>67500</v>
      </c>
      <c r="L74" s="16" t="str">
        <f>IF('Trabajos 2'!L74="","",'Trabajos 2'!L74)</f>
        <v>Tomas</v>
      </c>
    </row>
    <row r="75" spans="2:12" x14ac:dyDescent="0.25">
      <c r="B75" s="52">
        <f>IF('Trabajos 2'!B75="","",'Trabajos 2'!B75)</f>
        <v>46108</v>
      </c>
      <c r="C75" s="53" t="str">
        <f>IF('Trabajos 2'!F75="","",'Trabajos 2'!F75)</f>
        <v>Omar Piaggio</v>
      </c>
      <c r="D75" s="54" t="str">
        <f>IF('Trabajos 2'!D75="","",'Trabajos 2'!D75)</f>
        <v>Seguimiento de cultivos</v>
      </c>
      <c r="E75" s="17">
        <f>IF('Trabajos 2'!J75="","",'Trabajos 2'!J75)</f>
        <v>150000</v>
      </c>
      <c r="F75" s="17">
        <f>IF('Trabajos 2'!O75="","",'Trabajos 2'!O75)</f>
        <v>238000</v>
      </c>
      <c r="G75" s="181"/>
      <c r="H75" s="17">
        <f>IF('Trabajos 2'!H75&lt;&gt;"",E75-E75*G75,"")</f>
        <v>150000</v>
      </c>
      <c r="I75" s="17">
        <f>IF('Trabajos 2'!H75&lt;&gt;"",F75-F75*G75,"")</f>
        <v>238000</v>
      </c>
      <c r="J75" s="16">
        <f>IF('Trabajos 2'!H75&lt;&gt;"",H75*0.55,"")</f>
        <v>82500</v>
      </c>
      <c r="K75" s="16">
        <f>IF('Trabajos 2'!H75&lt;&gt;"",H75*0.45,"")</f>
        <v>67500</v>
      </c>
      <c r="L75" s="16" t="str">
        <f>IF('Trabajos 2'!L75="","",'Trabajos 2'!L75)</f>
        <v>Tomas</v>
      </c>
    </row>
    <row r="76" spans="2:12" x14ac:dyDescent="0.25">
      <c r="B76" s="52">
        <f>IF('Trabajos 2'!B76="","",'Trabajos 2'!B76)</f>
        <v>46109</v>
      </c>
      <c r="C76" s="53" t="str">
        <f>IF('Trabajos 2'!F76="","",'Trabajos 2'!F76)</f>
        <v>Omar Piaggio</v>
      </c>
      <c r="D76" s="54" t="str">
        <f>IF('Trabajos 2'!D76="","",'Trabajos 2'!D76)</f>
        <v>Seguimiento de cultivos</v>
      </c>
      <c r="E76" s="17">
        <f>IF('Trabajos 2'!J76="","",'Trabajos 2'!J76)</f>
        <v>150000</v>
      </c>
      <c r="F76" s="17">
        <f>IF('Trabajos 2'!O76="","",'Trabajos 2'!O76)</f>
        <v>238000</v>
      </c>
      <c r="G76" s="181"/>
      <c r="H76" s="17">
        <f>IF('Trabajos 2'!H76&lt;&gt;"",E76-E76*G76,"")</f>
        <v>150000</v>
      </c>
      <c r="I76" s="17">
        <f>IF('Trabajos 2'!H76&lt;&gt;"",F76-F76*G76,"")</f>
        <v>238000</v>
      </c>
      <c r="J76" s="16">
        <f>IF('Trabajos 2'!H76&lt;&gt;"",H76*0.55,"")</f>
        <v>82500</v>
      </c>
      <c r="K76" s="16">
        <f>IF('Trabajos 2'!H76&lt;&gt;"",H76*0.45,"")</f>
        <v>67500</v>
      </c>
      <c r="L76" s="16" t="str">
        <f>IF('Trabajos 2'!L76="","",'Trabajos 2'!L76)</f>
        <v>Tomas</v>
      </c>
    </row>
    <row r="77" spans="2:12" x14ac:dyDescent="0.25">
      <c r="B77" s="52">
        <f>IF('Trabajos 2'!B77="","",'Trabajos 2'!B77)</f>
        <v>46110</v>
      </c>
      <c r="C77" s="53" t="str">
        <f>IF('Trabajos 2'!F77="","",'Trabajos 2'!F77)</f>
        <v>Omar Piaggio</v>
      </c>
      <c r="D77" s="54" t="str">
        <f>IF('Trabajos 2'!D77="","",'Trabajos 2'!D77)</f>
        <v>Seguimiento de cultivos</v>
      </c>
      <c r="E77" s="17">
        <f>IF('Trabajos 2'!J77="","",'Trabajos 2'!J77)</f>
        <v>150000</v>
      </c>
      <c r="F77" s="17">
        <f>IF('Trabajos 2'!O77="","",'Trabajos 2'!O77)</f>
        <v>238000</v>
      </c>
      <c r="G77" s="181"/>
      <c r="H77" s="17">
        <f>IF('Trabajos 2'!H77&lt;&gt;"",E77-E77*G77,"")</f>
        <v>150000</v>
      </c>
      <c r="I77" s="17">
        <f>IF('Trabajos 2'!H77&lt;&gt;"",F77-F77*G77,"")</f>
        <v>238000</v>
      </c>
      <c r="J77" s="16">
        <f>IF('Trabajos 2'!H77&lt;&gt;"",H77*0.55,"")</f>
        <v>82500</v>
      </c>
      <c r="K77" s="16">
        <f>IF('Trabajos 2'!H77&lt;&gt;"",H77*0.45,"")</f>
        <v>67500</v>
      </c>
      <c r="L77" s="16" t="str">
        <f>IF('Trabajos 2'!L77="","",'Trabajos 2'!L77)</f>
        <v>Tomas</v>
      </c>
    </row>
    <row r="78" spans="2:12" x14ac:dyDescent="0.25">
      <c r="B78" s="52">
        <f>IF('Trabajos 2'!B78="","",'Trabajos 2'!B78)</f>
        <v>46111</v>
      </c>
      <c r="C78" s="53" t="str">
        <f>IF('Trabajos 2'!F78="","",'Trabajos 2'!F78)</f>
        <v>Omar Piaggio</v>
      </c>
      <c r="D78" s="54" t="str">
        <f>IF('Trabajos 2'!D78="","",'Trabajos 2'!D78)</f>
        <v>Seguimiento de cultivos</v>
      </c>
      <c r="E78" s="17">
        <f>IF('Trabajos 2'!J78="","",'Trabajos 2'!J78)</f>
        <v>150000</v>
      </c>
      <c r="F78" s="17">
        <f>IF('Trabajos 2'!O78="","",'Trabajos 2'!O78)</f>
        <v>238000</v>
      </c>
      <c r="G78" s="181"/>
      <c r="H78" s="17">
        <f>IF('Trabajos 2'!H78&lt;&gt;"",E78-E78*G78,"")</f>
        <v>150000</v>
      </c>
      <c r="I78" s="17">
        <f>IF('Trabajos 2'!H78&lt;&gt;"",F78-F78*G78,"")</f>
        <v>238000</v>
      </c>
      <c r="J78" s="16">
        <f>IF('Trabajos 2'!H78&lt;&gt;"",H78*0.55,"")</f>
        <v>82500</v>
      </c>
      <c r="K78" s="16">
        <f>IF('Trabajos 2'!H78&lt;&gt;"",H78*0.45,"")</f>
        <v>67500</v>
      </c>
      <c r="L78" s="16" t="str">
        <f>IF('Trabajos 2'!L78="","",'Trabajos 2'!L78)</f>
        <v>Tomas</v>
      </c>
    </row>
    <row r="79" spans="2:12" x14ac:dyDescent="0.25">
      <c r="B79" s="52">
        <f>IF('Trabajos 2'!B79="","",'Trabajos 2'!B79)</f>
        <v>46111</v>
      </c>
      <c r="C79" s="53" t="str">
        <f>IF('Trabajos 2'!F79="","",'Trabajos 2'!F79)</f>
        <v>Nugas S.A.</v>
      </c>
      <c r="D79" s="54" t="str">
        <f>IF('Trabajos 2'!D79="","",'Trabajos 2'!D79)</f>
        <v>Seguimiento de cultivos</v>
      </c>
      <c r="E79" s="17">
        <f>IF('Trabajos 2'!J79="","",'Trabajos 2'!J79)</f>
        <v>140000</v>
      </c>
      <c r="F79" s="17">
        <f>IF('Trabajos 2'!O79="","",'Trabajos 2'!O79)</f>
        <v>136000</v>
      </c>
      <c r="G79" s="181"/>
      <c r="H79" s="17">
        <f>IF('Trabajos 2'!H79&lt;&gt;"",E79-E79*G79,"")</f>
        <v>140000</v>
      </c>
      <c r="I79" s="17">
        <f>IF('Trabajos 2'!H79&lt;&gt;"",F79-F79*G79,"")</f>
        <v>136000</v>
      </c>
      <c r="J79" s="16">
        <f>IF('Trabajos 2'!H79&lt;&gt;"",H79*0.55,"")</f>
        <v>77000</v>
      </c>
      <c r="K79" s="16">
        <f>IF('Trabajos 2'!H79&lt;&gt;"",H79*0.45,"")</f>
        <v>63000</v>
      </c>
      <c r="L79" s="16" t="str">
        <f>IF('Trabajos 2'!L79="","",'Trabajos 2'!L79)</f>
        <v>Zoom</v>
      </c>
    </row>
    <row r="80" spans="2:12" x14ac:dyDescent="0.25">
      <c r="B80" s="52">
        <f>IF('Trabajos 2'!B80="","",'Trabajos 2'!B80)</f>
        <v>46130</v>
      </c>
      <c r="C80" s="53" t="str">
        <f>IF('Trabajos 2'!F80="","",'Trabajos 2'!F80)</f>
        <v>Nugas S.A.</v>
      </c>
      <c r="D80" s="54" t="str">
        <f>IF('Trabajos 2'!D80="","",'Trabajos 2'!D80)</f>
        <v>Seguimiento de cultivos</v>
      </c>
      <c r="E80" s="17">
        <f>IF('Trabajos 2'!J80="","",'Trabajos 2'!J80)</f>
        <v>140000</v>
      </c>
      <c r="F80" s="17">
        <f>IF('Trabajos 2'!O80="","",'Trabajos 2'!O80)</f>
        <v>136000</v>
      </c>
      <c r="G80" s="181"/>
      <c r="H80" s="17">
        <f>IF('Trabajos 2'!H80&lt;&gt;"",E80-E80*G80,"")</f>
        <v>140000</v>
      </c>
      <c r="I80" s="17">
        <f>IF('Trabajos 2'!H80&lt;&gt;"",F80-F80*G80,"")</f>
        <v>136000</v>
      </c>
      <c r="J80" s="16">
        <f>IF('Trabajos 2'!H80&lt;&gt;"",H80*0.55,"")</f>
        <v>77000</v>
      </c>
      <c r="K80" s="16">
        <f>IF('Trabajos 2'!H80&lt;&gt;"",H80*0.45,"")</f>
        <v>63000</v>
      </c>
      <c r="L80" s="16" t="str">
        <f>IF('Trabajos 2'!L80="","",'Trabajos 2'!L80)</f>
        <v>Zoom</v>
      </c>
    </row>
    <row r="81" spans="2:12" x14ac:dyDescent="0.25">
      <c r="B81" s="52">
        <f>IF('Trabajos 2'!B81="","",'Trabajos 2'!B81)</f>
        <v>46137</v>
      </c>
      <c r="C81" s="53" t="str">
        <f>IF('Trabajos 2'!F81="","",'Trabajos 2'!F81)</f>
        <v>Omar Piaggio</v>
      </c>
      <c r="D81" s="54" t="str">
        <f>IF('Trabajos 2'!D81="","",'Trabajos 2'!D81)</f>
        <v>Seguimiento de cultivos</v>
      </c>
      <c r="E81" s="17">
        <f>IF('Trabajos 2'!J81="","",'Trabajos 2'!J81)</f>
        <v>150000</v>
      </c>
      <c r="F81" s="17">
        <f>IF('Trabajos 2'!O81="","",'Trabajos 2'!O81)</f>
        <v>191250</v>
      </c>
      <c r="G81" s="181"/>
      <c r="H81" s="17">
        <f>IF('Trabajos 2'!H81&lt;&gt;"",E81-E81*G81,"")</f>
        <v>150000</v>
      </c>
      <c r="I81" s="17">
        <f>IF('Trabajos 2'!H81&lt;&gt;"",F81-F81*G81,"")</f>
        <v>191250</v>
      </c>
      <c r="J81" s="16">
        <f>IF('Trabajos 2'!H81&lt;&gt;"",H81*0.55,"")</f>
        <v>82500</v>
      </c>
      <c r="K81" s="16">
        <f>IF('Trabajos 2'!H81&lt;&gt;"",H81*0.45,"")</f>
        <v>67500</v>
      </c>
      <c r="L81" s="16" t="str">
        <f>IF('Trabajos 2'!L81="","",'Trabajos 2'!L81)</f>
        <v>Tomas</v>
      </c>
    </row>
    <row r="82" spans="2:12" x14ac:dyDescent="0.25">
      <c r="B82" s="52">
        <f>IF('Trabajos 2'!B82="","",'Trabajos 2'!B82)</f>
        <v>46138</v>
      </c>
      <c r="C82" s="53" t="str">
        <f>IF('Trabajos 2'!F82="","",'Trabajos 2'!F82)</f>
        <v>Carlos Fernando Fuertes</v>
      </c>
      <c r="D82" s="54" t="str">
        <f>IF('Trabajos 2'!D82="","",'Trabajos 2'!D82)</f>
        <v>Seguimiento de cultivos</v>
      </c>
      <c r="E82" s="17">
        <f>IF('Trabajos 2'!J82="","",'Trabajos 2'!J82)</f>
        <v>100000</v>
      </c>
      <c r="F82" s="17">
        <f>IF('Trabajos 2'!O82="","",'Trabajos 2'!O82)</f>
        <v>102000</v>
      </c>
      <c r="G82" s="181"/>
      <c r="H82" s="17">
        <f>IF('Trabajos 2'!H82&lt;&gt;"",E82-E82*G82,"")</f>
        <v>100000</v>
      </c>
      <c r="I82" s="17">
        <f>IF('Trabajos 2'!H82&lt;&gt;"",F82-F82*G82,"")</f>
        <v>102000</v>
      </c>
      <c r="J82" s="16">
        <f>IF('Trabajos 2'!H82&lt;&gt;"",H82*0.55,"")</f>
        <v>55000.000000000007</v>
      </c>
      <c r="K82" s="16">
        <f>IF('Trabajos 2'!H82&lt;&gt;"",H82*0.45,"")</f>
        <v>45000</v>
      </c>
      <c r="L82" s="16" t="str">
        <f>IF('Trabajos 2'!L82="","",'Trabajos 2'!L82)</f>
        <v>Tomas</v>
      </c>
    </row>
    <row r="83" spans="2:12" x14ac:dyDescent="0.25">
      <c r="B83" s="52">
        <f>IF('Trabajos 2'!B83="","",'Trabajos 2'!B83)</f>
        <v>46141</v>
      </c>
      <c r="C83" s="53" t="str">
        <f>IF('Trabajos 2'!F83="","",'Trabajos 2'!F83)</f>
        <v>Nugas S.A.</v>
      </c>
      <c r="D83" s="54" t="str">
        <f>IF('Trabajos 2'!D83="","",'Trabajos 2'!D83)</f>
        <v>Seguimiento de cultivos</v>
      </c>
      <c r="E83" s="17">
        <f>IF('Trabajos 2'!J83="","",'Trabajos 2'!J83)</f>
        <v>140000</v>
      </c>
      <c r="F83" s="17">
        <f>IF('Trabajos 2'!O83="","",'Trabajos 2'!O83)</f>
        <v>136000</v>
      </c>
      <c r="G83" s="181"/>
      <c r="H83" s="17">
        <f>IF('Trabajos 2'!H83&lt;&gt;"",E83-E83*G83,"")</f>
        <v>140000</v>
      </c>
      <c r="I83" s="17">
        <f>IF('Trabajos 2'!H83&lt;&gt;"",F83-F83*G83,"")</f>
        <v>136000</v>
      </c>
      <c r="J83" s="16">
        <f>IF('Trabajos 2'!H83&lt;&gt;"",H83*0.55,"")</f>
        <v>77000</v>
      </c>
      <c r="K83" s="16">
        <f>IF('Trabajos 2'!H83&lt;&gt;"",H83*0.45,"")</f>
        <v>63000</v>
      </c>
      <c r="L83" s="16" t="str">
        <f>IF('Trabajos 2'!L83="","",'Trabajos 2'!L83)</f>
        <v>Zoom</v>
      </c>
    </row>
    <row r="84" spans="2:12" x14ac:dyDescent="0.25">
      <c r="B84" s="52">
        <f>IF('Trabajos 2'!B84="","",'Trabajos 2'!B84)</f>
        <v>46172</v>
      </c>
      <c r="C84" s="53" t="str">
        <f>IF('Trabajos 2'!F84="","",'Trabajos 2'!F84)</f>
        <v>AgroFranVis SRL</v>
      </c>
      <c r="D84" s="54" t="str">
        <f>IF('Trabajos 2'!D84="","",'Trabajos 2'!D84)</f>
        <v>Control de cosecha</v>
      </c>
      <c r="E84" s="17">
        <f>IF('Trabajos 2'!J84="","",'Trabajos 2'!J84)</f>
        <v>124920</v>
      </c>
      <c r="F84" s="17">
        <f>IF('Trabajos 2'!O84="","",'Trabajos 2'!O84)</f>
        <v>178500</v>
      </c>
      <c r="G84" s="181"/>
      <c r="H84" s="17">
        <f>IF('Trabajos 2'!H84&lt;&gt;"",E84-E84*G84,"")</f>
        <v>124920</v>
      </c>
      <c r="I84" s="17">
        <f>IF('Trabajos 2'!H84&lt;&gt;"",F84-F84*G84,"")</f>
        <v>178500</v>
      </c>
      <c r="J84" s="16">
        <f>IF('Trabajos 2'!H84&lt;&gt;"",H84*0.55,"")</f>
        <v>68706</v>
      </c>
      <c r="K84" s="16">
        <f>IF('Trabajos 2'!H84&lt;&gt;"",H84*0.45,"")</f>
        <v>56214</v>
      </c>
      <c r="L84" s="16" t="str">
        <f>IF('Trabajos 2'!L84="","",'Trabajos 2'!L84)</f>
        <v>Zoom</v>
      </c>
    </row>
    <row r="85" spans="2:12" x14ac:dyDescent="0.25">
      <c r="B85" s="52">
        <f>IF('Trabajos 2'!B85="","",'Trabajos 2'!B85)</f>
        <v>46174</v>
      </c>
      <c r="C85" s="53" t="str">
        <f>IF('Trabajos 2'!F85="","",'Trabajos 2'!F85)</f>
        <v>AgroFranVis SRL</v>
      </c>
      <c r="D85" s="54" t="str">
        <f>IF('Trabajos 2'!D85="","",'Trabajos 2'!D85)</f>
        <v>Control de cosecha</v>
      </c>
      <c r="E85" s="17">
        <f>IF('Trabajos 2'!J85="","",'Trabajos 2'!J85)</f>
        <v>124920</v>
      </c>
      <c r="F85" s="17">
        <f>IF('Trabajos 2'!O85="","",'Trabajos 2'!O85)</f>
        <v>178500</v>
      </c>
      <c r="G85" s="181"/>
      <c r="H85" s="17">
        <f>IF('Trabajos 2'!H85&lt;&gt;"",E85-E85*G85,"")</f>
        <v>124920</v>
      </c>
      <c r="I85" s="17">
        <f>IF('Trabajos 2'!H85&lt;&gt;"",F85-F85*G85,"")</f>
        <v>178500</v>
      </c>
      <c r="J85" s="16">
        <f>IF('Trabajos 2'!H85&lt;&gt;"",H85*0.55,"")</f>
        <v>68706</v>
      </c>
      <c r="K85" s="16">
        <f>IF('Trabajos 2'!H85&lt;&gt;"",H85*0.45,"")</f>
        <v>56214</v>
      </c>
      <c r="L85" s="16" t="str">
        <f>IF('Trabajos 2'!L85="","",'Trabajos 2'!L85)</f>
        <v>Zoom</v>
      </c>
    </row>
    <row r="86" spans="2:12" x14ac:dyDescent="0.25">
      <c r="B86" s="52">
        <f>IF('Trabajos 2'!B86="","",'Trabajos 2'!B86)</f>
        <v>46175</v>
      </c>
      <c r="C86" s="53" t="str">
        <f>IF('Trabajos 2'!F86="","",'Trabajos 2'!F86)</f>
        <v>AgroFranVis SRL</v>
      </c>
      <c r="D86" s="54" t="str">
        <f>IF('Trabajos 2'!D86="","",'Trabajos 2'!D86)</f>
        <v>Control de cosecha</v>
      </c>
      <c r="E86" s="17">
        <f>IF('Trabajos 2'!J86="","",'Trabajos 2'!J86)</f>
        <v>124920</v>
      </c>
      <c r="F86" s="17">
        <f>IF('Trabajos 2'!O86="","",'Trabajos 2'!O86)</f>
        <v>178500</v>
      </c>
      <c r="G86" s="181"/>
      <c r="H86" s="17">
        <f>IF('Trabajos 2'!H86&lt;&gt;"",E86-E86*G86,"")</f>
        <v>124920</v>
      </c>
      <c r="I86" s="17">
        <f>IF('Trabajos 2'!H86&lt;&gt;"",F86-F86*G86,"")</f>
        <v>178500</v>
      </c>
      <c r="J86" s="16">
        <f>IF('Trabajos 2'!H86&lt;&gt;"",H86*0.55,"")</f>
        <v>68706</v>
      </c>
      <c r="K86" s="16">
        <f>IF('Trabajos 2'!H86&lt;&gt;"",H86*0.45,"")</f>
        <v>56214</v>
      </c>
      <c r="L86" s="16" t="str">
        <f>IF('Trabajos 2'!L86="","",'Trabajos 2'!L86)</f>
        <v>Zoom</v>
      </c>
    </row>
    <row r="87" spans="2:12" x14ac:dyDescent="0.25">
      <c r="B87" s="52">
        <f>IF('Trabajos 2'!B87="","",'Trabajos 2'!B87)</f>
        <v>46176</v>
      </c>
      <c r="C87" s="53" t="str">
        <f>IF('Trabajos 2'!F87="","",'Trabajos 2'!F87)</f>
        <v>AgroFranVis SRL</v>
      </c>
      <c r="D87" s="54" t="str">
        <f>IF('Trabajos 2'!D87="","",'Trabajos 2'!D87)</f>
        <v>Control de cosecha</v>
      </c>
      <c r="E87" s="17">
        <f>IF('Trabajos 2'!J87="","",'Trabajos 2'!J87)</f>
        <v>124920</v>
      </c>
      <c r="F87" s="17">
        <f>IF('Trabajos 2'!O87="","",'Trabajos 2'!O87)</f>
        <v>178500</v>
      </c>
      <c r="G87" s="181"/>
      <c r="H87" s="17">
        <f>IF('Trabajos 2'!H87&lt;&gt;"",E87-E87*G87,"")</f>
        <v>124920</v>
      </c>
      <c r="I87" s="17">
        <f>IF('Trabajos 2'!H87&lt;&gt;"",F87-F87*G87,"")</f>
        <v>178500</v>
      </c>
      <c r="J87" s="16">
        <f>IF('Trabajos 2'!H87&lt;&gt;"",H87*0.55,"")</f>
        <v>68706</v>
      </c>
      <c r="K87" s="16">
        <f>IF('Trabajos 2'!H87&lt;&gt;"",H87*0.45,"")</f>
        <v>56214</v>
      </c>
      <c r="L87" s="16" t="str">
        <f>IF('Trabajos 2'!L87="","",'Trabajos 2'!L87)</f>
        <v>Zoom</v>
      </c>
    </row>
    <row r="88" spans="2:12" x14ac:dyDescent="0.25">
      <c r="B88" s="52">
        <f>IF('Trabajos 2'!B88="","",'Trabajos 2'!B88)</f>
        <v>46164</v>
      </c>
      <c r="C88" s="53" t="str">
        <f>IF('Trabajos 2'!F88="","",'Trabajos 2'!F88)</f>
        <v>Omar Piaggio</v>
      </c>
      <c r="D88" s="54" t="str">
        <f>IF('Trabajos 2'!D88="","",'Trabajos 2'!D88)</f>
        <v>Seguimiento de cultivos</v>
      </c>
      <c r="E88" s="17">
        <f>IF('Trabajos 2'!J88="","",'Trabajos 2'!J88)</f>
        <v>150000</v>
      </c>
      <c r="F88" s="17">
        <f>IF('Trabajos 2'!O88="","",'Trabajos 2'!O88)</f>
        <v>191250</v>
      </c>
      <c r="G88" s="181"/>
      <c r="H88" s="17">
        <f>IF('Trabajos 2'!H88&lt;&gt;"",E88-E88*G88,"")</f>
        <v>150000</v>
      </c>
      <c r="I88" s="17">
        <f>IF('Trabajos 2'!H88&lt;&gt;"",F88-F88*G88,"")</f>
        <v>191250</v>
      </c>
      <c r="J88" s="16">
        <f>IF('Trabajos 2'!H88&lt;&gt;"",H88*0.55,"")</f>
        <v>82500</v>
      </c>
      <c r="K88" s="16">
        <f>IF('Trabajos 2'!H88&lt;&gt;"",H88*0.45,"")</f>
        <v>67500</v>
      </c>
      <c r="L88" s="16" t="str">
        <f>IF('Trabajos 2'!L88="","",'Trabajos 2'!L88)</f>
        <v>Tomas</v>
      </c>
    </row>
    <row r="89" spans="2:12" x14ac:dyDescent="0.25">
      <c r="B89" s="52">
        <f>IF('Trabajos 2'!B89="","",'Trabajos 2'!B89)</f>
        <v>46167</v>
      </c>
      <c r="C89" s="53" t="str">
        <f>IF('Trabajos 2'!F89="","",'Trabajos 2'!F89)</f>
        <v>Omar Piaggio</v>
      </c>
      <c r="D89" s="54" t="str">
        <f>IF('Trabajos 2'!D89="","",'Trabajos 2'!D89)</f>
        <v>Seguimiento de cultivos</v>
      </c>
      <c r="E89" s="17">
        <f>IF('Trabajos 2'!J89="","",'Trabajos 2'!J89)</f>
        <v>150000</v>
      </c>
      <c r="F89" s="17">
        <f>IF('Trabajos 2'!O89="","",'Trabajos 2'!O89)</f>
        <v>191250</v>
      </c>
      <c r="G89" s="181"/>
      <c r="H89" s="17">
        <f>IF('Trabajos 2'!H89&lt;&gt;"",E89-E89*G89,"")</f>
        <v>150000</v>
      </c>
      <c r="I89" s="17">
        <f>IF('Trabajos 2'!H89&lt;&gt;"",F89-F89*G89,"")</f>
        <v>191250</v>
      </c>
      <c r="J89" s="16">
        <f>IF('Trabajos 2'!H89&lt;&gt;"",H89*0.55,"")</f>
        <v>82500</v>
      </c>
      <c r="K89" s="16">
        <f>IF('Trabajos 2'!H89&lt;&gt;"",H89*0.45,"")</f>
        <v>67500</v>
      </c>
      <c r="L89" s="16" t="str">
        <f>IF('Trabajos 2'!L89="","",'Trabajos 2'!L89)</f>
        <v>Tomas</v>
      </c>
    </row>
    <row r="90" spans="2:12" x14ac:dyDescent="0.25">
      <c r="B90" s="52">
        <f>IF('Trabajos 2'!B90="","",'Trabajos 2'!B90)</f>
        <v>46169</v>
      </c>
      <c r="C90" s="53" t="str">
        <f>IF('Trabajos 2'!F90="","",'Trabajos 2'!F90)</f>
        <v>Omar Piaggio</v>
      </c>
      <c r="D90" s="54" t="str">
        <f>IF('Trabajos 2'!D90="","",'Trabajos 2'!D90)</f>
        <v>Seguimiento de cultivos</v>
      </c>
      <c r="E90" s="17">
        <f>IF('Trabajos 2'!J90="","",'Trabajos 2'!J90)</f>
        <v>150000</v>
      </c>
      <c r="F90" s="17">
        <f>IF('Trabajos 2'!O90="","",'Trabajos 2'!O90)</f>
        <v>191250</v>
      </c>
      <c r="G90" s="181"/>
      <c r="H90" s="17">
        <f>IF('Trabajos 2'!H90&lt;&gt;"",E90-E90*G90,"")</f>
        <v>150000</v>
      </c>
      <c r="I90" s="17">
        <f>IF('Trabajos 2'!H90&lt;&gt;"",F90-F90*G90,"")</f>
        <v>191250</v>
      </c>
      <c r="J90" s="16">
        <f>IF('Trabajos 2'!H90&lt;&gt;"",H90*0.55,"")</f>
        <v>82500</v>
      </c>
      <c r="K90" s="16">
        <f>IF('Trabajos 2'!H90&lt;&gt;"",H90*0.45,"")</f>
        <v>67500</v>
      </c>
      <c r="L90" s="16" t="str">
        <f>IF('Trabajos 2'!L90="","",'Trabajos 2'!L90)</f>
        <v>Tomas</v>
      </c>
    </row>
    <row r="91" spans="2:12" x14ac:dyDescent="0.25">
      <c r="B91" s="52">
        <f>IF('Trabajos 2'!B91="","",'Trabajos 2'!B91)</f>
        <v>46170</v>
      </c>
      <c r="C91" s="53" t="str">
        <f>IF('Trabajos 2'!F91="","",'Trabajos 2'!F91)</f>
        <v>Carlos Fernando Fuertes</v>
      </c>
      <c r="D91" s="54" t="str">
        <f>IF('Trabajos 2'!D91="","",'Trabajos 2'!D91)</f>
        <v>Seguimiento de cultivos</v>
      </c>
      <c r="E91" s="17">
        <f>IF('Trabajos 2'!J91="","",'Trabajos 2'!J91)</f>
        <v>252000</v>
      </c>
      <c r="F91" s="17">
        <f>IF('Trabajos 2'!O91="","",'Trabajos 2'!O91)</f>
        <v>102000</v>
      </c>
      <c r="G91" s="181"/>
      <c r="H91" s="17">
        <f>IF('Trabajos 2'!H91&lt;&gt;"",E91-E91*G91,"")</f>
        <v>252000</v>
      </c>
      <c r="I91" s="17">
        <f>IF('Trabajos 2'!H91&lt;&gt;"",F91-F91*G91,"")</f>
        <v>102000</v>
      </c>
      <c r="J91" s="16">
        <f>IF('Trabajos 2'!H91&lt;&gt;"",H91*0.55,"")</f>
        <v>138600</v>
      </c>
      <c r="K91" s="16">
        <f>IF('Trabajos 2'!H91&lt;&gt;"",H91*0.45,"")</f>
        <v>113400</v>
      </c>
      <c r="L91" s="16" t="str">
        <f>IF('Trabajos 2'!L91="","",'Trabajos 2'!L91)</f>
        <v>Tomas</v>
      </c>
    </row>
    <row r="92" spans="2:12" x14ac:dyDescent="0.25">
      <c r="B92" s="52">
        <f>IF('Trabajos 2'!B92="","",'Trabajos 2'!B92)</f>
        <v>46171</v>
      </c>
      <c r="C92" s="53" t="str">
        <f>IF('Trabajos 2'!F92="","",'Trabajos 2'!F92)</f>
        <v>Omar Piaggio</v>
      </c>
      <c r="D92" s="54" t="str">
        <f>IF('Trabajos 2'!D92="","",'Trabajos 2'!D92)</f>
        <v>Seguimiento de cultivos</v>
      </c>
      <c r="E92" s="17">
        <f>IF('Trabajos 2'!J92="","",'Trabajos 2'!J92)</f>
        <v>150000</v>
      </c>
      <c r="F92" s="17">
        <f>IF('Trabajos 2'!O92="","",'Trabajos 2'!O92)</f>
        <v>238000</v>
      </c>
      <c r="G92" s="181"/>
      <c r="H92" s="17">
        <f>IF('Trabajos 2'!H92&lt;&gt;"",E92-E92*G92,"")</f>
        <v>150000</v>
      </c>
      <c r="I92" s="17">
        <f>IF('Trabajos 2'!H92&lt;&gt;"",F92-F92*G92,"")</f>
        <v>238000</v>
      </c>
      <c r="J92" s="16">
        <f>IF('Trabajos 2'!H92&lt;&gt;"",H92*0.55,"")</f>
        <v>82500</v>
      </c>
      <c r="K92" s="16">
        <f>IF('Trabajos 2'!H92&lt;&gt;"",H92*0.45,"")</f>
        <v>67500</v>
      </c>
      <c r="L92" s="16" t="str">
        <f>IF('Trabajos 2'!L92="","",'Trabajos 2'!L92)</f>
        <v>Tomas</v>
      </c>
    </row>
    <row r="93" spans="2:12" x14ac:dyDescent="0.25">
      <c r="B93" s="52">
        <f>IF('Trabajos 2'!B93="","",'Trabajos 2'!B93)</f>
        <v>46188</v>
      </c>
      <c r="C93" s="53" t="str">
        <f>IF('Trabajos 2'!F93="","",'Trabajos 2'!F93)</f>
        <v>Omar Piaggio</v>
      </c>
      <c r="D93" s="54" t="str">
        <f>IF('Trabajos 2'!D93="","",'Trabajos 2'!D93)</f>
        <v>Seguimiento de cultivos</v>
      </c>
      <c r="E93" s="17">
        <f>IF('Trabajos 2'!J93="","",'Trabajos 2'!J93)</f>
        <v>150000</v>
      </c>
      <c r="F93" s="17">
        <f>IF('Trabajos 2'!O93="","",'Trabajos 2'!O93)</f>
        <v>191250</v>
      </c>
      <c r="G93" s="181"/>
      <c r="H93" s="17">
        <f>IF('Trabajos 2'!H93&lt;&gt;"",E93-E93*G93,"")</f>
        <v>150000</v>
      </c>
      <c r="I93" s="17">
        <f>IF('Trabajos 2'!H93&lt;&gt;"",F93-F93*G93,"")</f>
        <v>191250</v>
      </c>
      <c r="J93" s="16">
        <f>IF('Trabajos 2'!H93&lt;&gt;"",H93*0.55,"")</f>
        <v>82500</v>
      </c>
      <c r="K93" s="16">
        <f>IF('Trabajos 2'!H93&lt;&gt;"",H93*0.45,"")</f>
        <v>67500</v>
      </c>
      <c r="L93" s="16" t="str">
        <f>IF('Trabajos 2'!L93="","",'Trabajos 2'!L93)</f>
        <v>Tomas</v>
      </c>
    </row>
    <row r="94" spans="2:12" x14ac:dyDescent="0.25">
      <c r="B94" s="52">
        <f>IF('Trabajos 2'!B94="","",'Trabajos 2'!B94)</f>
        <v>46189</v>
      </c>
      <c r="C94" s="53" t="str">
        <f>IF('Trabajos 2'!F94="","",'Trabajos 2'!F94)</f>
        <v>Carlos Fernando Fuertes</v>
      </c>
      <c r="D94" s="54" t="str">
        <f>IF('Trabajos 2'!D94="","",'Trabajos 2'!D94)</f>
        <v>Seguimiento de cultivos</v>
      </c>
      <c r="E94" s="17">
        <f>IF('Trabajos 2'!J94="","",'Trabajos 2'!J94)</f>
        <v>126000</v>
      </c>
      <c r="F94" s="17">
        <f>IF('Trabajos 2'!O94="","",'Trabajos 2'!O94)</f>
        <v>102000</v>
      </c>
      <c r="G94" s="181"/>
      <c r="H94" s="17">
        <f>IF('Trabajos 2'!H94&lt;&gt;"",E94-E94*G94,"")</f>
        <v>126000</v>
      </c>
      <c r="I94" s="17">
        <f>IF('Trabajos 2'!H94&lt;&gt;"",F94-F94*G94,"")</f>
        <v>102000</v>
      </c>
      <c r="J94" s="16">
        <f>IF('Trabajos 2'!H94&lt;&gt;"",H94*0.55,"")</f>
        <v>69300</v>
      </c>
      <c r="K94" s="16">
        <f>IF('Trabajos 2'!H94&lt;&gt;"",H94*0.45,"")</f>
        <v>56700</v>
      </c>
      <c r="L94" s="16" t="str">
        <f>IF('Trabajos 2'!L94="","",'Trabajos 2'!L94)</f>
        <v>Tomas</v>
      </c>
    </row>
    <row r="95" spans="2:12" x14ac:dyDescent="0.25">
      <c r="B95" s="52">
        <f>IF('Trabajos 2'!B95="","",'Trabajos 2'!B95)</f>
        <v>46193</v>
      </c>
      <c r="C95" s="53" t="str">
        <f>IF('Trabajos 2'!F95="","",'Trabajos 2'!F95)</f>
        <v>Omar Piaggio</v>
      </c>
      <c r="D95" s="54" t="str">
        <f>IF('Trabajos 2'!D95="","",'Trabajos 2'!D95)</f>
        <v>Seguimiento de cultivos</v>
      </c>
      <c r="E95" s="17">
        <f>IF('Trabajos 2'!J95="","",'Trabajos 2'!J95)</f>
        <v>150000</v>
      </c>
      <c r="F95" s="17">
        <f>IF('Trabajos 2'!O95="","",'Trabajos 2'!O95)</f>
        <v>191250</v>
      </c>
      <c r="G95" s="181"/>
      <c r="H95" s="17">
        <f>IF('Trabajos 2'!H95&lt;&gt;"",E95-E95*G95,"")</f>
        <v>150000</v>
      </c>
      <c r="I95" s="17">
        <f>IF('Trabajos 2'!H95&lt;&gt;"",F95-F95*G95,"")</f>
        <v>191250</v>
      </c>
      <c r="J95" s="16">
        <f>IF('Trabajos 2'!H95&lt;&gt;"",H95*0.55,"")</f>
        <v>82500</v>
      </c>
      <c r="K95" s="16">
        <f>IF('Trabajos 2'!H95&lt;&gt;"",H95*0.45,"")</f>
        <v>67500</v>
      </c>
      <c r="L95" s="16" t="str">
        <f>IF('Trabajos 2'!L95="","",'Trabajos 2'!L95)</f>
        <v>Tomas</v>
      </c>
    </row>
    <row r="96" spans="2:12" x14ac:dyDescent="0.25">
      <c r="B96" s="52">
        <f>IF('Trabajos 2'!B96="","",'Trabajos 2'!B96)</f>
        <v>46202</v>
      </c>
      <c r="C96" s="53" t="str">
        <f>IF('Trabajos 2'!F96="","",'Trabajos 2'!F96)</f>
        <v>Omar Piaggio</v>
      </c>
      <c r="D96" s="54" t="str">
        <f>IF('Trabajos 2'!D96="","",'Trabajos 2'!D96)</f>
        <v>Seguimiento de cultivos</v>
      </c>
      <c r="E96" s="17">
        <f>IF('Trabajos 2'!J96="","",'Trabajos 2'!J96)</f>
        <v>150000</v>
      </c>
      <c r="F96" s="17">
        <f>IF('Trabajos 2'!O96="","",'Trabajos 2'!O96)</f>
        <v>191250</v>
      </c>
      <c r="G96" s="181"/>
      <c r="H96" s="17">
        <f>IF('Trabajos 2'!H96&lt;&gt;"",E96-E96*G96,"")</f>
        <v>150000</v>
      </c>
      <c r="I96" s="17">
        <f>IF('Trabajos 2'!H96&lt;&gt;"",F96-F96*G96,"")</f>
        <v>191250</v>
      </c>
      <c r="J96" s="16">
        <f>IF('Trabajos 2'!H96&lt;&gt;"",H96*0.55,"")</f>
        <v>82500</v>
      </c>
      <c r="K96" s="16">
        <f>IF('Trabajos 2'!H96&lt;&gt;"",H96*0.45,"")</f>
        <v>67500</v>
      </c>
      <c r="L96" s="16" t="str">
        <f>IF('Trabajos 2'!L96="","",'Trabajos 2'!L96)</f>
        <v>Tomas</v>
      </c>
    </row>
    <row r="97" spans="2:12" x14ac:dyDescent="0.25">
      <c r="B97" s="52">
        <f>IF('Trabajos 2'!B97="","",'Trabajos 2'!B97)</f>
        <v>46206</v>
      </c>
      <c r="C97" s="53" t="str">
        <f>IF('Trabajos 2'!F97="","",'Trabajos 2'!F97)</f>
        <v>Carlos Fernando Fuertes</v>
      </c>
      <c r="D97" s="54" t="str">
        <f>IF('Trabajos 2'!D97="","",'Trabajos 2'!D97)</f>
        <v>Seguimiento de cultivos</v>
      </c>
      <c r="E97" s="17">
        <f>IF('Trabajos 2'!J97="","",'Trabajos 2'!J97)</f>
        <v>126000</v>
      </c>
      <c r="F97" s="17">
        <f>IF('Trabajos 2'!O97="","",'Trabajos 2'!O97)</f>
        <v>102000</v>
      </c>
      <c r="G97" s="181"/>
      <c r="H97" s="17">
        <f>IF('Trabajos 2'!H97&lt;&gt;"",E97-E97*G97,"")</f>
        <v>126000</v>
      </c>
      <c r="I97" s="17">
        <f>IF('Trabajos 2'!H97&lt;&gt;"",F97-F97*G97,"")</f>
        <v>102000</v>
      </c>
      <c r="J97" s="16">
        <f>IF('Trabajos 2'!H97&lt;&gt;"",H97*0.55,"")</f>
        <v>69300</v>
      </c>
      <c r="K97" s="16">
        <f>IF('Trabajos 2'!H97&lt;&gt;"",H97*0.45,"")</f>
        <v>56700</v>
      </c>
      <c r="L97" s="16" t="str">
        <f>IF('Trabajos 2'!L97="","",'Trabajos 2'!L97)</f>
        <v>Tomas</v>
      </c>
    </row>
    <row r="98" spans="2:12" x14ac:dyDescent="0.25">
      <c r="B98" s="52">
        <f>IF('Trabajos 2'!B98="","",'Trabajos 2'!B98)</f>
        <v>46219</v>
      </c>
      <c r="C98" s="53" t="str">
        <f>IF('Trabajos 2'!F98="","",'Trabajos 2'!F98)</f>
        <v>Carlos Fernando Fuertes</v>
      </c>
      <c r="D98" s="54" t="str">
        <f>IF('Trabajos 2'!D98="","",'Trabajos 2'!D98)</f>
        <v>Seguimiento de cultivos</v>
      </c>
      <c r="E98" s="17">
        <f>IF('Trabajos 2'!J98="","",'Trabajos 2'!J98)</f>
        <v>126000</v>
      </c>
      <c r="F98" s="17">
        <f>IF('Trabajos 2'!O98="","",'Trabajos 2'!O98)</f>
        <v>102000</v>
      </c>
      <c r="G98" s="181"/>
      <c r="H98" s="17">
        <f>IF('Trabajos 2'!H98&lt;&gt;"",E98-E98*G98,"")</f>
        <v>126000</v>
      </c>
      <c r="I98" s="17">
        <f>IF('Trabajos 2'!H98&lt;&gt;"",F98-F98*G98,"")</f>
        <v>102000</v>
      </c>
      <c r="J98" s="16">
        <f>IF('Trabajos 2'!H98&lt;&gt;"",H98*0.55,"")</f>
        <v>69300</v>
      </c>
      <c r="K98" s="16">
        <f>IF('Trabajos 2'!H98&lt;&gt;"",H98*0.45,"")</f>
        <v>56700</v>
      </c>
      <c r="L98" s="16" t="str">
        <f>IF('Trabajos 2'!L98="","",'Trabajos 2'!L98)</f>
        <v>Tomas</v>
      </c>
    </row>
    <row r="99" spans="2:12" x14ac:dyDescent="0.25">
      <c r="B99" s="52">
        <f>IF('Trabajos 2'!B99="","",'Trabajos 2'!B99)</f>
        <v>46219</v>
      </c>
      <c r="C99" s="53" t="str">
        <f>IF('Trabajos 2'!F99="","",'Trabajos 2'!F99)</f>
        <v>Omar Piaggio</v>
      </c>
      <c r="D99" s="54" t="str">
        <f>IF('Trabajos 2'!D99="","",'Trabajos 2'!D99)</f>
        <v>Seguimiento de cultivos</v>
      </c>
      <c r="E99" s="17">
        <f>IF('Trabajos 2'!J99="","",'Trabajos 2'!J99)</f>
        <v>150000</v>
      </c>
      <c r="F99" s="17">
        <f>IF('Trabajos 2'!O99="","",'Trabajos 2'!O99)</f>
        <v>191250</v>
      </c>
      <c r="G99" s="181"/>
      <c r="H99" s="17">
        <f>IF('Trabajos 2'!H99&lt;&gt;"",E99-E99*G99,"")</f>
        <v>150000</v>
      </c>
      <c r="I99" s="17">
        <f>IF('Trabajos 2'!H99&lt;&gt;"",F99-F99*G99,"")</f>
        <v>191250</v>
      </c>
      <c r="J99" s="16">
        <f>IF('Trabajos 2'!H99&lt;&gt;"",H99*0.55,"")</f>
        <v>82500</v>
      </c>
      <c r="K99" s="16">
        <f>IF('Trabajos 2'!H99&lt;&gt;"",H99*0.45,"")</f>
        <v>67500</v>
      </c>
      <c r="L99" s="16" t="str">
        <f>IF('Trabajos 2'!L99="","",'Trabajos 2'!L99)</f>
        <v>Tomas</v>
      </c>
    </row>
    <row r="100" spans="2:12" x14ac:dyDescent="0.25">
      <c r="B100" s="52" t="str">
        <f>IF('Trabajos 2'!B100="","",'Trabajos 2'!B100)</f>
        <v/>
      </c>
      <c r="C100" s="53" t="str">
        <f>IF('Trabajos 2'!F100="","",'Trabajos 2'!F100)</f>
        <v/>
      </c>
      <c r="D100" s="54" t="str">
        <f>IF('Trabajos 2'!D100="","",'Trabajos 2'!D100)</f>
        <v/>
      </c>
      <c r="E100" s="17" t="str">
        <f>IF('Trabajos 2'!J100="","",'Trabajos 2'!J100)</f>
        <v/>
      </c>
      <c r="F100" s="17" t="str">
        <f>IF('Trabajos 2'!O100="","",'Trabajos 2'!O100)</f>
        <v/>
      </c>
      <c r="G100" s="181"/>
      <c r="H100" s="17" t="str">
        <f>IF('Trabajos 2'!H100&lt;&gt;"",E100-E100*G100,"")</f>
        <v/>
      </c>
      <c r="I100" s="17" t="str">
        <f>IF('Trabajos 2'!H100&lt;&gt;"",F100-F100*G100,"")</f>
        <v/>
      </c>
      <c r="J100" s="16" t="str">
        <f>IF('Trabajos 2'!H100&lt;&gt;"",H100*0.55,"")</f>
        <v/>
      </c>
      <c r="K100" s="16" t="str">
        <f>IF('Trabajos 2'!H100&lt;&gt;"",H100*0.45,"")</f>
        <v/>
      </c>
      <c r="L100" s="16" t="str">
        <f>IF('Trabajos 2'!L100="","",'Trabajos 2'!L100)</f>
        <v/>
      </c>
    </row>
    <row r="101" spans="2:12" x14ac:dyDescent="0.25">
      <c r="B101" s="52" t="str">
        <f>IF('Trabajos 2'!B101="","",'Trabajos 2'!B101)</f>
        <v/>
      </c>
      <c r="C101" s="53" t="str">
        <f>IF('Trabajos 2'!F101="","",'Trabajos 2'!F101)</f>
        <v/>
      </c>
      <c r="D101" s="54" t="str">
        <f>IF('Trabajos 2'!D101="","",'Trabajos 2'!D101)</f>
        <v/>
      </c>
      <c r="E101" s="17" t="str">
        <f>IF('Trabajos 2'!J101="","",'Trabajos 2'!J101)</f>
        <v/>
      </c>
      <c r="F101" s="17" t="str">
        <f>IF('Trabajos 2'!O101="","",'Trabajos 2'!O101)</f>
        <v/>
      </c>
      <c r="G101" s="7"/>
      <c r="H101" s="17" t="str">
        <f>IF('Trabajos 2'!H101&lt;&gt;"",E101-E101*G101,"")</f>
        <v/>
      </c>
      <c r="I101" s="17" t="str">
        <f>IF('Trabajos 2'!H101&lt;&gt;"",F101-F101*G101,"")</f>
        <v/>
      </c>
      <c r="J101" s="16" t="str">
        <f>IF('Trabajos 2'!H101&lt;&gt;"",H101*0.55,"")</f>
        <v/>
      </c>
      <c r="K101" s="16" t="str">
        <f>IF('Trabajos 2'!H101&lt;&gt;"",H101*0.45,"")</f>
        <v/>
      </c>
      <c r="L101" s="16" t="str">
        <f>IF('Trabajos 2'!L101="","",'Trabajos 2'!L101)</f>
        <v/>
      </c>
    </row>
    <row r="102" spans="2:12" x14ac:dyDescent="0.25">
      <c r="B102" s="52" t="str">
        <f>IF('Trabajos 2'!B102="","",'Trabajos 2'!B102)</f>
        <v/>
      </c>
      <c r="C102" s="53" t="str">
        <f>IF('Trabajos 2'!F102="","",'Trabajos 2'!F102)</f>
        <v/>
      </c>
      <c r="D102" s="54" t="str">
        <f>IF('Trabajos 2'!D102="","",'Trabajos 2'!D102)</f>
        <v/>
      </c>
      <c r="E102" s="17" t="str">
        <f>IF('Trabajos 2'!J102="","",'Trabajos 2'!J102)</f>
        <v/>
      </c>
      <c r="F102" s="17" t="str">
        <f>IF('Trabajos 2'!O102="","",'Trabajos 2'!O102)</f>
        <v/>
      </c>
      <c r="G102" s="7"/>
      <c r="H102" s="17" t="str">
        <f>IF('Trabajos 2'!H102&lt;&gt;"",E102-E102*G102,"")</f>
        <v/>
      </c>
      <c r="I102" s="17" t="str">
        <f>IF('Trabajos 2'!H102&lt;&gt;"",F102-F102*G102,"")</f>
        <v/>
      </c>
      <c r="J102" s="16" t="str">
        <f>IF('Trabajos 2'!H102&lt;&gt;"",H102*0.55,"")</f>
        <v/>
      </c>
      <c r="K102" s="16" t="str">
        <f>IF('Trabajos 2'!H102&lt;&gt;"",H102*0.45,"")</f>
        <v/>
      </c>
      <c r="L102" s="16" t="str">
        <f>IF('Trabajos 2'!L102="","",'Trabajos 2'!L102)</f>
        <v/>
      </c>
    </row>
    <row r="103" spans="2:12" x14ac:dyDescent="0.25">
      <c r="B103" s="52" t="str">
        <f>IF('Trabajos 2'!B103="","",'Trabajos 2'!B103)</f>
        <v/>
      </c>
      <c r="C103" s="53" t="str">
        <f>IF('Trabajos 2'!F103="","",'Trabajos 2'!F103)</f>
        <v/>
      </c>
      <c r="D103" s="54" t="str">
        <f>IF('Trabajos 2'!D103="","",'Trabajos 2'!D103)</f>
        <v/>
      </c>
      <c r="E103" s="17" t="str">
        <f>IF('Trabajos 2'!J103="","",'Trabajos 2'!J103)</f>
        <v/>
      </c>
      <c r="F103" s="17" t="str">
        <f>IF('Trabajos 2'!O103="","",'Trabajos 2'!O103)</f>
        <v/>
      </c>
      <c r="G103" s="7"/>
      <c r="H103" s="17" t="str">
        <f>IF('Trabajos 2'!H103&lt;&gt;"",E103-E103*G103,"")</f>
        <v/>
      </c>
      <c r="I103" s="17" t="str">
        <f>IF('Trabajos 2'!H103&lt;&gt;"",F103-F103*G103,"")</f>
        <v/>
      </c>
      <c r="J103" s="16" t="str">
        <f>IF('Trabajos 2'!H103&lt;&gt;"",H103*0.55,"")</f>
        <v/>
      </c>
      <c r="K103" s="16" t="str">
        <f>IF('Trabajos 2'!H103&lt;&gt;"",H103*0.45,"")</f>
        <v/>
      </c>
      <c r="L103" s="16" t="str">
        <f>IF('Trabajos 2'!L103="","",'Trabajos 2'!L103)</f>
        <v/>
      </c>
    </row>
    <row r="104" spans="2:12" x14ac:dyDescent="0.25">
      <c r="B104" s="52" t="str">
        <f>IF('Trabajos 2'!B104="","",'Trabajos 2'!B104)</f>
        <v/>
      </c>
      <c r="C104" s="53" t="str">
        <f>IF('Trabajos 2'!F104="","",'Trabajos 2'!F104)</f>
        <v/>
      </c>
      <c r="D104" s="54" t="str">
        <f>IF('Trabajos 2'!D104="","",'Trabajos 2'!D104)</f>
        <v/>
      </c>
      <c r="E104" s="17" t="str">
        <f>IF('Trabajos 2'!J104="","",'Trabajos 2'!J104)</f>
        <v/>
      </c>
      <c r="F104" s="17" t="str">
        <f>IF('Trabajos 2'!O104="","",'Trabajos 2'!O104)</f>
        <v/>
      </c>
      <c r="G104" s="7"/>
      <c r="H104" s="17" t="str">
        <f>IF('Trabajos 2'!H104&lt;&gt;"",E104-E104*G104,"")</f>
        <v/>
      </c>
      <c r="I104" s="17" t="str">
        <f>IF('Trabajos 2'!H104&lt;&gt;"",F104-F104*G104,"")</f>
        <v/>
      </c>
      <c r="J104" s="16" t="str">
        <f>IF('Trabajos 2'!H104&lt;&gt;"",H104*0.55,"")</f>
        <v/>
      </c>
      <c r="K104" s="16" t="str">
        <f>IF('Trabajos 2'!H104&lt;&gt;"",H104*0.45,"")</f>
        <v/>
      </c>
      <c r="L104" s="16" t="str">
        <f>IF('Trabajos 2'!L104="","",'Trabajos 2'!L104)</f>
        <v/>
      </c>
    </row>
    <row r="105" spans="2:12" x14ac:dyDescent="0.25">
      <c r="B105" s="52" t="str">
        <f>IF('Trabajos 2'!B105="","",'Trabajos 2'!B105)</f>
        <v/>
      </c>
      <c r="C105" s="53" t="str">
        <f>IF('Trabajos 2'!F105="","",'Trabajos 2'!F105)</f>
        <v/>
      </c>
      <c r="D105" s="54" t="str">
        <f>IF('Trabajos 2'!D105="","",'Trabajos 2'!D105)</f>
        <v/>
      </c>
      <c r="E105" s="17" t="str">
        <f>IF('Trabajos 2'!J105="","",'Trabajos 2'!J105)</f>
        <v/>
      </c>
      <c r="F105" s="17" t="str">
        <f>IF('Trabajos 2'!O105="","",'Trabajos 2'!O105)</f>
        <v/>
      </c>
      <c r="G105" s="7"/>
      <c r="H105" s="17" t="str">
        <f>IF('Trabajos 2'!H105&lt;&gt;"",E105-E105*G105,"")</f>
        <v/>
      </c>
      <c r="I105" s="17" t="str">
        <f>IF('Trabajos 2'!H105&lt;&gt;"",F105-F105*G105,"")</f>
        <v/>
      </c>
      <c r="J105" s="16" t="str">
        <f>IF('Trabajos 2'!H105&lt;&gt;"",H105*0.55,"")</f>
        <v/>
      </c>
      <c r="K105" s="16" t="str">
        <f>IF('Trabajos 2'!H105&lt;&gt;"",H105*0.45,"")</f>
        <v/>
      </c>
      <c r="L105" s="16" t="str">
        <f>IF('Trabajos 2'!L105="","",'Trabajos 2'!L105)</f>
        <v/>
      </c>
    </row>
    <row r="106" spans="2:12" x14ac:dyDescent="0.25">
      <c r="B106" s="52" t="str">
        <f>IF('Trabajos 2'!B106="","",'Trabajos 2'!B106)</f>
        <v/>
      </c>
      <c r="C106" s="53" t="str">
        <f>IF('Trabajos 2'!F106="","",'Trabajos 2'!F106)</f>
        <v/>
      </c>
      <c r="D106" s="54" t="str">
        <f>IF('Trabajos 2'!D106="","",'Trabajos 2'!D106)</f>
        <v/>
      </c>
      <c r="E106" s="17" t="str">
        <f>IF('Trabajos 2'!J106="","",'Trabajos 2'!J106)</f>
        <v/>
      </c>
      <c r="F106" s="17" t="str">
        <f>IF('Trabajos 2'!O106="","",'Trabajos 2'!O106)</f>
        <v/>
      </c>
      <c r="G106" s="7"/>
      <c r="H106" s="17" t="str">
        <f>IF('Trabajos 2'!H106&lt;&gt;"",E106-E106*G106,"")</f>
        <v/>
      </c>
      <c r="I106" s="17" t="str">
        <f>IF('Trabajos 2'!H106&lt;&gt;"",F106-F106*G106,"")</f>
        <v/>
      </c>
      <c r="J106" s="16" t="str">
        <f>IF('Trabajos 2'!H106&lt;&gt;"",H106*0.55,"")</f>
        <v/>
      </c>
      <c r="K106" s="16" t="str">
        <f>IF('Trabajos 2'!H106&lt;&gt;"",H106*0.45,"")</f>
        <v/>
      </c>
      <c r="L106" s="16" t="str">
        <f>IF('Trabajos 2'!L106="","",'Trabajos 2'!L106)</f>
        <v/>
      </c>
    </row>
    <row r="107" spans="2:12" x14ac:dyDescent="0.25">
      <c r="B107" s="52" t="str">
        <f>IF('Trabajos 2'!B107="","",'Trabajos 2'!B107)</f>
        <v/>
      </c>
      <c r="C107" s="53" t="str">
        <f>IF('Trabajos 2'!F107="","",'Trabajos 2'!F107)</f>
        <v/>
      </c>
      <c r="D107" s="54" t="str">
        <f>IF('Trabajos 2'!D107="","",'Trabajos 2'!D107)</f>
        <v/>
      </c>
      <c r="E107" s="17" t="str">
        <f>IF('Trabajos 2'!J107="","",'Trabajos 2'!J107)</f>
        <v/>
      </c>
      <c r="F107" s="17" t="str">
        <f>IF('Trabajos 2'!O107="","",'Trabajos 2'!O107)</f>
        <v/>
      </c>
      <c r="G107" s="7"/>
      <c r="H107" s="17" t="str">
        <f>IF('Trabajos 2'!H107&lt;&gt;"",E107-E107*G107,"")</f>
        <v/>
      </c>
      <c r="I107" s="17" t="str">
        <f>IF('Trabajos 2'!H107&lt;&gt;"",F107-F107*G107,"")</f>
        <v/>
      </c>
      <c r="J107" s="16" t="str">
        <f>IF('Trabajos 2'!H107&lt;&gt;"",H107*0.55,"")</f>
        <v/>
      </c>
      <c r="K107" s="16" t="str">
        <f>IF('Trabajos 2'!H107&lt;&gt;"",H107*0.45,"")</f>
        <v/>
      </c>
      <c r="L107" s="16" t="str">
        <f>IF('Trabajos 2'!L107="","",'Trabajos 2'!L107)</f>
        <v/>
      </c>
    </row>
    <row r="108" spans="2:12" x14ac:dyDescent="0.25">
      <c r="B108" s="52" t="str">
        <f>IF('Trabajos 2'!B108="","",'Trabajos 2'!B108)</f>
        <v/>
      </c>
      <c r="C108" s="53" t="str">
        <f>IF('Trabajos 2'!F108="","",'Trabajos 2'!F108)</f>
        <v/>
      </c>
      <c r="D108" s="54" t="str">
        <f>IF('Trabajos 2'!D108="","",'Trabajos 2'!D108)</f>
        <v/>
      </c>
      <c r="E108" s="17" t="str">
        <f>IF('Trabajos 2'!J108="","",'Trabajos 2'!J108)</f>
        <v/>
      </c>
      <c r="F108" s="17" t="str">
        <f>IF('Trabajos 2'!O108="","",'Trabajos 2'!O108)</f>
        <v/>
      </c>
      <c r="G108" s="7"/>
      <c r="H108" s="17" t="str">
        <f>IF('Trabajos 2'!H108&lt;&gt;"",E108-E108*G108,"")</f>
        <v/>
      </c>
      <c r="I108" s="17" t="str">
        <f>IF('Trabajos 2'!H108&lt;&gt;"",F108-F108*G108,"")</f>
        <v/>
      </c>
      <c r="J108" s="16" t="str">
        <f>IF('Trabajos 2'!H108&lt;&gt;"",H108*0.55,"")</f>
        <v/>
      </c>
      <c r="K108" s="16" t="str">
        <f>IF('Trabajos 2'!H108&lt;&gt;"",H108*0.45,"")</f>
        <v/>
      </c>
      <c r="L108" s="16" t="str">
        <f>IF('Trabajos 2'!L108="","",'Trabajos 2'!L108)</f>
        <v/>
      </c>
    </row>
    <row r="109" spans="2:12" x14ac:dyDescent="0.25">
      <c r="B109" s="52" t="str">
        <f>IF('Trabajos 2'!B109="","",'Trabajos 2'!B109)</f>
        <v/>
      </c>
      <c r="C109" s="53" t="str">
        <f>IF('Trabajos 2'!F109="","",'Trabajos 2'!F109)</f>
        <v/>
      </c>
      <c r="D109" s="54" t="str">
        <f>IF('Trabajos 2'!D109="","",'Trabajos 2'!D109)</f>
        <v/>
      </c>
      <c r="E109" s="17" t="str">
        <f>IF('Trabajos 2'!J109="","",'Trabajos 2'!J109)</f>
        <v/>
      </c>
      <c r="F109" s="17" t="str">
        <f>IF('Trabajos 2'!O109="","",'Trabajos 2'!O109)</f>
        <v/>
      </c>
      <c r="G109" s="7"/>
      <c r="H109" s="17" t="str">
        <f>IF('Trabajos 2'!H109&lt;&gt;"",E109-E109*G109,"")</f>
        <v/>
      </c>
      <c r="I109" s="17" t="str">
        <f>IF('Trabajos 2'!H109&lt;&gt;"",F109-F109*G109,"")</f>
        <v/>
      </c>
      <c r="J109" s="16" t="str">
        <f>IF('Trabajos 2'!H109&lt;&gt;"",H109*0.55,"")</f>
        <v/>
      </c>
      <c r="K109" s="16" t="str">
        <f>IF('Trabajos 2'!H109&lt;&gt;"",H109*0.45,"")</f>
        <v/>
      </c>
      <c r="L109" s="16" t="str">
        <f>IF('Trabajos 2'!L109="","",'Trabajos 2'!L109)</f>
        <v/>
      </c>
    </row>
    <row r="110" spans="2:12" x14ac:dyDescent="0.25">
      <c r="B110" s="52" t="str">
        <f>IF('Trabajos 2'!B110="","",'Trabajos 2'!B110)</f>
        <v/>
      </c>
      <c r="C110" s="53" t="str">
        <f>IF('Trabajos 2'!F110="","",'Trabajos 2'!F110)</f>
        <v/>
      </c>
      <c r="D110" s="54" t="str">
        <f>IF('Trabajos 2'!D110="","",'Trabajos 2'!D110)</f>
        <v/>
      </c>
      <c r="E110" s="17" t="str">
        <f>IF('Trabajos 2'!J110="","",'Trabajos 2'!J110)</f>
        <v/>
      </c>
      <c r="F110" s="17" t="str">
        <f>IF('Trabajos 2'!O110="","",'Trabajos 2'!O110)</f>
        <v/>
      </c>
      <c r="G110" s="7"/>
      <c r="H110" s="17" t="str">
        <f>IF('Trabajos 2'!H110&lt;&gt;"",E110-E110*G110,"")</f>
        <v/>
      </c>
      <c r="I110" s="17" t="str">
        <f>IF('Trabajos 2'!H110&lt;&gt;"",F110-F110*G110,"")</f>
        <v/>
      </c>
      <c r="J110" s="16" t="str">
        <f>IF('Trabajos 2'!H110&lt;&gt;"",H110*0.55,"")</f>
        <v/>
      </c>
      <c r="K110" s="16" t="str">
        <f>IF('Trabajos 2'!H110&lt;&gt;"",H110*0.45,"")</f>
        <v/>
      </c>
      <c r="L110" s="16" t="str">
        <f>IF('Trabajos 2'!L110="","",'Trabajos 2'!L110)</f>
        <v/>
      </c>
    </row>
    <row r="111" spans="2:12" x14ac:dyDescent="0.25">
      <c r="B111" s="52" t="str">
        <f>IF('Trabajos 2'!B111="","",'Trabajos 2'!B111)</f>
        <v/>
      </c>
      <c r="C111" s="53" t="str">
        <f>IF('Trabajos 2'!F111="","",'Trabajos 2'!F111)</f>
        <v/>
      </c>
      <c r="D111" s="54" t="str">
        <f>IF('Trabajos 2'!D111="","",'Trabajos 2'!D111)</f>
        <v/>
      </c>
      <c r="E111" s="17" t="str">
        <f>IF('Trabajos 2'!J111="","",'Trabajos 2'!J111)</f>
        <v/>
      </c>
      <c r="F111" s="17" t="str">
        <f>IF('Trabajos 2'!O111="","",'Trabajos 2'!O111)</f>
        <v/>
      </c>
      <c r="G111" s="7"/>
      <c r="H111" s="17" t="str">
        <f>IF('Trabajos 2'!H111&lt;&gt;"",E111-E111*G111,"")</f>
        <v/>
      </c>
      <c r="I111" s="17" t="str">
        <f>IF('Trabajos 2'!H111&lt;&gt;"",F111-F111*G111,"")</f>
        <v/>
      </c>
      <c r="J111" s="16" t="str">
        <f>IF('Trabajos 2'!H111&lt;&gt;"",H111*0.55,"")</f>
        <v/>
      </c>
      <c r="K111" s="16" t="str">
        <f>IF('Trabajos 2'!H111&lt;&gt;"",H111*0.45,"")</f>
        <v/>
      </c>
      <c r="L111" s="16" t="str">
        <f>IF('Trabajos 2'!L111="","",'Trabajos 2'!L111)</f>
        <v/>
      </c>
    </row>
    <row r="112" spans="2:12" x14ac:dyDescent="0.25">
      <c r="B112" s="52" t="str">
        <f>IF('Trabajos 2'!B112="","",'Trabajos 2'!B112)</f>
        <v/>
      </c>
      <c r="C112" s="53" t="str">
        <f>IF('Trabajos 2'!F112="","",'Trabajos 2'!F112)</f>
        <v/>
      </c>
      <c r="D112" s="54" t="str">
        <f>IF('Trabajos 2'!D112="","",'Trabajos 2'!D112)</f>
        <v/>
      </c>
      <c r="E112" s="17" t="str">
        <f>IF('Trabajos 2'!J112="","",'Trabajos 2'!J112)</f>
        <v/>
      </c>
      <c r="F112" s="17" t="str">
        <f>IF('Trabajos 2'!O112="","",'Trabajos 2'!O112)</f>
        <v/>
      </c>
      <c r="G112" s="7"/>
      <c r="H112" s="17" t="str">
        <f>IF('Trabajos 2'!H112&lt;&gt;"",E112-E112*G112,"")</f>
        <v/>
      </c>
      <c r="I112" s="17" t="str">
        <f>IF('Trabajos 2'!H112&lt;&gt;"",F112-F112*G112,"")</f>
        <v/>
      </c>
      <c r="J112" s="16" t="str">
        <f>IF('Trabajos 2'!H112&lt;&gt;"",H112*0.55,"")</f>
        <v/>
      </c>
      <c r="K112" s="16" t="str">
        <f>IF('Trabajos 2'!H112&lt;&gt;"",H112*0.45,"")</f>
        <v/>
      </c>
      <c r="L112" s="16" t="str">
        <f>IF('Trabajos 2'!L112="","",'Trabajos 2'!L112)</f>
        <v/>
      </c>
    </row>
    <row r="113" spans="2:12" x14ac:dyDescent="0.25">
      <c r="B113" s="52" t="str">
        <f>IF('Trabajos 2'!B113="","",'Trabajos 2'!B113)</f>
        <v/>
      </c>
      <c r="C113" s="53" t="str">
        <f>IF('Trabajos 2'!F113="","",'Trabajos 2'!F113)</f>
        <v/>
      </c>
      <c r="D113" s="54" t="str">
        <f>IF('Trabajos 2'!D113="","",'Trabajos 2'!D113)</f>
        <v/>
      </c>
      <c r="E113" s="17" t="str">
        <f>IF('Trabajos 2'!J113="","",'Trabajos 2'!J113)</f>
        <v/>
      </c>
      <c r="F113" s="17" t="str">
        <f>IF('Trabajos 2'!O113="","",'Trabajos 2'!O113)</f>
        <v/>
      </c>
      <c r="G113" s="7"/>
      <c r="H113" s="17" t="str">
        <f>IF('Trabajos 2'!H113&lt;&gt;"",E113-E113*G113,"")</f>
        <v/>
      </c>
      <c r="I113" s="17" t="str">
        <f>IF('Trabajos 2'!H113&lt;&gt;"",F113-F113*G113,"")</f>
        <v/>
      </c>
      <c r="J113" s="16" t="str">
        <f>IF('Trabajos 2'!H113&lt;&gt;"",H113*0.55,"")</f>
        <v/>
      </c>
      <c r="K113" s="16" t="str">
        <f>IF('Trabajos 2'!H113&lt;&gt;"",H113*0.45,"")</f>
        <v/>
      </c>
      <c r="L113" s="16" t="str">
        <f>IF('Trabajos 2'!L113="","",'Trabajos 2'!L113)</f>
        <v/>
      </c>
    </row>
    <row r="114" spans="2:12" x14ac:dyDescent="0.25">
      <c r="B114" s="52" t="str">
        <f>IF('Trabajos 2'!B114="","",'Trabajos 2'!B114)</f>
        <v/>
      </c>
      <c r="C114" s="53" t="str">
        <f>IF('Trabajos 2'!F114="","",'Trabajos 2'!F114)</f>
        <v/>
      </c>
      <c r="D114" s="54" t="str">
        <f>IF('Trabajos 2'!D114="","",'Trabajos 2'!D114)</f>
        <v/>
      </c>
      <c r="E114" s="17" t="str">
        <f>IF('Trabajos 2'!J114="","",'Trabajos 2'!J114)</f>
        <v/>
      </c>
      <c r="F114" s="17" t="str">
        <f>IF('Trabajos 2'!O114="","",'Trabajos 2'!O114)</f>
        <v/>
      </c>
      <c r="G114" s="7"/>
      <c r="H114" s="17" t="str">
        <f>IF('Trabajos 2'!H114&lt;&gt;"",E114-E114*G114,"")</f>
        <v/>
      </c>
      <c r="I114" s="17" t="str">
        <f>IF('Trabajos 2'!H114&lt;&gt;"",F114-F114*G114,"")</f>
        <v/>
      </c>
      <c r="J114" s="16" t="str">
        <f>IF('Trabajos 2'!H114&lt;&gt;"",H114*0.55,"")</f>
        <v/>
      </c>
      <c r="K114" s="16" t="str">
        <f>IF('Trabajos 2'!H114&lt;&gt;"",H114*0.45,"")</f>
        <v/>
      </c>
      <c r="L114" s="16" t="str">
        <f>IF('Trabajos 2'!L114="","",'Trabajos 2'!L114)</f>
        <v/>
      </c>
    </row>
    <row r="115" spans="2:12" x14ac:dyDescent="0.25">
      <c r="B115" s="52" t="str">
        <f>IF('Trabajos 2'!B115="","",'Trabajos 2'!B115)</f>
        <v/>
      </c>
      <c r="C115" s="53" t="str">
        <f>IF('Trabajos 2'!F115="","",'Trabajos 2'!F115)</f>
        <v/>
      </c>
      <c r="D115" s="54" t="str">
        <f>IF('Trabajos 2'!D115="","",'Trabajos 2'!D115)</f>
        <v/>
      </c>
      <c r="E115" s="17" t="str">
        <f>IF('Trabajos 2'!J115="","",'Trabajos 2'!J115)</f>
        <v/>
      </c>
      <c r="F115" s="17" t="str">
        <f>IF('Trabajos 2'!O115="","",'Trabajos 2'!O115)</f>
        <v/>
      </c>
      <c r="G115" s="7"/>
      <c r="H115" s="17" t="str">
        <f>IF('Trabajos 2'!H115&lt;&gt;"",E115-E115*G115,"")</f>
        <v/>
      </c>
      <c r="I115" s="17" t="str">
        <f>IF('Trabajos 2'!H115&lt;&gt;"",F115-F115*G115,"")</f>
        <v/>
      </c>
      <c r="J115" s="16" t="str">
        <f>IF('Trabajos 2'!H115&lt;&gt;"",H115*0.55,"")</f>
        <v/>
      </c>
      <c r="K115" s="16" t="str">
        <f>IF('Trabajos 2'!H115&lt;&gt;"",H115*0.45,"")</f>
        <v/>
      </c>
      <c r="L115" s="16" t="str">
        <f>IF('Trabajos 2'!L115="","",'Trabajos 2'!L115)</f>
        <v/>
      </c>
    </row>
    <row r="116" spans="2:12" x14ac:dyDescent="0.25">
      <c r="B116" s="52" t="str">
        <f>IF('Trabajos 2'!B116="","",'Trabajos 2'!B116)</f>
        <v/>
      </c>
      <c r="C116" s="53" t="str">
        <f>IF('Trabajos 2'!F116="","",'Trabajos 2'!F116)</f>
        <v/>
      </c>
      <c r="D116" s="54" t="str">
        <f>IF('Trabajos 2'!D116="","",'Trabajos 2'!D116)</f>
        <v/>
      </c>
      <c r="E116" s="17" t="str">
        <f>IF('Trabajos 2'!J116="","",'Trabajos 2'!J116)</f>
        <v/>
      </c>
      <c r="F116" s="17" t="str">
        <f>IF('Trabajos 2'!O116="","",'Trabajos 2'!O116)</f>
        <v/>
      </c>
      <c r="G116" s="7"/>
      <c r="H116" s="17" t="str">
        <f>IF('Trabajos 2'!H116&lt;&gt;"",E116-E116*G116,"")</f>
        <v/>
      </c>
      <c r="I116" s="17" t="str">
        <f>IF('Trabajos 2'!H116&lt;&gt;"",F116-F116*G116,"")</f>
        <v/>
      </c>
      <c r="J116" s="16" t="str">
        <f>IF('Trabajos 2'!H116&lt;&gt;"",H116*0.55,"")</f>
        <v/>
      </c>
      <c r="K116" s="16" t="str">
        <f>IF('Trabajos 2'!H116&lt;&gt;"",H116*0.45,"")</f>
        <v/>
      </c>
      <c r="L116" s="16" t="str">
        <f>IF('Trabajos 2'!L116="","",'Trabajos 2'!L116)</f>
        <v/>
      </c>
    </row>
    <row r="117" spans="2:12" x14ac:dyDescent="0.25">
      <c r="B117" s="52" t="str">
        <f>IF('Trabajos 2'!B117="","",'Trabajos 2'!B117)</f>
        <v/>
      </c>
      <c r="C117" s="53" t="str">
        <f>IF('Trabajos 2'!F117="","",'Trabajos 2'!F117)</f>
        <v/>
      </c>
      <c r="D117" s="54" t="str">
        <f>IF('Trabajos 2'!D117="","",'Trabajos 2'!D117)</f>
        <v/>
      </c>
      <c r="E117" s="17" t="str">
        <f>IF('Trabajos 2'!J117="","",'Trabajos 2'!J117)</f>
        <v/>
      </c>
      <c r="F117" s="17" t="str">
        <f>IF('Trabajos 2'!O117="","",'Trabajos 2'!O117)</f>
        <v/>
      </c>
      <c r="G117" s="7"/>
      <c r="H117" s="17" t="str">
        <f>IF('Trabajos 2'!H117&lt;&gt;"",E117-E117*G117,"")</f>
        <v/>
      </c>
      <c r="I117" s="17" t="str">
        <f>IF('Trabajos 2'!H117&lt;&gt;"",F117-F117*G117,"")</f>
        <v/>
      </c>
      <c r="J117" s="16" t="str">
        <f>IF('Trabajos 2'!H117&lt;&gt;"",H117*0.55,"")</f>
        <v/>
      </c>
      <c r="K117" s="16" t="str">
        <f>IF('Trabajos 2'!H117&lt;&gt;"",H117*0.45,"")</f>
        <v/>
      </c>
      <c r="L117" s="16" t="str">
        <f>IF('Trabajos 2'!L117="","",'Trabajos 2'!L117)</f>
        <v/>
      </c>
    </row>
    <row r="118" spans="2:12" x14ac:dyDescent="0.25">
      <c r="B118" s="52" t="str">
        <f>IF('Trabajos 2'!B118="","",'Trabajos 2'!B118)</f>
        <v/>
      </c>
      <c r="C118" s="53" t="str">
        <f>IF('Trabajos 2'!F118="","",'Trabajos 2'!F118)</f>
        <v/>
      </c>
      <c r="D118" s="54" t="str">
        <f>IF('Trabajos 2'!D118="","",'Trabajos 2'!D118)</f>
        <v/>
      </c>
      <c r="E118" s="17" t="str">
        <f>IF('Trabajos 2'!J118="","",'Trabajos 2'!J118)</f>
        <v/>
      </c>
      <c r="F118" s="17" t="str">
        <f>IF('Trabajos 2'!O118="","",'Trabajos 2'!O118)</f>
        <v/>
      </c>
      <c r="G118" s="7"/>
      <c r="H118" s="17" t="str">
        <f>IF('Trabajos 2'!H118&lt;&gt;"",E118-E118*G118,"")</f>
        <v/>
      </c>
      <c r="I118" s="17" t="str">
        <f>IF('Trabajos 2'!H118&lt;&gt;"",F118-F118*G118,"")</f>
        <v/>
      </c>
      <c r="J118" s="16" t="str">
        <f>IF('Trabajos 2'!H118&lt;&gt;"",H118*0.55,"")</f>
        <v/>
      </c>
      <c r="K118" s="16" t="str">
        <f>IF('Trabajos 2'!H118&lt;&gt;"",H118*0.45,"")</f>
        <v/>
      </c>
      <c r="L118" s="16" t="str">
        <f>IF('Trabajos 2'!L118="","",'Trabajos 2'!L118)</f>
        <v/>
      </c>
    </row>
    <row r="119" spans="2:12" x14ac:dyDescent="0.25">
      <c r="B119" s="52" t="str">
        <f>IF('Trabajos 2'!B119="","",'Trabajos 2'!B119)</f>
        <v/>
      </c>
      <c r="C119" s="53" t="str">
        <f>IF('Trabajos 2'!F119="","",'Trabajos 2'!F119)</f>
        <v/>
      </c>
      <c r="D119" s="54" t="str">
        <f>IF('Trabajos 2'!D119="","",'Trabajos 2'!D119)</f>
        <v/>
      </c>
      <c r="E119" s="17" t="str">
        <f>IF('Trabajos 2'!J119="","",'Trabajos 2'!J119)</f>
        <v/>
      </c>
      <c r="F119" s="17" t="str">
        <f>IF('Trabajos 2'!O119="","",'Trabajos 2'!O119)</f>
        <v/>
      </c>
      <c r="G119" s="7"/>
      <c r="H119" s="17" t="str">
        <f>IF('Trabajos 2'!H119&lt;&gt;"",E119-E119*G119,"")</f>
        <v/>
      </c>
      <c r="I119" s="17" t="str">
        <f>IF('Trabajos 2'!H119&lt;&gt;"",F119-F119*G119,"")</f>
        <v/>
      </c>
      <c r="J119" s="16" t="str">
        <f>IF('Trabajos 2'!H119&lt;&gt;"",H119*0.55,"")</f>
        <v/>
      </c>
      <c r="K119" s="16" t="str">
        <f>IF('Trabajos 2'!H119&lt;&gt;"",H119*0.45,"")</f>
        <v/>
      </c>
      <c r="L119" s="16" t="str">
        <f>IF('Trabajos 2'!L119="","",'Trabajos 2'!L119)</f>
        <v/>
      </c>
    </row>
    <row r="120" spans="2:12" x14ac:dyDescent="0.25">
      <c r="B120" s="52" t="str">
        <f>IF('Trabajos 2'!B120="","",'Trabajos 2'!B120)</f>
        <v/>
      </c>
      <c r="C120" s="53" t="str">
        <f>IF('Trabajos 2'!F120="","",'Trabajos 2'!F120)</f>
        <v/>
      </c>
      <c r="D120" s="54" t="str">
        <f>IF('Trabajos 2'!D120="","",'Trabajos 2'!D120)</f>
        <v/>
      </c>
      <c r="E120" s="17" t="str">
        <f>IF('Trabajos 2'!J120="","",'Trabajos 2'!J120)</f>
        <v/>
      </c>
      <c r="F120" s="17" t="str">
        <f>IF('Trabajos 2'!O120="","",'Trabajos 2'!O120)</f>
        <v/>
      </c>
      <c r="G120" s="7"/>
      <c r="H120" s="17" t="str">
        <f>IF('Trabajos 2'!H120&lt;&gt;"",E120-E120*G120,"")</f>
        <v/>
      </c>
      <c r="I120" s="17" t="str">
        <f>IF('Trabajos 2'!H120&lt;&gt;"",F120-F120*G120,"")</f>
        <v/>
      </c>
      <c r="J120" s="16" t="str">
        <f>IF('Trabajos 2'!H120&lt;&gt;"",H120*0.55,"")</f>
        <v/>
      </c>
      <c r="K120" s="16" t="str">
        <f>IF('Trabajos 2'!H120&lt;&gt;"",H120*0.45,"")</f>
        <v/>
      </c>
      <c r="L120" s="16" t="str">
        <f>IF('Trabajos 2'!L120="","",'Trabajos 2'!L120)</f>
        <v/>
      </c>
    </row>
    <row r="121" spans="2:12" x14ac:dyDescent="0.25">
      <c r="B121" s="52" t="str">
        <f>IF('Trabajos 2'!B121="","",'Trabajos 2'!B121)</f>
        <v/>
      </c>
      <c r="C121" s="53" t="str">
        <f>IF('Trabajos 2'!F121="","",'Trabajos 2'!F121)</f>
        <v/>
      </c>
      <c r="D121" s="54" t="str">
        <f>IF('Trabajos 2'!D121="","",'Trabajos 2'!D121)</f>
        <v/>
      </c>
      <c r="E121" s="17" t="str">
        <f>IF('Trabajos 2'!J121="","",'Trabajos 2'!J121)</f>
        <v/>
      </c>
      <c r="F121" s="17" t="str">
        <f>IF('Trabajos 2'!O121="","",'Trabajos 2'!O121)</f>
        <v/>
      </c>
      <c r="G121" s="7"/>
      <c r="H121" s="17" t="str">
        <f>IF('Trabajos 2'!H121&lt;&gt;"",E121-E121*G121,"")</f>
        <v/>
      </c>
      <c r="I121" s="17" t="str">
        <f>IF('Trabajos 2'!H121&lt;&gt;"",F121-F121*G121,"")</f>
        <v/>
      </c>
      <c r="J121" s="16" t="str">
        <f>IF('Trabajos 2'!H121&lt;&gt;"",H121*0.55,"")</f>
        <v/>
      </c>
      <c r="K121" s="16" t="str">
        <f>IF('Trabajos 2'!H121&lt;&gt;"",H121*0.45,"")</f>
        <v/>
      </c>
      <c r="L121" s="16" t="str">
        <f>IF('Trabajos 2'!L121="","",'Trabajos 2'!L121)</f>
        <v/>
      </c>
    </row>
    <row r="122" spans="2:12" x14ac:dyDescent="0.25">
      <c r="B122" s="52" t="str">
        <f>IF('Trabajos 2'!B122="","",'Trabajos 2'!B122)</f>
        <v/>
      </c>
      <c r="C122" s="53" t="str">
        <f>IF('Trabajos 2'!F122="","",'Trabajos 2'!F122)</f>
        <v/>
      </c>
      <c r="D122" s="54" t="str">
        <f>IF('Trabajos 2'!D122="","",'Trabajos 2'!D122)</f>
        <v/>
      </c>
      <c r="E122" s="17" t="str">
        <f>IF('Trabajos 2'!J122="","",'Trabajos 2'!J122)</f>
        <v/>
      </c>
      <c r="F122" s="17" t="str">
        <f>IF('Trabajos 2'!O122="","",'Trabajos 2'!O122)</f>
        <v/>
      </c>
      <c r="G122" s="7"/>
      <c r="H122" s="17" t="str">
        <f>IF('Trabajos 2'!H122&lt;&gt;"",E122-E122*G122,"")</f>
        <v/>
      </c>
      <c r="I122" s="17" t="str">
        <f>IF('Trabajos 2'!H122&lt;&gt;"",F122-F122*G122,"")</f>
        <v/>
      </c>
      <c r="J122" s="16" t="str">
        <f>IF('Trabajos 2'!H122&lt;&gt;"",H122*0.55,"")</f>
        <v/>
      </c>
      <c r="K122" s="16" t="str">
        <f>IF('Trabajos 2'!H122&lt;&gt;"",H122*0.45,"")</f>
        <v/>
      </c>
      <c r="L122" s="16" t="str">
        <f>IF('Trabajos 2'!L122="","",'Trabajos 2'!L122)</f>
        <v/>
      </c>
    </row>
    <row r="123" spans="2:12" x14ac:dyDescent="0.25">
      <c r="B123" s="52" t="str">
        <f>IF('Trabajos 2'!B123="","",'Trabajos 2'!B123)</f>
        <v/>
      </c>
      <c r="C123" s="53" t="str">
        <f>IF('Trabajos 2'!F123="","",'Trabajos 2'!F123)</f>
        <v/>
      </c>
      <c r="D123" s="54" t="str">
        <f>IF('Trabajos 2'!D123="","",'Trabajos 2'!D123)</f>
        <v/>
      </c>
      <c r="E123" s="17" t="str">
        <f>IF('Trabajos 2'!J123="","",'Trabajos 2'!J123)</f>
        <v/>
      </c>
      <c r="F123" s="17" t="str">
        <f>IF('Trabajos 2'!O123="","",'Trabajos 2'!O123)</f>
        <v/>
      </c>
      <c r="G123" s="7"/>
      <c r="H123" s="17" t="str">
        <f>IF('Trabajos 2'!H123&lt;&gt;"",E123-E123*G123,"")</f>
        <v/>
      </c>
      <c r="I123" s="17" t="str">
        <f>IF('Trabajos 2'!H123&lt;&gt;"",F123-F123*G123,"")</f>
        <v/>
      </c>
      <c r="J123" s="16" t="str">
        <f>IF('Trabajos 2'!H123&lt;&gt;"",H123*0.55,"")</f>
        <v/>
      </c>
      <c r="K123" s="16" t="str">
        <f>IF('Trabajos 2'!H123&lt;&gt;"",H123*0.45,"")</f>
        <v/>
      </c>
      <c r="L123" s="16" t="str">
        <f>IF('Trabajos 2'!L123="","",'Trabajos 2'!L123)</f>
        <v/>
      </c>
    </row>
    <row r="124" spans="2:12" x14ac:dyDescent="0.25">
      <c r="B124" s="52" t="str">
        <f>IF('Trabajos 2'!B124="","",'Trabajos 2'!B124)</f>
        <v/>
      </c>
      <c r="C124" s="53" t="str">
        <f>IF('Trabajos 2'!F124="","",'Trabajos 2'!F124)</f>
        <v/>
      </c>
      <c r="D124" s="54" t="str">
        <f>IF('Trabajos 2'!D124="","",'Trabajos 2'!D124)</f>
        <v/>
      </c>
      <c r="E124" s="17" t="str">
        <f>IF('Trabajos 2'!J124="","",'Trabajos 2'!J124)</f>
        <v/>
      </c>
      <c r="F124" s="17" t="str">
        <f>IF('Trabajos 2'!O124="","",'Trabajos 2'!O124)</f>
        <v/>
      </c>
      <c r="G124" s="7"/>
      <c r="H124" s="17" t="str">
        <f>IF('Trabajos 2'!H124&lt;&gt;"",E124-E124*G124,"")</f>
        <v/>
      </c>
      <c r="I124" s="17" t="str">
        <f>IF('Trabajos 2'!H124&lt;&gt;"",F124-F124*G124,"")</f>
        <v/>
      </c>
      <c r="J124" s="16" t="str">
        <f>IF('Trabajos 2'!H124&lt;&gt;"",H124*0.55,"")</f>
        <v/>
      </c>
      <c r="K124" s="16" t="str">
        <f>IF('Trabajos 2'!H124&lt;&gt;"",H124*0.45,"")</f>
        <v/>
      </c>
      <c r="L124" s="16" t="str">
        <f>IF('Trabajos 2'!L124="","",'Trabajos 2'!L124)</f>
        <v/>
      </c>
    </row>
    <row r="125" spans="2:12" x14ac:dyDescent="0.25">
      <c r="B125" s="52" t="str">
        <f>IF('Trabajos 2'!B125="","",'Trabajos 2'!B125)</f>
        <v/>
      </c>
      <c r="C125" s="53" t="str">
        <f>IF('Trabajos 2'!F125="","",'Trabajos 2'!F125)</f>
        <v/>
      </c>
      <c r="D125" s="54" t="str">
        <f>IF('Trabajos 2'!D125="","",'Trabajos 2'!D125)</f>
        <v/>
      </c>
      <c r="E125" s="17" t="str">
        <f>IF('Trabajos 2'!J125="","",'Trabajos 2'!J125)</f>
        <v/>
      </c>
      <c r="F125" s="17" t="str">
        <f>IF('Trabajos 2'!O125="","",'Trabajos 2'!O125)</f>
        <v/>
      </c>
      <c r="G125" s="7"/>
      <c r="H125" s="17" t="str">
        <f>IF('Trabajos 2'!H125&lt;&gt;"",E125-E125*G125,"")</f>
        <v/>
      </c>
      <c r="I125" s="17" t="str">
        <f>IF('Trabajos 2'!H125&lt;&gt;"",F125-F125*G125,"")</f>
        <v/>
      </c>
      <c r="J125" s="16" t="str">
        <f>IF('Trabajos 2'!H125&lt;&gt;"",H125*0.55,"")</f>
        <v/>
      </c>
      <c r="K125" s="16" t="str">
        <f>IF('Trabajos 2'!H125&lt;&gt;"",H125*0.45,"")</f>
        <v/>
      </c>
      <c r="L125" s="16" t="str">
        <f>IF('Trabajos 2'!L125="","",'Trabajos 2'!L125)</f>
        <v/>
      </c>
    </row>
    <row r="126" spans="2:12" x14ac:dyDescent="0.25">
      <c r="B126" s="52" t="str">
        <f>IF('Trabajos 2'!B126="","",'Trabajos 2'!B126)</f>
        <v/>
      </c>
      <c r="C126" s="53" t="str">
        <f>IF('Trabajos 2'!F126="","",'Trabajos 2'!F126)</f>
        <v/>
      </c>
      <c r="D126" s="54" t="str">
        <f>IF('Trabajos 2'!D126="","",'Trabajos 2'!D126)</f>
        <v/>
      </c>
      <c r="E126" s="17" t="str">
        <f>IF('Trabajos 2'!J126="","",'Trabajos 2'!J126)</f>
        <v/>
      </c>
      <c r="F126" s="17" t="str">
        <f>IF('Trabajos 2'!O126="","",'Trabajos 2'!O126)</f>
        <v/>
      </c>
      <c r="G126" s="7"/>
      <c r="H126" s="17" t="str">
        <f>IF('Trabajos 2'!H126&lt;&gt;"",E126-E126*G126,"")</f>
        <v/>
      </c>
      <c r="I126" s="17" t="str">
        <f>IF('Trabajos 2'!H126&lt;&gt;"",F126-F126*G126,"")</f>
        <v/>
      </c>
      <c r="J126" s="16" t="str">
        <f>IF('Trabajos 2'!H126&lt;&gt;"",H126*0.55,"")</f>
        <v/>
      </c>
      <c r="K126" s="16" t="str">
        <f>IF('Trabajos 2'!H126&lt;&gt;"",H126*0.45,"")</f>
        <v/>
      </c>
      <c r="L126" s="16" t="str">
        <f>IF('Trabajos 2'!L126="","",'Trabajos 2'!L126)</f>
        <v/>
      </c>
    </row>
    <row r="127" spans="2:12" x14ac:dyDescent="0.25">
      <c r="B127" s="52" t="str">
        <f>IF('Trabajos 2'!B127="","",'Trabajos 2'!B127)</f>
        <v/>
      </c>
      <c r="C127" s="53" t="str">
        <f>IF('Trabajos 2'!F127="","",'Trabajos 2'!F127)</f>
        <v/>
      </c>
      <c r="D127" s="54" t="str">
        <f>IF('Trabajos 2'!D127="","",'Trabajos 2'!D127)</f>
        <v/>
      </c>
      <c r="E127" s="17" t="str">
        <f>IF('Trabajos 2'!J127="","",'Trabajos 2'!J127)</f>
        <v/>
      </c>
      <c r="F127" s="17" t="str">
        <f>IF('Trabajos 2'!O127="","",'Trabajos 2'!O127)</f>
        <v/>
      </c>
      <c r="G127" s="7"/>
      <c r="H127" s="17" t="str">
        <f>IF('Trabajos 2'!H127&lt;&gt;"",E127-E127*G127,"")</f>
        <v/>
      </c>
      <c r="I127" s="17" t="str">
        <f>IF('Trabajos 2'!H127&lt;&gt;"",F127-F127*G127,"")</f>
        <v/>
      </c>
      <c r="J127" s="16" t="str">
        <f>IF('Trabajos 2'!H127&lt;&gt;"",H127*0.55,"")</f>
        <v/>
      </c>
      <c r="K127" s="16" t="str">
        <f>IF('Trabajos 2'!H127&lt;&gt;"",H127*0.45,"")</f>
        <v/>
      </c>
      <c r="L127" s="16" t="str">
        <f>IF('Trabajos 2'!L127="","",'Trabajos 2'!L127)</f>
        <v/>
      </c>
    </row>
    <row r="128" spans="2:12" x14ac:dyDescent="0.25">
      <c r="B128" s="52" t="str">
        <f>IF('Trabajos 2'!B128="","",'Trabajos 2'!B128)</f>
        <v/>
      </c>
      <c r="C128" s="53" t="str">
        <f>IF('Trabajos 2'!F128="","",'Trabajos 2'!F128)</f>
        <v/>
      </c>
      <c r="D128" s="54" t="str">
        <f>IF('Trabajos 2'!D128="","",'Trabajos 2'!D128)</f>
        <v/>
      </c>
      <c r="E128" s="17" t="str">
        <f>IF('Trabajos 2'!J128="","",'Trabajos 2'!J128)</f>
        <v/>
      </c>
      <c r="F128" s="17" t="str">
        <f>IF('Trabajos 2'!O128="","",'Trabajos 2'!O128)</f>
        <v/>
      </c>
      <c r="G128" s="7"/>
      <c r="H128" s="17" t="str">
        <f>IF('Trabajos 2'!H128&lt;&gt;"",E128-E128*G128,"")</f>
        <v/>
      </c>
      <c r="I128" s="17" t="str">
        <f>IF('Trabajos 2'!H128&lt;&gt;"",F128-F128*G128,"")</f>
        <v/>
      </c>
      <c r="J128" s="16" t="str">
        <f>IF('Trabajos 2'!H128&lt;&gt;"",H128*0.55,"")</f>
        <v/>
      </c>
      <c r="K128" s="16" t="str">
        <f>IF('Trabajos 2'!H128&lt;&gt;"",H128*0.45,"")</f>
        <v/>
      </c>
      <c r="L128" s="16" t="str">
        <f>IF('Trabajos 2'!L128="","",'Trabajos 2'!L128)</f>
        <v/>
      </c>
    </row>
    <row r="129" spans="2:12" x14ac:dyDescent="0.25">
      <c r="B129" s="52" t="str">
        <f>IF('Trabajos 2'!B129="","",'Trabajos 2'!B129)</f>
        <v/>
      </c>
      <c r="C129" s="53" t="str">
        <f>IF('Trabajos 2'!F129="","",'Trabajos 2'!F129)</f>
        <v/>
      </c>
      <c r="D129" s="54" t="str">
        <f>IF('Trabajos 2'!D129="","",'Trabajos 2'!D129)</f>
        <v/>
      </c>
      <c r="E129" s="17" t="str">
        <f>IF('Trabajos 2'!J129="","",'Trabajos 2'!J129)</f>
        <v/>
      </c>
      <c r="F129" s="17" t="str">
        <f>IF('Trabajos 2'!O129="","",'Trabajos 2'!O129)</f>
        <v/>
      </c>
      <c r="G129" s="7"/>
      <c r="H129" s="17" t="str">
        <f>IF('Trabajos 2'!H129&lt;&gt;"",E129-E129*G129,"")</f>
        <v/>
      </c>
      <c r="I129" s="17" t="str">
        <f>IF('Trabajos 2'!H129&lt;&gt;"",F129-F129*G129,"")</f>
        <v/>
      </c>
      <c r="J129" s="16" t="str">
        <f>IF('Trabajos 2'!H129&lt;&gt;"",H129*0.55,"")</f>
        <v/>
      </c>
      <c r="K129" s="16" t="str">
        <f>IF('Trabajos 2'!H129&lt;&gt;"",H129*0.45,"")</f>
        <v/>
      </c>
      <c r="L129" s="16" t="str">
        <f>IF('Trabajos 2'!L129="","",'Trabajos 2'!L129)</f>
        <v/>
      </c>
    </row>
    <row r="130" spans="2:12" x14ac:dyDescent="0.25">
      <c r="B130" s="52" t="str">
        <f>IF('Trabajos 2'!B130="","",'Trabajos 2'!B130)</f>
        <v/>
      </c>
      <c r="C130" s="53" t="str">
        <f>IF('Trabajos 2'!F130="","",'Trabajos 2'!F130)</f>
        <v/>
      </c>
      <c r="D130" s="54" t="str">
        <f>IF('Trabajos 2'!D130="","",'Trabajos 2'!D130)</f>
        <v/>
      </c>
      <c r="E130" s="17" t="str">
        <f>IF('Trabajos 2'!J130="","",'Trabajos 2'!J130)</f>
        <v/>
      </c>
      <c r="F130" s="17" t="str">
        <f>IF('Trabajos 2'!O130="","",'Trabajos 2'!O130)</f>
        <v/>
      </c>
      <c r="G130" s="7"/>
      <c r="H130" s="17" t="str">
        <f>IF('Trabajos 2'!H130&lt;&gt;"",E130-E130*G130,"")</f>
        <v/>
      </c>
      <c r="I130" s="17" t="str">
        <f>IF('Trabajos 2'!H130&lt;&gt;"",F130-F130*G130,"")</f>
        <v/>
      </c>
      <c r="J130" s="16" t="str">
        <f>IF('Trabajos 2'!H130&lt;&gt;"",H130*0.55,"")</f>
        <v/>
      </c>
      <c r="K130" s="16" t="str">
        <f>IF('Trabajos 2'!H130&lt;&gt;"",H130*0.45,"")</f>
        <v/>
      </c>
      <c r="L130" s="16" t="str">
        <f>IF('Trabajos 2'!L130="","",'Trabajos 2'!L130)</f>
        <v/>
      </c>
    </row>
    <row r="131" spans="2:12" x14ac:dyDescent="0.25">
      <c r="B131" s="52" t="str">
        <f>IF('Trabajos 2'!B131="","",'Trabajos 2'!B131)</f>
        <v/>
      </c>
      <c r="C131" s="53" t="str">
        <f>IF('Trabajos 2'!F131="","",'Trabajos 2'!F131)</f>
        <v/>
      </c>
      <c r="D131" s="54" t="str">
        <f>IF('Trabajos 2'!D131="","",'Trabajos 2'!D131)</f>
        <v/>
      </c>
      <c r="E131" s="17" t="str">
        <f>IF('Trabajos 2'!J131="","",'Trabajos 2'!J131)</f>
        <v/>
      </c>
      <c r="F131" s="17" t="str">
        <f>IF('Trabajos 2'!O131="","",'Trabajos 2'!O131)</f>
        <v/>
      </c>
      <c r="G131" s="7"/>
      <c r="H131" s="17" t="str">
        <f>IF('Trabajos 2'!H131&lt;&gt;"",E131-E131*G131,"")</f>
        <v/>
      </c>
      <c r="I131" s="17" t="str">
        <f>IF('Trabajos 2'!H131&lt;&gt;"",F131-F131*G131,"")</f>
        <v/>
      </c>
      <c r="J131" s="16" t="str">
        <f>IF('Trabajos 2'!H131&lt;&gt;"",H131*0.55,"")</f>
        <v/>
      </c>
      <c r="K131" s="16" t="str">
        <f>IF('Trabajos 2'!H131&lt;&gt;"",H131*0.45,"")</f>
        <v/>
      </c>
      <c r="L131" s="16" t="str">
        <f>IF('Trabajos 2'!L131="","",'Trabajos 2'!L131)</f>
        <v/>
      </c>
    </row>
    <row r="132" spans="2:12" x14ac:dyDescent="0.25">
      <c r="B132" s="52" t="str">
        <f>IF('Trabajos 2'!B132="","",'Trabajos 2'!B132)</f>
        <v/>
      </c>
      <c r="C132" s="53" t="str">
        <f>IF('Trabajos 2'!F132="","",'Trabajos 2'!F132)</f>
        <v/>
      </c>
      <c r="D132" s="54" t="str">
        <f>IF('Trabajos 2'!D132="","",'Trabajos 2'!D132)</f>
        <v/>
      </c>
      <c r="E132" s="17" t="str">
        <f>IF('Trabajos 2'!J132="","",'Trabajos 2'!J132)</f>
        <v/>
      </c>
      <c r="F132" s="17" t="str">
        <f>IF('Trabajos 2'!O132="","",'Trabajos 2'!O132)</f>
        <v/>
      </c>
      <c r="G132" s="7"/>
      <c r="H132" s="17" t="str">
        <f>IF('Trabajos 2'!H132&lt;&gt;"",E132-E132*G132,"")</f>
        <v/>
      </c>
      <c r="I132" s="17" t="str">
        <f>IF('Trabajos 2'!H132&lt;&gt;"",F132-F132*G132,"")</f>
        <v/>
      </c>
      <c r="J132" s="16" t="str">
        <f>IF('Trabajos 2'!H132&lt;&gt;"",H132*0.55,"")</f>
        <v/>
      </c>
      <c r="K132" s="16" t="str">
        <f>IF('Trabajos 2'!H132&lt;&gt;"",H132*0.45,"")</f>
        <v/>
      </c>
      <c r="L132" s="16" t="str">
        <f>IF('Trabajos 2'!L132="","",'Trabajos 2'!L132)</f>
        <v/>
      </c>
    </row>
    <row r="133" spans="2:12" x14ac:dyDescent="0.25">
      <c r="B133" s="52" t="str">
        <f>IF('Trabajos 2'!B133="","",'Trabajos 2'!B133)</f>
        <v/>
      </c>
      <c r="C133" s="53" t="str">
        <f>IF('Trabajos 2'!F133="","",'Trabajos 2'!F133)</f>
        <v/>
      </c>
      <c r="D133" s="54" t="str">
        <f>IF('Trabajos 2'!D133="","",'Trabajos 2'!D133)</f>
        <v/>
      </c>
      <c r="E133" s="17" t="str">
        <f>IF('Trabajos 2'!J133="","",'Trabajos 2'!J133)</f>
        <v/>
      </c>
      <c r="F133" s="17" t="str">
        <f>IF('Trabajos 2'!O133="","",'Trabajos 2'!O133)</f>
        <v/>
      </c>
      <c r="G133" s="7"/>
      <c r="H133" s="17" t="str">
        <f>IF('Trabajos 2'!H133&lt;&gt;"",E133-E133*G133,"")</f>
        <v/>
      </c>
      <c r="I133" s="17" t="str">
        <f>IF('Trabajos 2'!H133&lt;&gt;"",F133-F133*G133,"")</f>
        <v/>
      </c>
      <c r="J133" s="16" t="str">
        <f>IF('Trabajos 2'!H133&lt;&gt;"",H133*0.55,"")</f>
        <v/>
      </c>
      <c r="K133" s="16" t="str">
        <f>IF('Trabajos 2'!H133&lt;&gt;"",H133*0.45,"")</f>
        <v/>
      </c>
      <c r="L133" s="16" t="str">
        <f>IF('Trabajos 2'!L133="","",'Trabajos 2'!L133)</f>
        <v/>
      </c>
    </row>
    <row r="134" spans="2:12" x14ac:dyDescent="0.25">
      <c r="B134" s="52" t="str">
        <f>IF('Trabajos 2'!B134="","",'Trabajos 2'!B134)</f>
        <v/>
      </c>
      <c r="C134" s="53" t="str">
        <f>IF('Trabajos 2'!F134="","",'Trabajos 2'!F134)</f>
        <v/>
      </c>
      <c r="D134" s="54" t="str">
        <f>IF('Trabajos 2'!D134="","",'Trabajos 2'!D134)</f>
        <v/>
      </c>
      <c r="E134" s="17" t="str">
        <f>IF('Trabajos 2'!J134="","",'Trabajos 2'!J134)</f>
        <v/>
      </c>
      <c r="F134" s="17" t="str">
        <f>IF('Trabajos 2'!O134="","",'Trabajos 2'!O134)</f>
        <v/>
      </c>
      <c r="G134" s="7"/>
      <c r="H134" s="17" t="str">
        <f>IF('Trabajos 2'!H134&lt;&gt;"",E134-E134*G134,"")</f>
        <v/>
      </c>
      <c r="I134" s="17" t="str">
        <f>IF('Trabajos 2'!H134&lt;&gt;"",F134-F134*G134,"")</f>
        <v/>
      </c>
      <c r="J134" s="16" t="str">
        <f>IF('Trabajos 2'!H134&lt;&gt;"",H134*0.55,"")</f>
        <v/>
      </c>
      <c r="K134" s="16" t="str">
        <f>IF('Trabajos 2'!H134&lt;&gt;"",H134*0.45,"")</f>
        <v/>
      </c>
      <c r="L134" s="16" t="str">
        <f>IF('Trabajos 2'!L134="","",'Trabajos 2'!L134)</f>
        <v/>
      </c>
    </row>
    <row r="135" spans="2:12" x14ac:dyDescent="0.25">
      <c r="B135" s="52" t="str">
        <f>IF('Trabajos 2'!B135="","",'Trabajos 2'!B135)</f>
        <v/>
      </c>
      <c r="C135" s="53" t="str">
        <f>IF('Trabajos 2'!F135="","",'Trabajos 2'!F135)</f>
        <v/>
      </c>
      <c r="D135" s="54" t="str">
        <f>IF('Trabajos 2'!D135="","",'Trabajos 2'!D135)</f>
        <v/>
      </c>
      <c r="E135" s="17" t="str">
        <f>IF('Trabajos 2'!J135="","",'Trabajos 2'!J135)</f>
        <v/>
      </c>
      <c r="F135" s="17" t="str">
        <f>IF('Trabajos 2'!O135="","",'Trabajos 2'!O135)</f>
        <v/>
      </c>
      <c r="G135" s="7"/>
      <c r="H135" s="17" t="str">
        <f>IF('Trabajos 2'!H135&lt;&gt;"",E135-E135*G135,"")</f>
        <v/>
      </c>
      <c r="I135" s="17" t="str">
        <f>IF('Trabajos 2'!H135&lt;&gt;"",F135-F135*G135,"")</f>
        <v/>
      </c>
      <c r="J135" s="16" t="str">
        <f>IF('Trabajos 2'!H135&lt;&gt;"",H135*0.55,"")</f>
        <v/>
      </c>
      <c r="K135" s="16" t="str">
        <f>IF('Trabajos 2'!H135&lt;&gt;"",H135*0.45,"")</f>
        <v/>
      </c>
      <c r="L135" s="16" t="str">
        <f>IF('Trabajos 2'!L135="","",'Trabajos 2'!L135)</f>
        <v/>
      </c>
    </row>
    <row r="136" spans="2:12" x14ac:dyDescent="0.25">
      <c r="B136" s="52" t="str">
        <f>IF('Trabajos 2'!B136="","",'Trabajos 2'!B136)</f>
        <v/>
      </c>
      <c r="C136" s="53" t="str">
        <f>IF('Trabajos 2'!F136="","",'Trabajos 2'!F136)</f>
        <v/>
      </c>
      <c r="D136" s="54" t="str">
        <f>IF('Trabajos 2'!D136="","",'Trabajos 2'!D136)</f>
        <v/>
      </c>
      <c r="E136" s="17" t="str">
        <f>IF('Trabajos 2'!J136="","",'Trabajos 2'!J136)</f>
        <v/>
      </c>
      <c r="F136" s="17" t="str">
        <f>IF('Trabajos 2'!O136="","",'Trabajos 2'!O136)</f>
        <v/>
      </c>
      <c r="G136" s="7"/>
      <c r="H136" s="17" t="str">
        <f>IF('Trabajos 2'!H136&lt;&gt;"",E136-E136*G136,"")</f>
        <v/>
      </c>
      <c r="I136" s="17" t="str">
        <f>IF('Trabajos 2'!H136&lt;&gt;"",F136-F136*G136,"")</f>
        <v/>
      </c>
      <c r="J136" s="16" t="str">
        <f>IF('Trabajos 2'!H136&lt;&gt;"",H136*0.55,"")</f>
        <v/>
      </c>
      <c r="K136" s="16" t="str">
        <f>IF('Trabajos 2'!H136&lt;&gt;"",H136*0.45,"")</f>
        <v/>
      </c>
      <c r="L136" s="16" t="str">
        <f>IF('Trabajos 2'!L136="","",'Trabajos 2'!L136)</f>
        <v/>
      </c>
    </row>
    <row r="137" spans="2:12" x14ac:dyDescent="0.25">
      <c r="B137" s="52" t="str">
        <f>IF('Trabajos 2'!B137="","",'Trabajos 2'!B137)</f>
        <v/>
      </c>
      <c r="C137" s="53" t="str">
        <f>IF('Trabajos 2'!F137="","",'Trabajos 2'!F137)</f>
        <v/>
      </c>
      <c r="D137" s="54" t="str">
        <f>IF('Trabajos 2'!D137="","",'Trabajos 2'!D137)</f>
        <v/>
      </c>
      <c r="E137" s="17" t="str">
        <f>IF('Trabajos 2'!J137="","",'Trabajos 2'!J137)</f>
        <v/>
      </c>
      <c r="F137" s="17" t="str">
        <f>IF('Trabajos 2'!O137="","",'Trabajos 2'!O137)</f>
        <v/>
      </c>
      <c r="G137" s="7"/>
      <c r="H137" s="17" t="str">
        <f>IF('Trabajos 2'!H137&lt;&gt;"",E137-E137*G137,"")</f>
        <v/>
      </c>
      <c r="I137" s="17" t="str">
        <f>IF('Trabajos 2'!H137&lt;&gt;"",F137-F137*G137,"")</f>
        <v/>
      </c>
      <c r="J137" s="16" t="str">
        <f>IF('Trabajos 2'!H137&lt;&gt;"",H137*0.55,"")</f>
        <v/>
      </c>
      <c r="K137" s="16" t="str">
        <f>IF('Trabajos 2'!H137&lt;&gt;"",H137*0.45,"")</f>
        <v/>
      </c>
      <c r="L137" s="16" t="str">
        <f>IF('Trabajos 2'!L137="","",'Trabajos 2'!L137)</f>
        <v/>
      </c>
    </row>
    <row r="138" spans="2:12" x14ac:dyDescent="0.25">
      <c r="B138" s="52" t="str">
        <f>IF('Trabajos 2'!B138="","",'Trabajos 2'!B138)</f>
        <v/>
      </c>
      <c r="C138" s="53" t="str">
        <f>IF('Trabajos 2'!F138="","",'Trabajos 2'!F138)</f>
        <v/>
      </c>
      <c r="D138" s="54" t="str">
        <f>IF('Trabajos 2'!D138="","",'Trabajos 2'!D138)</f>
        <v/>
      </c>
      <c r="E138" s="17" t="str">
        <f>IF('Trabajos 2'!J138="","",'Trabajos 2'!J138)</f>
        <v/>
      </c>
      <c r="F138" s="17" t="str">
        <f>IF('Trabajos 2'!O138="","",'Trabajos 2'!O138)</f>
        <v/>
      </c>
      <c r="G138" s="7"/>
      <c r="H138" s="17" t="str">
        <f>IF('Trabajos 2'!H138&lt;&gt;"",E138-E138*G138,"")</f>
        <v/>
      </c>
      <c r="I138" s="17" t="str">
        <f>IF('Trabajos 2'!H138&lt;&gt;"",F138-F138*G138,"")</f>
        <v/>
      </c>
      <c r="J138" s="16" t="str">
        <f>IF('Trabajos 2'!H138&lt;&gt;"",H138*0.55,"")</f>
        <v/>
      </c>
      <c r="K138" s="16" t="str">
        <f>IF('Trabajos 2'!H138&lt;&gt;"",H138*0.45,"")</f>
        <v/>
      </c>
      <c r="L138" s="16" t="str">
        <f>IF('Trabajos 2'!L138="","",'Trabajos 2'!L138)</f>
        <v/>
      </c>
    </row>
    <row r="139" spans="2:12" x14ac:dyDescent="0.25">
      <c r="B139" s="52" t="str">
        <f>IF('Trabajos 2'!B139="","",'Trabajos 2'!B139)</f>
        <v/>
      </c>
      <c r="C139" s="53" t="str">
        <f>IF('Trabajos 2'!F139="","",'Trabajos 2'!F139)</f>
        <v/>
      </c>
      <c r="D139" s="54" t="str">
        <f>IF('Trabajos 2'!D139="","",'Trabajos 2'!D139)</f>
        <v/>
      </c>
      <c r="E139" s="17" t="str">
        <f>IF('Trabajos 2'!J139="","",'Trabajos 2'!J139)</f>
        <v/>
      </c>
      <c r="F139" s="17" t="str">
        <f>IF('Trabajos 2'!O139="","",'Trabajos 2'!O139)</f>
        <v/>
      </c>
      <c r="G139" s="7"/>
      <c r="H139" s="17" t="str">
        <f>IF('Trabajos 2'!H139&lt;&gt;"",E139-E139*G139,"")</f>
        <v/>
      </c>
      <c r="I139" s="17" t="str">
        <f>IF('Trabajos 2'!H139&lt;&gt;"",F139-F139*G139,"")</f>
        <v/>
      </c>
      <c r="J139" s="16" t="str">
        <f>IF('Trabajos 2'!H139&lt;&gt;"",H139*0.55,"")</f>
        <v/>
      </c>
      <c r="K139" s="16" t="str">
        <f>IF('Trabajos 2'!H139&lt;&gt;"",H139*0.45,"")</f>
        <v/>
      </c>
      <c r="L139" s="16" t="str">
        <f>IF('Trabajos 2'!L139="","",'Trabajos 2'!L139)</f>
        <v/>
      </c>
    </row>
    <row r="140" spans="2:12" x14ac:dyDescent="0.25">
      <c r="B140" s="52" t="str">
        <f>IF('Trabajos 2'!B140="","",'Trabajos 2'!B140)</f>
        <v/>
      </c>
      <c r="C140" s="53" t="str">
        <f>IF('Trabajos 2'!F140="","",'Trabajos 2'!F140)</f>
        <v/>
      </c>
      <c r="D140" s="54" t="str">
        <f>IF('Trabajos 2'!D140="","",'Trabajos 2'!D140)</f>
        <v/>
      </c>
      <c r="E140" s="17" t="str">
        <f>IF('Trabajos 2'!J140="","",'Trabajos 2'!J140)</f>
        <v/>
      </c>
      <c r="F140" s="17" t="str">
        <f>IF('Trabajos 2'!O140="","",'Trabajos 2'!O140)</f>
        <v/>
      </c>
      <c r="G140" s="7"/>
      <c r="H140" s="17" t="str">
        <f>IF('Trabajos 2'!H140&lt;&gt;"",E140-E140*G140,"")</f>
        <v/>
      </c>
      <c r="I140" s="17" t="str">
        <f>IF('Trabajos 2'!H140&lt;&gt;"",F140-F140*G140,"")</f>
        <v/>
      </c>
      <c r="J140" s="16" t="str">
        <f>IF('Trabajos 2'!H140&lt;&gt;"",H140*0.55,"")</f>
        <v/>
      </c>
      <c r="K140" s="16" t="str">
        <f>IF('Trabajos 2'!H140&lt;&gt;"",H140*0.45,"")</f>
        <v/>
      </c>
      <c r="L140" s="16" t="str">
        <f>IF('Trabajos 2'!L140="","",'Trabajos 2'!L140)</f>
        <v/>
      </c>
    </row>
    <row r="141" spans="2:12" x14ac:dyDescent="0.25">
      <c r="B141" s="52" t="str">
        <f>IF('Trabajos 2'!B141="","",'Trabajos 2'!B141)</f>
        <v/>
      </c>
      <c r="C141" s="53" t="str">
        <f>IF('Trabajos 2'!F141="","",'Trabajos 2'!F141)</f>
        <v/>
      </c>
      <c r="D141" s="54" t="str">
        <f>IF('Trabajos 2'!D141="","",'Trabajos 2'!D141)</f>
        <v/>
      </c>
      <c r="E141" s="17" t="str">
        <f>IF('Trabajos 2'!J141="","",'Trabajos 2'!J141)</f>
        <v/>
      </c>
      <c r="F141" s="17" t="str">
        <f>IF('Trabajos 2'!O141="","",'Trabajos 2'!O141)</f>
        <v/>
      </c>
      <c r="G141" s="7"/>
      <c r="H141" s="17" t="str">
        <f>IF('Trabajos 2'!H141&lt;&gt;"",E141-E141*G141,"")</f>
        <v/>
      </c>
      <c r="I141" s="17" t="str">
        <f>IF('Trabajos 2'!H141&lt;&gt;"",F141-F141*G141,"")</f>
        <v/>
      </c>
      <c r="J141" s="16" t="str">
        <f>IF('Trabajos 2'!H141&lt;&gt;"",H141*0.55,"")</f>
        <v/>
      </c>
      <c r="K141" s="16" t="str">
        <f>IF('Trabajos 2'!H141&lt;&gt;"",H141*0.45,"")</f>
        <v/>
      </c>
      <c r="L141" s="16" t="str">
        <f>IF('Trabajos 2'!L141="","",'Trabajos 2'!L141)</f>
        <v/>
      </c>
    </row>
    <row r="142" spans="2:12" x14ac:dyDescent="0.25">
      <c r="B142" s="52" t="str">
        <f>IF('Trabajos 2'!B142="","",'Trabajos 2'!B142)</f>
        <v/>
      </c>
      <c r="C142" s="53" t="str">
        <f>IF('Trabajos 2'!F142="","",'Trabajos 2'!F142)</f>
        <v/>
      </c>
      <c r="D142" s="54" t="str">
        <f>IF('Trabajos 2'!D142="","",'Trabajos 2'!D142)</f>
        <v/>
      </c>
      <c r="E142" s="17" t="str">
        <f>IF('Trabajos 2'!J142="","",'Trabajos 2'!J142)</f>
        <v/>
      </c>
      <c r="F142" s="17" t="str">
        <f>IF('Trabajos 2'!O142="","",'Trabajos 2'!O142)</f>
        <v/>
      </c>
      <c r="G142" s="7"/>
      <c r="H142" s="17" t="str">
        <f>IF('Trabajos 2'!H142&lt;&gt;"",E142-E142*G142,"")</f>
        <v/>
      </c>
      <c r="I142" s="17" t="str">
        <f>IF('Trabajos 2'!H142&lt;&gt;"",F142-F142*G142,"")</f>
        <v/>
      </c>
      <c r="J142" s="16" t="str">
        <f>IF('Trabajos 2'!H142&lt;&gt;"",H142*0.55,"")</f>
        <v/>
      </c>
      <c r="K142" s="16" t="str">
        <f>IF('Trabajos 2'!H142&lt;&gt;"",H142*0.45,"")</f>
        <v/>
      </c>
      <c r="L142" s="16" t="str">
        <f>IF('Trabajos 2'!L142="","",'Trabajos 2'!L142)</f>
        <v/>
      </c>
    </row>
    <row r="143" spans="2:12" x14ac:dyDescent="0.25">
      <c r="B143" s="52" t="str">
        <f>IF('Trabajos 2'!B143="","",'Trabajos 2'!B143)</f>
        <v/>
      </c>
      <c r="C143" s="53" t="str">
        <f>IF('Trabajos 2'!F143="","",'Trabajos 2'!F143)</f>
        <v/>
      </c>
      <c r="D143" s="54" t="str">
        <f>IF('Trabajos 2'!D143="","",'Trabajos 2'!D143)</f>
        <v/>
      </c>
      <c r="E143" s="17" t="str">
        <f>IF('Trabajos 2'!J143="","",'Trabajos 2'!J143)</f>
        <v/>
      </c>
      <c r="F143" s="17" t="str">
        <f>IF('Trabajos 2'!O143="","",'Trabajos 2'!O143)</f>
        <v/>
      </c>
      <c r="G143" s="7"/>
      <c r="H143" s="17" t="str">
        <f>IF('Trabajos 2'!H143&lt;&gt;"",E143-E143*G143,"")</f>
        <v/>
      </c>
      <c r="I143" s="17" t="str">
        <f>IF('Trabajos 2'!H143&lt;&gt;"",F143-F143*G143,"")</f>
        <v/>
      </c>
      <c r="J143" s="16" t="str">
        <f>IF('Trabajos 2'!H143&lt;&gt;"",H143*0.55,"")</f>
        <v/>
      </c>
      <c r="K143" s="16" t="str">
        <f>IF('Trabajos 2'!H143&lt;&gt;"",H143*0.45,"")</f>
        <v/>
      </c>
      <c r="L143" s="16" t="str">
        <f>IF('Trabajos 2'!L143="","",'Trabajos 2'!L143)</f>
        <v/>
      </c>
    </row>
    <row r="144" spans="2:12" x14ac:dyDescent="0.25">
      <c r="B144" s="52" t="str">
        <f>IF('Trabajos 2'!B144="","",'Trabajos 2'!B144)</f>
        <v/>
      </c>
      <c r="C144" s="53" t="str">
        <f>IF('Trabajos 2'!F144="","",'Trabajos 2'!F144)</f>
        <v/>
      </c>
      <c r="D144" s="54" t="str">
        <f>IF('Trabajos 2'!D144="","",'Trabajos 2'!D144)</f>
        <v/>
      </c>
      <c r="E144" s="17" t="str">
        <f>IF('Trabajos 2'!J144="","",'Trabajos 2'!J144)</f>
        <v/>
      </c>
      <c r="F144" s="17" t="str">
        <f>IF('Trabajos 2'!O144="","",'Trabajos 2'!O144)</f>
        <v/>
      </c>
      <c r="G144" s="7"/>
      <c r="H144" s="17" t="str">
        <f>IF('Trabajos 2'!H144&lt;&gt;"",E144-E144*G144,"")</f>
        <v/>
      </c>
      <c r="I144" s="17" t="str">
        <f>IF('Trabajos 2'!H144&lt;&gt;"",F144-F144*G144,"")</f>
        <v/>
      </c>
      <c r="J144" s="16" t="str">
        <f>IF('Trabajos 2'!H144&lt;&gt;"",H144*0.55,"")</f>
        <v/>
      </c>
      <c r="K144" s="16" t="str">
        <f>IF('Trabajos 2'!H144&lt;&gt;"",H144*0.45,"")</f>
        <v/>
      </c>
      <c r="L144" s="16" t="str">
        <f>IF('Trabajos 2'!L144="","",'Trabajos 2'!L144)</f>
        <v/>
      </c>
    </row>
    <row r="145" spans="2:12" x14ac:dyDescent="0.25">
      <c r="B145" s="52" t="str">
        <f>IF('Trabajos 2'!B145="","",'Trabajos 2'!B145)</f>
        <v/>
      </c>
      <c r="C145" s="53" t="str">
        <f>IF('Trabajos 2'!F145="","",'Trabajos 2'!F145)</f>
        <v/>
      </c>
      <c r="D145" s="54" t="str">
        <f>IF('Trabajos 2'!D145="","",'Trabajos 2'!D145)</f>
        <v/>
      </c>
      <c r="E145" s="17" t="str">
        <f>IF('Trabajos 2'!J145="","",'Trabajos 2'!J145)</f>
        <v/>
      </c>
      <c r="F145" s="17" t="str">
        <f>IF('Trabajos 2'!O145="","",'Trabajos 2'!O145)</f>
        <v/>
      </c>
      <c r="G145" s="7"/>
      <c r="H145" s="17" t="str">
        <f>IF('Trabajos 2'!H145&lt;&gt;"",E145-E145*G145,"")</f>
        <v/>
      </c>
      <c r="I145" s="17" t="str">
        <f>IF('Trabajos 2'!H145&lt;&gt;"",F145-F145*G145,"")</f>
        <v/>
      </c>
      <c r="J145" s="16" t="str">
        <f>IF('Trabajos 2'!H145&lt;&gt;"",H145*0.55,"")</f>
        <v/>
      </c>
      <c r="K145" s="16" t="str">
        <f>IF('Trabajos 2'!H145&lt;&gt;"",H145*0.45,"")</f>
        <v/>
      </c>
      <c r="L145" s="16" t="str">
        <f>IF('Trabajos 2'!L145="","",'Trabajos 2'!L145)</f>
        <v/>
      </c>
    </row>
    <row r="146" spans="2:12" x14ac:dyDescent="0.25">
      <c r="B146" s="52" t="str">
        <f>IF('Trabajos 2'!B146="","",'Trabajos 2'!B146)</f>
        <v/>
      </c>
      <c r="C146" s="53" t="str">
        <f>IF('Trabajos 2'!F146="","",'Trabajos 2'!F146)</f>
        <v/>
      </c>
      <c r="D146" s="54" t="str">
        <f>IF('Trabajos 2'!D146="","",'Trabajos 2'!D146)</f>
        <v/>
      </c>
      <c r="E146" s="17" t="str">
        <f>IF('Trabajos 2'!J146="","",'Trabajos 2'!J146)</f>
        <v/>
      </c>
      <c r="F146" s="17" t="str">
        <f>IF('Trabajos 2'!O146="","",'Trabajos 2'!O146)</f>
        <v/>
      </c>
      <c r="G146" s="7"/>
      <c r="H146" s="17" t="str">
        <f>IF('Trabajos 2'!H146&lt;&gt;"",E146-E146*G146,"")</f>
        <v/>
      </c>
      <c r="I146" s="17" t="str">
        <f>IF('Trabajos 2'!H146&lt;&gt;"",F146-F146*G146,"")</f>
        <v/>
      </c>
      <c r="J146" s="16" t="str">
        <f>IF('Trabajos 2'!H146&lt;&gt;"",H146*0.55,"")</f>
        <v/>
      </c>
      <c r="K146" s="16" t="str">
        <f>IF('Trabajos 2'!H146&lt;&gt;"",H146*0.45,"")</f>
        <v/>
      </c>
      <c r="L146" s="16" t="str">
        <f>IF('Trabajos 2'!L146="","",'Trabajos 2'!L146)</f>
        <v/>
      </c>
    </row>
    <row r="147" spans="2:12" x14ac:dyDescent="0.25">
      <c r="B147" s="52" t="str">
        <f>IF('Trabajos 2'!B147="","",'Trabajos 2'!B147)</f>
        <v/>
      </c>
      <c r="C147" s="53" t="str">
        <f>IF('Trabajos 2'!F147="","",'Trabajos 2'!F147)</f>
        <v/>
      </c>
      <c r="D147" s="54" t="str">
        <f>IF('Trabajos 2'!D147="","",'Trabajos 2'!D147)</f>
        <v/>
      </c>
      <c r="E147" s="17" t="str">
        <f>IF('Trabajos 2'!J147="","",'Trabajos 2'!J147)</f>
        <v/>
      </c>
      <c r="F147" s="17" t="str">
        <f>IF('Trabajos 2'!O147="","",'Trabajos 2'!O147)</f>
        <v/>
      </c>
      <c r="G147" s="7"/>
      <c r="H147" s="17" t="str">
        <f>IF('Trabajos 2'!H147&lt;&gt;"",E147-E147*G147,"")</f>
        <v/>
      </c>
      <c r="I147" s="17" t="str">
        <f>IF('Trabajos 2'!H147&lt;&gt;"",F147-F147*G147,"")</f>
        <v/>
      </c>
      <c r="J147" s="16" t="str">
        <f>IF('Trabajos 2'!H147&lt;&gt;"",H147*0.55,"")</f>
        <v/>
      </c>
      <c r="K147" s="16" t="str">
        <f>IF('Trabajos 2'!H147&lt;&gt;"",H147*0.45,"")</f>
        <v/>
      </c>
      <c r="L147" s="16" t="str">
        <f>IF('Trabajos 2'!L147="","",'Trabajos 2'!L147)</f>
        <v/>
      </c>
    </row>
    <row r="148" spans="2:12" x14ac:dyDescent="0.25">
      <c r="B148" s="52" t="str">
        <f>IF('Trabajos 2'!B148="","",'Trabajos 2'!B148)</f>
        <v/>
      </c>
      <c r="C148" s="53" t="str">
        <f>IF('Trabajos 2'!F148="","",'Trabajos 2'!F148)</f>
        <v/>
      </c>
      <c r="D148" s="54" t="str">
        <f>IF('Trabajos 2'!D148="","",'Trabajos 2'!D148)</f>
        <v/>
      </c>
      <c r="E148" s="17" t="str">
        <f>IF('Trabajos 2'!J148="","",'Trabajos 2'!J148)</f>
        <v/>
      </c>
      <c r="F148" s="17" t="str">
        <f>IF('Trabajos 2'!O148="","",'Trabajos 2'!O148)</f>
        <v/>
      </c>
      <c r="G148" s="7"/>
      <c r="H148" s="17" t="str">
        <f>IF('Trabajos 2'!H148&lt;&gt;"",E148-E148*G148,"")</f>
        <v/>
      </c>
      <c r="I148" s="17" t="str">
        <f>IF('Trabajos 2'!H148&lt;&gt;"",F148-F148*G148,"")</f>
        <v/>
      </c>
      <c r="J148" s="16" t="str">
        <f>IF('Trabajos 2'!H148&lt;&gt;"",H148*0.55,"")</f>
        <v/>
      </c>
      <c r="K148" s="16" t="str">
        <f>IF('Trabajos 2'!H148&lt;&gt;"",H148*0.45,"")</f>
        <v/>
      </c>
      <c r="L148" s="16" t="str">
        <f>IF('Trabajos 2'!L148="","",'Trabajos 2'!L148)</f>
        <v/>
      </c>
    </row>
    <row r="149" spans="2:12" x14ac:dyDescent="0.25">
      <c r="B149" s="52" t="str">
        <f>IF('Trabajos 2'!B149="","",'Trabajos 2'!B149)</f>
        <v/>
      </c>
      <c r="C149" s="53" t="str">
        <f>IF('Trabajos 2'!F149="","",'Trabajos 2'!F149)</f>
        <v/>
      </c>
      <c r="D149" s="54" t="str">
        <f>IF('Trabajos 2'!D149="","",'Trabajos 2'!D149)</f>
        <v/>
      </c>
      <c r="E149" s="17" t="str">
        <f>IF('Trabajos 2'!J149="","",'Trabajos 2'!J149)</f>
        <v/>
      </c>
      <c r="F149" s="17" t="str">
        <f>IF('Trabajos 2'!O149="","",'Trabajos 2'!O149)</f>
        <v/>
      </c>
      <c r="G149" s="7"/>
      <c r="H149" s="17" t="str">
        <f>IF('Trabajos 2'!H149&lt;&gt;"",E149-E149*G149,"")</f>
        <v/>
      </c>
      <c r="I149" s="17" t="str">
        <f>IF('Trabajos 2'!H149&lt;&gt;"",F149-F149*G149,"")</f>
        <v/>
      </c>
      <c r="J149" s="16" t="str">
        <f>IF('Trabajos 2'!H149&lt;&gt;"",H149*0.55,"")</f>
        <v/>
      </c>
      <c r="K149" s="16" t="str">
        <f>IF('Trabajos 2'!H149&lt;&gt;"",H149*0.45,"")</f>
        <v/>
      </c>
      <c r="L149" s="16" t="str">
        <f>IF('Trabajos 2'!L149="","",'Trabajos 2'!L149)</f>
        <v/>
      </c>
    </row>
    <row r="150" spans="2:12" x14ac:dyDescent="0.25">
      <c r="B150" s="52" t="str">
        <f>IF('Trabajos 2'!B150="","",'Trabajos 2'!B150)</f>
        <v/>
      </c>
      <c r="C150" s="53" t="str">
        <f>IF('Trabajos 2'!F150="","",'Trabajos 2'!F150)</f>
        <v/>
      </c>
      <c r="D150" s="54" t="str">
        <f>IF('Trabajos 2'!D150="","",'Trabajos 2'!D150)</f>
        <v/>
      </c>
      <c r="E150" s="17" t="str">
        <f>IF('Trabajos 2'!J150="","",'Trabajos 2'!J150)</f>
        <v/>
      </c>
      <c r="F150" s="17" t="str">
        <f>IF('Trabajos 2'!O150="","",'Trabajos 2'!O150)</f>
        <v/>
      </c>
      <c r="G150" s="7"/>
      <c r="H150" s="17" t="str">
        <f>IF('Trabajos 2'!H150&lt;&gt;"",E150-E150*G150,"")</f>
        <v/>
      </c>
      <c r="I150" s="17" t="str">
        <f>IF('Trabajos 2'!H150&lt;&gt;"",F150-F150*G150,"")</f>
        <v/>
      </c>
      <c r="J150" s="16" t="str">
        <f>IF('Trabajos 2'!H150&lt;&gt;"",H150*0.55,"")</f>
        <v/>
      </c>
      <c r="K150" s="16" t="str">
        <f>IF('Trabajos 2'!H150&lt;&gt;"",H150*0.45,"")</f>
        <v/>
      </c>
      <c r="L150" s="16" t="str">
        <f>IF('Trabajos 2'!L150="","",'Trabajos 2'!L150)</f>
        <v/>
      </c>
    </row>
    <row r="151" spans="2:12" x14ac:dyDescent="0.25">
      <c r="B151" s="52" t="str">
        <f>IF('Trabajos 2'!B151="","",'Trabajos 2'!B151)</f>
        <v/>
      </c>
      <c r="C151" s="53" t="str">
        <f>IF('Trabajos 2'!F151="","",'Trabajos 2'!F151)</f>
        <v/>
      </c>
      <c r="D151" s="54" t="str">
        <f>IF('Trabajos 2'!D151="","",'Trabajos 2'!D151)</f>
        <v/>
      </c>
      <c r="E151" s="17" t="str">
        <f>IF('Trabajos 2'!J151="","",'Trabajos 2'!J151)</f>
        <v/>
      </c>
      <c r="F151" s="17" t="str">
        <f>IF('Trabajos 2'!O151="","",'Trabajos 2'!O151)</f>
        <v/>
      </c>
      <c r="G151" s="7"/>
      <c r="H151" s="17" t="str">
        <f>IF('Trabajos 2'!H151&lt;&gt;"",E151-E151*G151,"")</f>
        <v/>
      </c>
      <c r="I151" s="17" t="str">
        <f>IF('Trabajos 2'!H151&lt;&gt;"",F151-F151*G151,"")</f>
        <v/>
      </c>
      <c r="J151" s="16" t="str">
        <f>IF('Trabajos 2'!H151&lt;&gt;"",H151*0.55,"")</f>
        <v/>
      </c>
      <c r="K151" s="16" t="str">
        <f>IF('Trabajos 2'!H151&lt;&gt;"",H151*0.45,"")</f>
        <v/>
      </c>
      <c r="L151" s="16" t="str">
        <f>IF('Trabajos 2'!L151="","",'Trabajos 2'!L151)</f>
        <v/>
      </c>
    </row>
    <row r="152" spans="2:12" x14ac:dyDescent="0.25">
      <c r="B152" s="52" t="str">
        <f>IF('Trabajos 2'!B152="","",'Trabajos 2'!B152)</f>
        <v/>
      </c>
      <c r="C152" s="53" t="str">
        <f>IF('Trabajos 2'!F152="","",'Trabajos 2'!F152)</f>
        <v/>
      </c>
      <c r="D152" s="54" t="str">
        <f>IF('Trabajos 2'!D152="","",'Trabajos 2'!D152)</f>
        <v/>
      </c>
      <c r="E152" s="17" t="str">
        <f>IF('Trabajos 2'!J152="","",'Trabajos 2'!J152)</f>
        <v/>
      </c>
      <c r="F152" s="17" t="str">
        <f>IF('Trabajos 2'!O152="","",'Trabajos 2'!O152)</f>
        <v/>
      </c>
      <c r="G152" s="7"/>
      <c r="H152" s="17" t="str">
        <f>IF('Trabajos 2'!H152&lt;&gt;"",E152-E152*G152,"")</f>
        <v/>
      </c>
      <c r="I152" s="17" t="str">
        <f>IF('Trabajos 2'!H152&lt;&gt;"",F152-F152*G152,"")</f>
        <v/>
      </c>
      <c r="J152" s="16" t="str">
        <f>IF('Trabajos 2'!H152&lt;&gt;"",H152*0.55,"")</f>
        <v/>
      </c>
      <c r="K152" s="16" t="str">
        <f>IF('Trabajos 2'!H152&lt;&gt;"",H152*0.45,"")</f>
        <v/>
      </c>
      <c r="L152" s="16" t="str">
        <f>IF('Trabajos 2'!L152="","",'Trabajos 2'!L152)</f>
        <v/>
      </c>
    </row>
    <row r="153" spans="2:12" x14ac:dyDescent="0.25">
      <c r="B153" s="52" t="str">
        <f>IF('Trabajos 2'!B153="","",'Trabajos 2'!B153)</f>
        <v/>
      </c>
      <c r="C153" s="53" t="str">
        <f>IF('Trabajos 2'!F153="","",'Trabajos 2'!F153)</f>
        <v/>
      </c>
      <c r="D153" s="54" t="str">
        <f>IF('Trabajos 2'!D153="","",'Trabajos 2'!D153)</f>
        <v/>
      </c>
      <c r="E153" s="17" t="str">
        <f>IF('Trabajos 2'!J153="","",'Trabajos 2'!J153)</f>
        <v/>
      </c>
      <c r="F153" s="17" t="str">
        <f>IF('Trabajos 2'!O153="","",'Trabajos 2'!O153)</f>
        <v/>
      </c>
      <c r="G153" s="7"/>
      <c r="H153" s="17" t="str">
        <f>IF('Trabajos 2'!H153&lt;&gt;"",E153-E153*G153,"")</f>
        <v/>
      </c>
      <c r="I153" s="17" t="str">
        <f>IF('Trabajos 2'!H153&lt;&gt;"",F153-F153*G153,"")</f>
        <v/>
      </c>
      <c r="J153" s="16" t="str">
        <f>IF('Trabajos 2'!H153&lt;&gt;"",H153*0.55,"")</f>
        <v/>
      </c>
      <c r="K153" s="16" t="str">
        <f>IF('Trabajos 2'!H153&lt;&gt;"",H153*0.45,"")</f>
        <v/>
      </c>
      <c r="L153" s="16" t="str">
        <f>IF('Trabajos 2'!L153="","",'Trabajos 2'!L153)</f>
        <v/>
      </c>
    </row>
    <row r="154" spans="2:12" x14ac:dyDescent="0.25">
      <c r="B154" s="57" t="s">
        <v>9</v>
      </c>
      <c r="C154" s="58"/>
      <c r="D154" s="58"/>
      <c r="E154" s="59">
        <f>SUM(E5:E153)</f>
        <v>12789680</v>
      </c>
      <c r="F154" s="59">
        <f>SUM(F5:F153)</f>
        <v>13647563.449999999</v>
      </c>
      <c r="G154" s="60"/>
      <c r="H154" s="59">
        <f>SUM(H5:H153)</f>
        <v>12789680</v>
      </c>
      <c r="I154" s="59">
        <f>SUM(I5:I153)</f>
        <v>13647563.449999999</v>
      </c>
      <c r="J154" s="61">
        <f>SUM(J5:J153)</f>
        <v>7034324</v>
      </c>
      <c r="K154" s="61">
        <f>SUM(K5:K153)</f>
        <v>5755356</v>
      </c>
      <c r="L154" s="5"/>
    </row>
  </sheetData>
  <autoFilter ref="B4:Q154" xr:uid="{00000000-0009-0000-0000-000009000000}"/>
  <mergeCells count="4">
    <mergeCell ref="B2:C2"/>
    <mergeCell ref="H3:I3"/>
    <mergeCell ref="J3:L3"/>
    <mergeCell ref="O3:Q3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06"/>
  <sheetViews>
    <sheetView showGridLines="0" workbookViewId="0">
      <selection activeCell="A4" sqref="A4"/>
    </sheetView>
  </sheetViews>
  <sheetFormatPr baseColWidth="10" defaultRowHeight="15" x14ac:dyDescent="0.25"/>
  <cols>
    <col min="1" max="1" width="7.140625" customWidth="1"/>
    <col min="3" max="3" width="30.5703125" bestFit="1" customWidth="1"/>
    <col min="4" max="4" width="21.28515625" bestFit="1" customWidth="1"/>
    <col min="5" max="5" width="27" bestFit="1" customWidth="1"/>
    <col min="8" max="8" width="14.140625" bestFit="1" customWidth="1"/>
    <col min="11" max="11" width="13" bestFit="1" customWidth="1"/>
    <col min="12" max="12" width="16.28515625" bestFit="1" customWidth="1"/>
  </cols>
  <sheetData>
    <row r="1" spans="1:12" ht="3" customHeigh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6.25" x14ac:dyDescent="0.4">
      <c r="B2" s="35" t="s">
        <v>84</v>
      </c>
      <c r="C2" s="35"/>
      <c r="D2" t="s">
        <v>4</v>
      </c>
      <c r="E2" t="s">
        <v>4</v>
      </c>
    </row>
    <row r="4" spans="1:12" x14ac:dyDescent="0.25">
      <c r="B4" s="72" t="s">
        <v>0</v>
      </c>
      <c r="C4" s="72" t="s">
        <v>6</v>
      </c>
      <c r="D4" s="72" t="s">
        <v>27</v>
      </c>
      <c r="E4" s="72" t="s">
        <v>62</v>
      </c>
      <c r="F4" s="104" t="s">
        <v>41</v>
      </c>
      <c r="G4" s="104" t="s">
        <v>63</v>
      </c>
      <c r="H4" s="104" t="s">
        <v>5</v>
      </c>
      <c r="I4" s="47" t="s">
        <v>1</v>
      </c>
      <c r="J4" s="105" t="s">
        <v>63</v>
      </c>
      <c r="K4" s="104" t="s">
        <v>5</v>
      </c>
      <c r="L4" s="104" t="s">
        <v>3</v>
      </c>
    </row>
    <row r="5" spans="1:12" x14ac:dyDescent="0.25">
      <c r="B5" s="106">
        <f>IF(Trabajos!B5="","",Trabajos!B5)</f>
        <v>45909</v>
      </c>
      <c r="C5" s="70" t="str">
        <f>IF(Trabajos!F5="","",Trabajos!F5)</f>
        <v>Espartina S.A.</v>
      </c>
      <c r="D5" s="70" t="str">
        <f>IF(Trabajos!D5="","",Trabajos!D5)</f>
        <v>Muestreo de suelos</v>
      </c>
      <c r="E5" s="70" t="str">
        <f>IF(Trabajos!G5="","",Trabajos!G5)</f>
        <v>El Casalito</v>
      </c>
      <c r="F5" s="108">
        <f>IF(Trabajos!H5="","",Trabajos!H5)</f>
        <v>80</v>
      </c>
      <c r="G5" s="84">
        <f>IF(Trabajos!I5="","",Trabajos!I5)</f>
        <v>947.70673076900005</v>
      </c>
      <c r="H5" s="84">
        <f>IF(Trabajos!J5="","",Trabajos!J5)</f>
        <v>75816.538461520002</v>
      </c>
      <c r="I5" s="107">
        <f>IF(Trabajos!M5="","",Trabajos!M5)</f>
        <v>0</v>
      </c>
      <c r="J5" s="84">
        <f>IF(Trabajos!N5="","",Trabajos!N5)</f>
        <v>576.1</v>
      </c>
      <c r="K5" s="84">
        <f>IF(Trabajos!O5="","",Trabajos!O5)</f>
        <v>0</v>
      </c>
      <c r="L5" s="84">
        <f>IF(Trabajos!P5="","",Trabajos!P5)</f>
        <v>75816.538461520002</v>
      </c>
    </row>
    <row r="6" spans="1:12" x14ac:dyDescent="0.25">
      <c r="B6" s="106">
        <f>IF(Trabajos!B6="","",Trabajos!B6)</f>
        <v>45909</v>
      </c>
      <c r="C6" s="70" t="str">
        <f>IF(Trabajos!F6="","",Trabajos!F6)</f>
        <v>Espartina S.A.</v>
      </c>
      <c r="D6" s="70" t="str">
        <f>IF(Trabajos!D6="","",Trabajos!D6)</f>
        <v>Muestreo de suelos</v>
      </c>
      <c r="E6" s="70" t="str">
        <f>IF(Trabajos!G6="","",Trabajos!G6)</f>
        <v>Las Bagualas</v>
      </c>
      <c r="F6" s="108">
        <f>IF(Trabajos!H6="","",Trabajos!H6)</f>
        <v>80</v>
      </c>
      <c r="G6" s="84">
        <f>IF(Trabajos!I6="","",Trabajos!I6)</f>
        <v>947.70673076900005</v>
      </c>
      <c r="H6" s="84">
        <f>IF(Trabajos!J6="","",Trabajos!J6)</f>
        <v>75816.538461520002</v>
      </c>
      <c r="I6" s="107">
        <f>IF(Trabajos!M6="","",Trabajos!M6)</f>
        <v>0</v>
      </c>
      <c r="J6" s="84">
        <f>IF(Trabajos!N6="","",Trabajos!N6)</f>
        <v>576.1</v>
      </c>
      <c r="K6" s="84">
        <f>IF(Trabajos!O6="","",Trabajos!O6)</f>
        <v>0</v>
      </c>
      <c r="L6" s="84">
        <f>IF(Trabajos!P6="","",Trabajos!P6)</f>
        <v>75816.538461520002</v>
      </c>
    </row>
    <row r="7" spans="1:12" x14ac:dyDescent="0.25">
      <c r="B7" s="106">
        <f>IF(Trabajos!B7="","",Trabajos!B7)</f>
        <v>45909</v>
      </c>
      <c r="C7" s="70" t="str">
        <f>IF(Trabajos!F7="","",Trabajos!F7)</f>
        <v>Espartina S.A.</v>
      </c>
      <c r="D7" s="70" t="str">
        <f>IF(Trabajos!D7="","",Trabajos!D7)</f>
        <v>Muestreo de suelos</v>
      </c>
      <c r="E7" s="70" t="str">
        <f>IF(Trabajos!G7="","",Trabajos!G7)</f>
        <v>San Marcos</v>
      </c>
      <c r="F7" s="108">
        <f>IF(Trabajos!H7="","",Trabajos!H7)</f>
        <v>80</v>
      </c>
      <c r="G7" s="84">
        <f>IF(Trabajos!I7="","",Trabajos!I7)</f>
        <v>947.70673076900005</v>
      </c>
      <c r="H7" s="84">
        <f>IF(Trabajos!J7="","",Trabajos!J7)</f>
        <v>75816.538461520002</v>
      </c>
      <c r="I7" s="107">
        <f>IF(Trabajos!M7="","",Trabajos!M7)</f>
        <v>0</v>
      </c>
      <c r="J7" s="84">
        <f>IF(Trabajos!N7="","",Trabajos!N7)</f>
        <v>576.1</v>
      </c>
      <c r="K7" s="84">
        <f>IF(Trabajos!O7="","",Trabajos!O7)</f>
        <v>0</v>
      </c>
      <c r="L7" s="84">
        <f>IF(Trabajos!P7="","",Trabajos!P7)</f>
        <v>75816.538461520002</v>
      </c>
    </row>
    <row r="8" spans="1:12" x14ac:dyDescent="0.25">
      <c r="A8" t="s">
        <v>4</v>
      </c>
      <c r="B8" s="106">
        <f>IF(Trabajos!B8="","",Trabajos!B8)</f>
        <v>45909</v>
      </c>
      <c r="C8" s="70" t="str">
        <f>IF(Trabajos!F8="","",Trabajos!F8)</f>
        <v>Espartina S.A.</v>
      </c>
      <c r="D8" s="70" t="str">
        <f>IF(Trabajos!D8="","",Trabajos!D8)</f>
        <v>Muestreo de suelos</v>
      </c>
      <c r="E8" s="70" t="str">
        <f>IF(Trabajos!G8="","",Trabajos!G8)</f>
        <v>Los Tulipanes</v>
      </c>
      <c r="F8" s="108">
        <f>IF(Trabajos!H8="","",Trabajos!H8)</f>
        <v>80</v>
      </c>
      <c r="G8" s="84">
        <f>IF(Trabajos!I8="","",Trabajos!I8)</f>
        <v>947.70673076900005</v>
      </c>
      <c r="H8" s="84">
        <f>IF(Trabajos!J8="","",Trabajos!J8)</f>
        <v>75816.538461520002</v>
      </c>
      <c r="I8" s="107">
        <f>IF(Trabajos!M8="","",Trabajos!M8)</f>
        <v>184</v>
      </c>
      <c r="J8" s="84">
        <f>IF(Trabajos!N8="","",Trabajos!N8)</f>
        <v>576.1</v>
      </c>
      <c r="K8" s="84">
        <f>IF(Trabajos!O8="","",Trabajos!O8)</f>
        <v>106002.40000000001</v>
      </c>
      <c r="L8" s="84">
        <f>IF(Trabajos!P8="","",Trabajos!P8)</f>
        <v>181818.93846152001</v>
      </c>
    </row>
    <row r="9" spans="1:12" x14ac:dyDescent="0.25">
      <c r="B9" s="106">
        <f>IF(Trabajos!B9="","",Trabajos!B9)</f>
        <v>45911</v>
      </c>
      <c r="C9" s="70" t="str">
        <f>IF(Trabajos!F9="","",Trabajos!F9)</f>
        <v>Espartina S.A.</v>
      </c>
      <c r="D9" s="70" t="str">
        <f>IF(Trabajos!D9="","",Trabajos!D9)</f>
        <v>Muestreo de suelos</v>
      </c>
      <c r="E9" s="70" t="str">
        <f>IF(Trabajos!G9="","",Trabajos!G9)</f>
        <v>La Paz</v>
      </c>
      <c r="F9" s="108">
        <f>IF(Trabajos!H9="","",Trabajos!H9)</f>
        <v>80</v>
      </c>
      <c r="G9" s="84">
        <f>IF(Trabajos!I9="","",Trabajos!I9)</f>
        <v>947.70673076900005</v>
      </c>
      <c r="H9" s="84">
        <f>IF(Trabajos!J9="","",Trabajos!J9)</f>
        <v>75816.538461520002</v>
      </c>
      <c r="I9" s="107">
        <f>IF(Trabajos!M9="","",Trabajos!M9)</f>
        <v>270</v>
      </c>
      <c r="J9" s="84">
        <f>IF(Trabajos!N9="","",Trabajos!N9)</f>
        <v>576.1</v>
      </c>
      <c r="K9" s="84">
        <f>IF(Trabajos!O9="","",Trabajos!O9)</f>
        <v>155547</v>
      </c>
      <c r="L9" s="84">
        <f>IF(Trabajos!P9="","",Trabajos!P9)</f>
        <v>231363.53846151999</v>
      </c>
    </row>
    <row r="10" spans="1:12" x14ac:dyDescent="0.25">
      <c r="B10" s="106">
        <f>IF(Trabajos!B10="","",Trabajos!B10)</f>
        <v>45911</v>
      </c>
      <c r="C10" s="70" t="str">
        <f>IF(Trabajos!F10="","",Trabajos!F10)</f>
        <v>Espartina S.A.</v>
      </c>
      <c r="D10" s="70" t="str">
        <f>IF(Trabajos!D10="","",Trabajos!D10)</f>
        <v>Muestreo de suelos</v>
      </c>
      <c r="E10" s="70" t="str">
        <f>IF(Trabajos!G10="","",Trabajos!G10)</f>
        <v>Bella Vista</v>
      </c>
      <c r="F10" s="108">
        <f>IF(Trabajos!H10="","",Trabajos!H10)</f>
        <v>80</v>
      </c>
      <c r="G10" s="84">
        <f>IF(Trabajos!I10="","",Trabajos!I10)</f>
        <v>947.70673076900005</v>
      </c>
      <c r="H10" s="84">
        <f>IF(Trabajos!J10="","",Trabajos!J10)</f>
        <v>75816.538461520002</v>
      </c>
      <c r="I10" s="107">
        <f>IF(Trabajos!M10="","",Trabajos!M10)</f>
        <v>0</v>
      </c>
      <c r="J10" s="84">
        <f>IF(Trabajos!N10="","",Trabajos!N10)</f>
        <v>576.1</v>
      </c>
      <c r="K10" s="84">
        <f>IF(Trabajos!O10="","",Trabajos!O10)</f>
        <v>0</v>
      </c>
      <c r="L10" s="84">
        <f>IF(Trabajos!P10="","",Trabajos!P10)</f>
        <v>75816.538461520002</v>
      </c>
    </row>
    <row r="11" spans="1:12" x14ac:dyDescent="0.25">
      <c r="B11" s="106">
        <f>IF(Trabajos!B11="","",Trabajos!B11)</f>
        <v>45912</v>
      </c>
      <c r="C11" s="70" t="str">
        <f>IF(Trabajos!F11="","",Trabajos!F11)</f>
        <v>Martin Juarez</v>
      </c>
      <c r="D11" s="70" t="str">
        <f>IF(Trabajos!D11="","",Trabajos!D11)</f>
        <v>Mapeo Dron</v>
      </c>
      <c r="E11" s="70" t="str">
        <f>IF(Trabajos!G11="","",Trabajos!G11)</f>
        <v>La Juana</v>
      </c>
      <c r="F11" s="108">
        <f>IF(Trabajos!H11="","",Trabajos!H11)</f>
        <v>50</v>
      </c>
      <c r="G11" s="84">
        <f>IF(Trabajos!I11="","",Trabajos!I11)</f>
        <v>7625.8</v>
      </c>
      <c r="H11" s="84">
        <f>IF(Trabajos!J11="","",Trabajos!J11)</f>
        <v>381290</v>
      </c>
      <c r="I11" s="107">
        <f>IF(Trabajos!M11="","",Trabajos!M11)</f>
        <v>0</v>
      </c>
      <c r="J11" s="84">
        <f>IF(Trabajos!N11="","",Trabajos!N11)</f>
        <v>650</v>
      </c>
      <c r="K11" s="84">
        <f>IF(Trabajos!O11="","",Trabajos!O11)</f>
        <v>0</v>
      </c>
      <c r="L11" s="84">
        <f>IF(Trabajos!P11="","",Trabajos!P11)</f>
        <v>381290</v>
      </c>
    </row>
    <row r="12" spans="1:12" x14ac:dyDescent="0.25">
      <c r="B12" s="106">
        <f>IF(Trabajos!B12="","",Trabajos!B12)</f>
        <v>45913</v>
      </c>
      <c r="C12" s="70" t="str">
        <f>IF(Trabajos!F12="","",Trabajos!F12)</f>
        <v>Espartina S.A.</v>
      </c>
      <c r="D12" s="70" t="str">
        <f>IF(Trabajos!D12="","",Trabajos!D12)</f>
        <v>Monitoreo de bb y bab</v>
      </c>
      <c r="E12" s="70" t="str">
        <f>IF(Trabajos!G12="","",Trabajos!G12)</f>
        <v>Don Gustavo</v>
      </c>
      <c r="F12" s="108">
        <f>IF(Trabajos!H12="","",Trabajos!H12)</f>
        <v>107</v>
      </c>
      <c r="G12" s="84">
        <f>IF(Trabajos!I12="","",Trabajos!I12)</f>
        <v>3318.75</v>
      </c>
      <c r="H12" s="84">
        <f>IF(Trabajos!J12="","",Trabajos!J12)</f>
        <v>355106.25</v>
      </c>
      <c r="I12" s="107">
        <f>IF(Trabajos!M12="","",Trabajos!M12)</f>
        <v>364</v>
      </c>
      <c r="J12" s="84">
        <f>IF(Trabajos!N12="","",Trabajos!N12)</f>
        <v>576.1</v>
      </c>
      <c r="K12" s="84">
        <f>IF(Trabajos!O12="","",Trabajos!O12)</f>
        <v>209700.4</v>
      </c>
      <c r="L12" s="84">
        <f>IF(Trabajos!P12="","",Trabajos!P12)</f>
        <v>564806.65</v>
      </c>
    </row>
    <row r="13" spans="1:12" x14ac:dyDescent="0.25">
      <c r="B13" s="106">
        <f>IF(Trabajos!B13="","",Trabajos!B13)</f>
        <v>45913</v>
      </c>
      <c r="C13" s="70" t="str">
        <f>IF(Trabajos!F13="","",Trabajos!F13)</f>
        <v>Espartina S.A.</v>
      </c>
      <c r="D13" s="70" t="str">
        <f>IF(Trabajos!D13="","",Trabajos!D13)</f>
        <v>Monitoreo de bb y bab</v>
      </c>
      <c r="E13" s="70" t="str">
        <f>IF(Trabajos!G13="","",Trabajos!G13)</f>
        <v>San Luciano</v>
      </c>
      <c r="F13" s="108">
        <f>IF(Trabajos!H13="","",Trabajos!H13)</f>
        <v>173</v>
      </c>
      <c r="G13" s="84">
        <f>IF(Trabajos!I13="","",Trabajos!I13)</f>
        <v>3318.75</v>
      </c>
      <c r="H13" s="84">
        <f>IF(Trabajos!J13="","",Trabajos!J13)</f>
        <v>574143.75</v>
      </c>
      <c r="I13" s="107">
        <f>IF(Trabajos!M13="","",Trabajos!M13)</f>
        <v>340</v>
      </c>
      <c r="J13" s="84">
        <f>IF(Trabajos!N13="","",Trabajos!N13)</f>
        <v>576.1</v>
      </c>
      <c r="K13" s="84">
        <f>IF(Trabajos!O13="","",Trabajos!O13)</f>
        <v>195874</v>
      </c>
      <c r="L13" s="84">
        <f>IF(Trabajos!P13="","",Trabajos!P13)</f>
        <v>770017.75</v>
      </c>
    </row>
    <row r="14" spans="1:12" x14ac:dyDescent="0.25">
      <c r="B14" s="106">
        <f>IF(Trabajos!B14="","",Trabajos!B14)</f>
        <v>45913</v>
      </c>
      <c r="C14" s="70" t="str">
        <f>IF(Trabajos!F14="","",Trabajos!F14)</f>
        <v>Espartina S.A.</v>
      </c>
      <c r="D14" s="70" t="str">
        <f>IF(Trabajos!D14="","",Trabajos!D14)</f>
        <v>Muestreo de suelos</v>
      </c>
      <c r="E14" s="70" t="str">
        <f>IF(Trabajos!G14="","",Trabajos!G14)</f>
        <v>Don Gustavo</v>
      </c>
      <c r="F14" s="108">
        <f>IF(Trabajos!H14="","",Trabajos!H14)</f>
        <v>80</v>
      </c>
      <c r="G14" s="84">
        <f>IF(Trabajos!I14="","",Trabajos!I14)</f>
        <v>947.70673076900005</v>
      </c>
      <c r="H14" s="84">
        <f>IF(Trabajos!J14="","",Trabajos!J14)</f>
        <v>75816.538461520002</v>
      </c>
      <c r="I14" s="107">
        <f>IF(Trabajos!M14="","",Trabajos!M14)</f>
        <v>0</v>
      </c>
      <c r="J14" s="84">
        <f>IF(Trabajos!N14="","",Trabajos!N14)</f>
        <v>576.1</v>
      </c>
      <c r="K14" s="84">
        <f>IF(Trabajos!O14="","",Trabajos!O14)</f>
        <v>0</v>
      </c>
      <c r="L14" s="84">
        <f>IF(Trabajos!P14="","",Trabajos!P14)</f>
        <v>75816.538461520002</v>
      </c>
    </row>
    <row r="15" spans="1:12" x14ac:dyDescent="0.25">
      <c r="B15" s="106">
        <f>IF(Trabajos!B15="","",Trabajos!B15)</f>
        <v>45913</v>
      </c>
      <c r="C15" s="70" t="str">
        <f>IF(Trabajos!F15="","",Trabajos!F15)</f>
        <v>Espartina S.A.</v>
      </c>
      <c r="D15" s="70" t="str">
        <f>IF(Trabajos!D15="","",Trabajos!D15)</f>
        <v>Muestreo de suelos</v>
      </c>
      <c r="E15" s="70" t="str">
        <f>IF(Trabajos!G15="","",Trabajos!G15)</f>
        <v>San Luciano</v>
      </c>
      <c r="F15" s="108">
        <f>IF(Trabajos!H15="","",Trabajos!H15)</f>
        <v>80</v>
      </c>
      <c r="G15" s="84">
        <f>IF(Trabajos!I15="","",Trabajos!I15)</f>
        <v>947.70673076900005</v>
      </c>
      <c r="H15" s="84">
        <f>IF(Trabajos!J15="","",Trabajos!J15)</f>
        <v>75816.538461520002</v>
      </c>
      <c r="I15" s="107">
        <f>IF(Trabajos!M15="","",Trabajos!M15)</f>
        <v>0</v>
      </c>
      <c r="J15" s="84">
        <f>IF(Trabajos!N15="","",Trabajos!N15)</f>
        <v>576.1</v>
      </c>
      <c r="K15" s="84">
        <f>IF(Trabajos!O15="","",Trabajos!O15)</f>
        <v>0</v>
      </c>
      <c r="L15" s="84">
        <f>IF(Trabajos!P15="","",Trabajos!P15)</f>
        <v>75816.538461520002</v>
      </c>
    </row>
    <row r="16" spans="1:12" x14ac:dyDescent="0.25">
      <c r="B16" s="106">
        <f>IF(Trabajos!B16="","",Trabajos!B16)</f>
        <v>45914</v>
      </c>
      <c r="C16" s="70" t="str">
        <f>IF(Trabajos!F16="","",Trabajos!F16)</f>
        <v>Espartina S.A.</v>
      </c>
      <c r="D16" s="70" t="str">
        <f>IF(Trabajos!D16="","",Trabajos!D16)</f>
        <v>Monitoreo de bb y bab</v>
      </c>
      <c r="E16" s="70" t="str">
        <f>IF(Trabajos!G16="","",Trabajos!G16)</f>
        <v>Santa Ana Cobo</v>
      </c>
      <c r="F16" s="108">
        <f>IF(Trabajos!H16="","",Trabajos!H16)</f>
        <v>379</v>
      </c>
      <c r="G16" s="84">
        <f>IF(Trabajos!I16="","",Trabajos!I16)</f>
        <v>3318.75</v>
      </c>
      <c r="H16" s="84">
        <f>IF(Trabajos!J16="","",Trabajos!J16)</f>
        <v>1257806.25</v>
      </c>
      <c r="I16" s="107">
        <f>IF(Trabajos!M16="","",Trabajos!M16)</f>
        <v>172</v>
      </c>
      <c r="J16" s="84">
        <f>IF(Trabajos!N16="","",Trabajos!N16)</f>
        <v>576.1</v>
      </c>
      <c r="K16" s="84">
        <f>IF(Trabajos!O16="","",Trabajos!O16)</f>
        <v>99089.2</v>
      </c>
      <c r="L16" s="84">
        <f>IF(Trabajos!P16="","",Trabajos!P16)</f>
        <v>1356895.45</v>
      </c>
    </row>
    <row r="17" spans="2:16" x14ac:dyDescent="0.25">
      <c r="B17" s="106">
        <f>IF(Trabajos!B17="","",Trabajos!B17)</f>
        <v>45914</v>
      </c>
      <c r="C17" s="70" t="str">
        <f>IF(Trabajos!F17="","",Trabajos!F17)</f>
        <v>Espartina S.A.</v>
      </c>
      <c r="D17" s="70" t="str">
        <f>IF(Trabajos!D17="","",Trabajos!D17)</f>
        <v>Muestreo de suelos</v>
      </c>
      <c r="E17" s="70" t="str">
        <f>IF(Trabajos!G17="","",Trabajos!G17)</f>
        <v>Santa Ana Cobo</v>
      </c>
      <c r="F17" s="108">
        <f>IF(Trabajos!H17="","",Trabajos!H17)</f>
        <v>80</v>
      </c>
      <c r="G17" s="84">
        <f>IF(Trabajos!I17="","",Trabajos!I17)</f>
        <v>947.70673076900005</v>
      </c>
      <c r="H17" s="84">
        <f>IF(Trabajos!J17="","",Trabajos!J17)</f>
        <v>75816.538461520002</v>
      </c>
      <c r="I17" s="107">
        <f>IF(Trabajos!M17="","",Trabajos!M17)</f>
        <v>0</v>
      </c>
      <c r="J17" s="84">
        <f>IF(Trabajos!N17="","",Trabajos!N17)</f>
        <v>576.1</v>
      </c>
      <c r="K17" s="84">
        <f>IF(Trabajos!O17="","",Trabajos!O17)</f>
        <v>0</v>
      </c>
      <c r="L17" s="84">
        <f>IF(Trabajos!P17="","",Trabajos!P17)</f>
        <v>75816.538461520002</v>
      </c>
    </row>
    <row r="18" spans="2:16" x14ac:dyDescent="0.25">
      <c r="B18" s="106">
        <f>IF(Trabajos!B18="","",Trabajos!B18)</f>
        <v>45915</v>
      </c>
      <c r="C18" s="70" t="str">
        <f>IF(Trabajos!F18="","",Trabajos!F18)</f>
        <v>Espartina S.A.</v>
      </c>
      <c r="D18" s="70" t="str">
        <f>IF(Trabajos!D18="","",Trabajos!D18)</f>
        <v>Monitoreo de bb y bab</v>
      </c>
      <c r="E18" s="70" t="str">
        <f>IF(Trabajos!G18="","",Trabajos!G18)</f>
        <v>Macedo</v>
      </c>
      <c r="F18" s="108">
        <f>IF(Trabajos!H18="","",Trabajos!H18)</f>
        <v>228</v>
      </c>
      <c r="G18" s="84">
        <f>IF(Trabajos!I18="","",Trabajos!I18)</f>
        <v>3318.75</v>
      </c>
      <c r="H18" s="84">
        <f>IF(Trabajos!J18="","",Trabajos!J18)</f>
        <v>756675</v>
      </c>
      <c r="I18" s="107">
        <f>IF(Trabajos!M18="","",Trabajos!M18)</f>
        <v>328</v>
      </c>
      <c r="J18" s="84">
        <f>IF(Trabajos!N18="","",Trabajos!N18)</f>
        <v>576.1</v>
      </c>
      <c r="K18" s="84">
        <f>IF(Trabajos!O18="","",Trabajos!O18)</f>
        <v>188960.80000000002</v>
      </c>
      <c r="L18" s="84">
        <f>IF(Trabajos!P18="","",Trabajos!P18)</f>
        <v>945635.8</v>
      </c>
    </row>
    <row r="19" spans="2:16" x14ac:dyDescent="0.25">
      <c r="B19" s="106">
        <f>IF(Trabajos!B19="","",Trabajos!B19)</f>
        <v>45915</v>
      </c>
      <c r="C19" s="70" t="str">
        <f>IF(Trabajos!F19="","",Trabajos!F19)</f>
        <v>Espartina S.A.</v>
      </c>
      <c r="D19" s="70" t="str">
        <f>IF(Trabajos!D19="","",Trabajos!D19)</f>
        <v>Muestreo de suelos</v>
      </c>
      <c r="E19" s="70" t="str">
        <f>IF(Trabajos!G19="","",Trabajos!G19)</f>
        <v>Macedo</v>
      </c>
      <c r="F19" s="108">
        <f>IF(Trabajos!H19="","",Trabajos!H19)</f>
        <v>80</v>
      </c>
      <c r="G19" s="84">
        <f>IF(Trabajos!I19="","",Trabajos!I19)</f>
        <v>947.70673076900005</v>
      </c>
      <c r="H19" s="84">
        <f>IF(Trabajos!J19="","",Trabajos!J19)</f>
        <v>75816.538461520002</v>
      </c>
      <c r="I19" s="107">
        <f>IF(Trabajos!M19="","",Trabajos!M19)</f>
        <v>0</v>
      </c>
      <c r="J19" s="84">
        <f>IF(Trabajos!N19="","",Trabajos!N19)</f>
        <v>576.1</v>
      </c>
      <c r="K19" s="84">
        <f>IF(Trabajos!O19="","",Trabajos!O19)</f>
        <v>0</v>
      </c>
      <c r="L19" s="84">
        <f>IF(Trabajos!P19="","",Trabajos!P19)</f>
        <v>75816.538461520002</v>
      </c>
    </row>
    <row r="20" spans="2:16" x14ac:dyDescent="0.25">
      <c r="B20" s="106">
        <f>IF(Trabajos!B20="","",Trabajos!B20)</f>
        <v>45916</v>
      </c>
      <c r="C20" s="70" t="str">
        <f>IF(Trabajos!F20="","",Trabajos!F20)</f>
        <v>Espartina S.A.</v>
      </c>
      <c r="D20" s="70" t="str">
        <f>IF(Trabajos!D20="","",Trabajos!D20)</f>
        <v>Monitoreo de bb y bab</v>
      </c>
      <c r="E20" s="70" t="str">
        <f>IF(Trabajos!G20="","",Trabajos!G20)</f>
        <v>La Florida</v>
      </c>
      <c r="F20" s="108">
        <f>IF(Trabajos!H20="","",Trabajos!H20)</f>
        <v>169</v>
      </c>
      <c r="G20" s="84">
        <f>IF(Trabajos!I20="","",Trabajos!I20)</f>
        <v>3270.37</v>
      </c>
      <c r="H20" s="84">
        <f>IF(Trabajos!J20="","",Trabajos!J20)</f>
        <v>552692.53</v>
      </c>
      <c r="I20" s="107">
        <f>IF(Trabajos!M20="","",Trabajos!M20)</f>
        <v>370</v>
      </c>
      <c r="J20" s="84">
        <f>IF(Trabajos!N20="","",Trabajos!N20)</f>
        <v>633.85</v>
      </c>
      <c r="K20" s="84">
        <f>IF(Trabajos!O20="","",Trabajos!O20)</f>
        <v>234524.5</v>
      </c>
      <c r="L20" s="84">
        <f>IF(Trabajos!P20="","",Trabajos!P20)</f>
        <v>787217.03</v>
      </c>
    </row>
    <row r="21" spans="2:16" x14ac:dyDescent="0.25">
      <c r="B21" s="106">
        <f>IF(Trabajos!B21="","",Trabajos!B21)</f>
        <v>45916</v>
      </c>
      <c r="C21" s="70" t="str">
        <f>IF(Trabajos!F21="","",Trabajos!F21)</f>
        <v>Espartina S.A.</v>
      </c>
      <c r="D21" s="70" t="str">
        <f>IF(Trabajos!D21="","",Trabajos!D21)</f>
        <v>Muestreo de suelos</v>
      </c>
      <c r="E21" s="70" t="str">
        <f>IF(Trabajos!G21="","",Trabajos!G21)</f>
        <v>La Florida</v>
      </c>
      <c r="F21" s="108">
        <f>IF(Trabajos!H21="","",Trabajos!H21)</f>
        <v>80</v>
      </c>
      <c r="G21" s="84">
        <f>IF(Trabajos!I21="","",Trabajos!I21)</f>
        <v>947.70673076900005</v>
      </c>
      <c r="H21" s="84">
        <f>IF(Trabajos!J21="","",Trabajos!J21)</f>
        <v>75816.538461520002</v>
      </c>
      <c r="I21" s="107">
        <f>IF(Trabajos!M21="","",Trabajos!M21)</f>
        <v>0</v>
      </c>
      <c r="J21" s="84">
        <f>IF(Trabajos!N21="","",Trabajos!N21)</f>
        <v>588</v>
      </c>
      <c r="K21" s="84">
        <f>IF(Trabajos!O21="","",Trabajos!O21)</f>
        <v>0</v>
      </c>
      <c r="L21" s="84">
        <f>IF(Trabajos!P21="","",Trabajos!P21)</f>
        <v>75816.538461520002</v>
      </c>
    </row>
    <row r="22" spans="2:16" x14ac:dyDescent="0.25">
      <c r="B22" s="106">
        <f>IF(Trabajos!B22="","",Trabajos!B22)</f>
        <v>45916</v>
      </c>
      <c r="C22" s="70" t="str">
        <f>IF(Trabajos!F22="","",Trabajos!F22)</f>
        <v>Espartina S.A.</v>
      </c>
      <c r="D22" s="70" t="str">
        <f>IF(Trabajos!D22="","",Trabajos!D22)</f>
        <v>Monitoreo de bb y bab</v>
      </c>
      <c r="E22" s="70" t="str">
        <f>IF(Trabajos!G22="","",Trabajos!G22)</f>
        <v>El Basural</v>
      </c>
      <c r="F22" s="108">
        <f>IF(Trabajos!H22="","",Trabajos!H22)</f>
        <v>207</v>
      </c>
      <c r="G22" s="84">
        <f>IF(Trabajos!I22="","",Trabajos!I22)</f>
        <v>3318.75</v>
      </c>
      <c r="H22" s="84">
        <f>IF(Trabajos!J22="","",Trabajos!J22)</f>
        <v>686981.25</v>
      </c>
      <c r="I22" s="107">
        <f>IF(Trabajos!M22="","",Trabajos!M22)</f>
        <v>212</v>
      </c>
      <c r="J22" s="84">
        <f>IF(Trabajos!N22="","",Trabajos!N22)</f>
        <v>576.1</v>
      </c>
      <c r="K22" s="84">
        <f>IF(Trabajos!O22="","",Trabajos!O22)</f>
        <v>122133.20000000001</v>
      </c>
      <c r="L22" s="84">
        <f>IF(Trabajos!P22="","",Trabajos!P22)</f>
        <v>809114.45</v>
      </c>
    </row>
    <row r="23" spans="2:16" x14ac:dyDescent="0.25">
      <c r="B23" s="106">
        <f>IF(Trabajos!B23="","",Trabajos!B23)</f>
        <v>45917</v>
      </c>
      <c r="C23" s="70" t="str">
        <f>IF(Trabajos!F23="","",Trabajos!F23)</f>
        <v>Espartina S.A.</v>
      </c>
      <c r="D23" s="70" t="str">
        <f>IF(Trabajos!D23="","",Trabajos!D23)</f>
        <v>Monitoreo de bb y bab</v>
      </c>
      <c r="E23" s="70" t="str">
        <f>IF(Trabajos!G23="","",Trabajos!G23)</f>
        <v>San Narciso</v>
      </c>
      <c r="F23" s="108">
        <f>IF(Trabajos!H23="","",Trabajos!H23)</f>
        <v>282</v>
      </c>
      <c r="G23" s="84">
        <f>IF(Trabajos!I23="","",Trabajos!I23)</f>
        <v>3205.12</v>
      </c>
      <c r="H23" s="84">
        <f>IF(Trabajos!J23="","",Trabajos!J23)</f>
        <v>903843.83999999997</v>
      </c>
      <c r="I23" s="107">
        <f>IF(Trabajos!M23="","",Trabajos!M23)</f>
        <v>208</v>
      </c>
      <c r="J23" s="84">
        <f>IF(Trabajos!N23="","",Trabajos!N23)</f>
        <v>588</v>
      </c>
      <c r="K23" s="84">
        <f>IF(Trabajos!O23="","",Trabajos!O23)</f>
        <v>122304</v>
      </c>
      <c r="L23" s="84">
        <f>IF(Trabajos!P23="","",Trabajos!P23)</f>
        <v>1026147.84</v>
      </c>
      <c r="N23" t="s">
        <v>4</v>
      </c>
    </row>
    <row r="24" spans="2:16" x14ac:dyDescent="0.25">
      <c r="B24" s="106">
        <f>IF(Trabajos!B24="","",Trabajos!B24)</f>
        <v>45917</v>
      </c>
      <c r="C24" s="70" t="str">
        <f>IF(Trabajos!F24="","",Trabajos!F24)</f>
        <v>Espartina S.A.</v>
      </c>
      <c r="D24" s="70" t="str">
        <f>IF(Trabajos!D24="","",Trabajos!D24)</f>
        <v>Monitoreo de bb y bab</v>
      </c>
      <c r="E24" s="70" t="str">
        <f>IF(Trabajos!G24="","",Trabajos!G24)</f>
        <v>La Cachila</v>
      </c>
      <c r="F24" s="108">
        <f>IF(Trabajos!H24="","",Trabajos!H24)</f>
        <v>170</v>
      </c>
      <c r="G24" s="84">
        <f>IF(Trabajos!I24="","",Trabajos!I24)</f>
        <v>3318.75</v>
      </c>
      <c r="H24" s="84">
        <f>IF(Trabajos!J24="","",Trabajos!J24)</f>
        <v>564187.5</v>
      </c>
      <c r="I24" s="107">
        <f>IF(Trabajos!M24="","",Trabajos!M24)</f>
        <v>230</v>
      </c>
      <c r="J24" s="84">
        <f>IF(Trabajos!N24="","",Trabajos!N24)</f>
        <v>576.1</v>
      </c>
      <c r="K24" s="84">
        <f>IF(Trabajos!O24="","",Trabajos!O24)</f>
        <v>132503</v>
      </c>
      <c r="L24" s="84">
        <f>IF(Trabajos!P24="","",Trabajos!P24)</f>
        <v>696690.5</v>
      </c>
    </row>
    <row r="25" spans="2:16" x14ac:dyDescent="0.25">
      <c r="B25" s="106">
        <f>IF(Trabajos!B25="","",Trabajos!B25)</f>
        <v>45912</v>
      </c>
      <c r="C25" s="70" t="str">
        <f>IF(Trabajos!F25="","",Trabajos!F25)</f>
        <v>Espartina S.A.</v>
      </c>
      <c r="D25" s="70" t="str">
        <f>IF(Trabajos!D25="","",Trabajos!D25)</f>
        <v>Muestreo de suelos</v>
      </c>
      <c r="E25" s="70" t="str">
        <f>IF(Trabajos!G25="","",Trabajos!G25)</f>
        <v>La Graciela</v>
      </c>
      <c r="F25" s="108">
        <f>IF(Trabajos!H25="","",Trabajos!H25)</f>
        <v>80</v>
      </c>
      <c r="G25" s="84">
        <f>IF(Trabajos!I25="","",Trabajos!I25)</f>
        <v>947.70673076900005</v>
      </c>
      <c r="H25" s="84">
        <f>IF(Trabajos!J25="","",Trabajos!J25)</f>
        <v>75816.538461520002</v>
      </c>
      <c r="I25" s="107">
        <f>IF(Trabajos!M25="","",Trabajos!M25)</f>
        <v>112</v>
      </c>
      <c r="J25" s="84">
        <f>IF(Trabajos!N25="","",Trabajos!N25)</f>
        <v>576.1</v>
      </c>
      <c r="K25" s="84">
        <f>IF(Trabajos!O25="","",Trabajos!O25)</f>
        <v>64523.200000000004</v>
      </c>
      <c r="L25" s="84">
        <f>IF(Trabajos!P25="","",Trabajos!P25)</f>
        <v>140339.73846152</v>
      </c>
    </row>
    <row r="26" spans="2:16" x14ac:dyDescent="0.25">
      <c r="B26" s="106">
        <f>IF(Trabajos!B26="","",Trabajos!B26)</f>
        <v>45912</v>
      </c>
      <c r="C26" s="70" t="str">
        <f>IF(Trabajos!F26="","",Trabajos!F26)</f>
        <v>Espartina S.A.</v>
      </c>
      <c r="D26" s="70" t="str">
        <f>IF(Trabajos!D26="","",Trabajos!D26)</f>
        <v>Muestreo de suelos</v>
      </c>
      <c r="E26" s="70" t="str">
        <f>IF(Trabajos!G26="","",Trabajos!G26)</f>
        <v>El Moro Viejo</v>
      </c>
      <c r="F26" s="108">
        <f>IF(Trabajos!H26="","",Trabajos!H26)</f>
        <v>80</v>
      </c>
      <c r="G26" s="84">
        <f>IF(Trabajos!I26="","",Trabajos!I26)</f>
        <v>947.70673076900005</v>
      </c>
      <c r="H26" s="84">
        <f>IF(Trabajos!J26="","",Trabajos!J26)</f>
        <v>75816.538461520002</v>
      </c>
      <c r="I26" s="107">
        <f>IF(Trabajos!M26="","",Trabajos!M26)</f>
        <v>144</v>
      </c>
      <c r="J26" s="84">
        <f>IF(Trabajos!N26="","",Trabajos!N26)</f>
        <v>576.1</v>
      </c>
      <c r="K26" s="84">
        <f>IF(Trabajos!O26="","",Trabajos!O26)</f>
        <v>82958.400000000009</v>
      </c>
      <c r="L26" s="84">
        <f>IF(Trabajos!P26="","",Trabajos!P26)</f>
        <v>158774.93846152001</v>
      </c>
      <c r="N26" t="s">
        <v>4</v>
      </c>
    </row>
    <row r="27" spans="2:16" x14ac:dyDescent="0.25">
      <c r="B27" s="106">
        <f>IF(Trabajos!B27="","",Trabajos!B27)</f>
        <v>45917</v>
      </c>
      <c r="C27" s="70" t="str">
        <f>IF(Trabajos!F27="","",Trabajos!F27)</f>
        <v>Espartina S.A.</v>
      </c>
      <c r="D27" s="70" t="str">
        <f>IF(Trabajos!D27="","",Trabajos!D27)</f>
        <v>Monitoreo de bb y bab</v>
      </c>
      <c r="E27" s="70" t="str">
        <f>IF(Trabajos!G27="","",Trabajos!G27)</f>
        <v>Doña Hilda</v>
      </c>
      <c r="F27" s="108">
        <f>IF(Trabajos!H27="","",Trabajos!H27)</f>
        <v>48</v>
      </c>
      <c r="G27" s="84">
        <f>IF(Trabajos!I27="","",Trabajos!I27)</f>
        <v>3318.75</v>
      </c>
      <c r="H27" s="84">
        <f>IF(Trabajos!J27="","",Trabajos!J27)</f>
        <v>159300</v>
      </c>
      <c r="I27" s="107">
        <f>IF(Trabajos!M27="","",Trabajos!M27)</f>
        <v>0</v>
      </c>
      <c r="J27" s="84">
        <f>IF(Trabajos!N27="","",Trabajos!N27)</f>
        <v>576.1</v>
      </c>
      <c r="K27" s="84">
        <f>IF(Trabajos!O27="","",Trabajos!O27)</f>
        <v>0</v>
      </c>
      <c r="L27" s="84">
        <f>IF(Trabajos!P27="","",Trabajos!P27)</f>
        <v>159300</v>
      </c>
      <c r="P27" t="s">
        <v>4</v>
      </c>
    </row>
    <row r="28" spans="2:16" x14ac:dyDescent="0.25">
      <c r="B28" s="106">
        <f>IF(Trabajos!B28="","",Trabajos!B28)</f>
        <v>45918</v>
      </c>
      <c r="C28" s="70" t="str">
        <f>IF(Trabajos!F28="","",Trabajos!F28)</f>
        <v>Mackrey Agropecuaria</v>
      </c>
      <c r="D28" s="70" t="str">
        <f>IF(Trabajos!D28="","",Trabajos!D28)</f>
        <v>Muestreo de suelos</v>
      </c>
      <c r="E28" s="70" t="str">
        <f>IF(Trabajos!G28="","",Trabajos!G28)</f>
        <v>Buena Vista</v>
      </c>
      <c r="F28" s="108">
        <f>IF(Trabajos!H28="","",Trabajos!H28)</f>
        <v>100</v>
      </c>
      <c r="G28" s="84">
        <f>IF(Trabajos!I28="","",Trabajos!I28)</f>
        <v>1349</v>
      </c>
      <c r="H28" s="84">
        <f>IF(Trabajos!J28="","",Trabajos!J28)</f>
        <v>134900</v>
      </c>
      <c r="I28" s="107">
        <f>IF(Trabajos!M28="","",Trabajos!M28)</f>
        <v>28</v>
      </c>
      <c r="J28" s="84">
        <f>IF(Trabajos!N28="","",Trabajos!N28)</f>
        <v>650</v>
      </c>
      <c r="K28" s="84">
        <f>IF(Trabajos!O28="","",Trabajos!O28)</f>
        <v>18200</v>
      </c>
      <c r="L28" s="84">
        <f>IF(Trabajos!P28="","",Trabajos!P28)</f>
        <v>153100</v>
      </c>
      <c r="N28" t="s">
        <v>4</v>
      </c>
    </row>
    <row r="29" spans="2:16" x14ac:dyDescent="0.25">
      <c r="B29" s="106">
        <f>IF(Trabajos!B29="","",Trabajos!B29)</f>
        <v>45918</v>
      </c>
      <c r="C29" s="70" t="str">
        <f>IF(Trabajos!F29="","",Trabajos!F29)</f>
        <v>Espartina S.A.</v>
      </c>
      <c r="D29" s="70" t="str">
        <f>IF(Trabajos!D29="","",Trabajos!D29)</f>
        <v>Muestreo de suelos</v>
      </c>
      <c r="E29" s="70" t="str">
        <f>IF(Trabajos!G29="","",Trabajos!G29)</f>
        <v>Santa Maria del Moro</v>
      </c>
      <c r="F29" s="108">
        <f>IF(Trabajos!H29="","",Trabajos!H29)</f>
        <v>80</v>
      </c>
      <c r="G29" s="84">
        <f>IF(Trabajos!I29="","",Trabajos!I29)</f>
        <v>947.70673076900005</v>
      </c>
      <c r="H29" s="84">
        <f>IF(Trabajos!J29="","",Trabajos!J29)</f>
        <v>75816.538461520002</v>
      </c>
      <c r="I29" s="107">
        <f>IF(Trabajos!M29="","",Trabajos!M29)</f>
        <v>206</v>
      </c>
      <c r="J29" s="84">
        <f>IF(Trabajos!N29="","",Trabajos!N29)</f>
        <v>576.1</v>
      </c>
      <c r="K29" s="84">
        <f>IF(Trabajos!O29="","",Trabajos!O29)</f>
        <v>118676.6</v>
      </c>
      <c r="L29" s="84">
        <f>IF(Trabajos!P29="","",Trabajos!P29)</f>
        <v>194493.13846152002</v>
      </c>
    </row>
    <row r="30" spans="2:16" x14ac:dyDescent="0.25">
      <c r="B30" s="106">
        <f>IF(Trabajos!B30="","",Trabajos!B30)</f>
        <v>45918</v>
      </c>
      <c r="C30" s="70" t="str">
        <f>IF(Trabajos!F30="","",Trabajos!F30)</f>
        <v>Espartina S.A.</v>
      </c>
      <c r="D30" s="70" t="str">
        <f>IF(Trabajos!D30="","",Trabajos!D30)</f>
        <v>Monitoreo de bb y bab</v>
      </c>
      <c r="E30" s="70" t="str">
        <f>IF(Trabajos!G30="","",Trabajos!G30)</f>
        <v>San Francisco</v>
      </c>
      <c r="F30" s="108">
        <f>IF(Trabajos!H30="","",Trabajos!H30)</f>
        <v>163</v>
      </c>
      <c r="G30" s="84">
        <f>IF(Trabajos!I30="","",Trabajos!I30)</f>
        <v>3318.75</v>
      </c>
      <c r="H30" s="84">
        <f>IF(Trabajos!J30="","",Trabajos!J30)</f>
        <v>540956.25</v>
      </c>
      <c r="I30" s="107">
        <f>IF(Trabajos!M30="","",Trabajos!M30)</f>
        <v>90</v>
      </c>
      <c r="J30" s="84">
        <f>IF(Trabajos!N30="","",Trabajos!N30)</f>
        <v>576.1</v>
      </c>
      <c r="K30" s="84">
        <f>IF(Trabajos!O30="","",Trabajos!O30)</f>
        <v>51849</v>
      </c>
      <c r="L30" s="84">
        <f>IF(Trabajos!P30="","",Trabajos!P30)</f>
        <v>592805.25</v>
      </c>
    </row>
    <row r="31" spans="2:16" x14ac:dyDescent="0.25">
      <c r="B31" s="106">
        <f>IF(Trabajos!B31="","",Trabajos!B31)</f>
        <v>45918</v>
      </c>
      <c r="C31" s="70" t="str">
        <f>IF(Trabajos!F31="","",Trabajos!F31)</f>
        <v>Espartina S.A.</v>
      </c>
      <c r="D31" s="70" t="str">
        <f>IF(Trabajos!D31="","",Trabajos!D31)</f>
        <v>Monitoreo de bb y bab</v>
      </c>
      <c r="E31" s="70" t="str">
        <f>IF(Trabajos!G31="","",Trabajos!G31)</f>
        <v>Santa Barbara</v>
      </c>
      <c r="F31" s="108">
        <f>IF(Trabajos!H31="","",Trabajos!H31)</f>
        <v>140</v>
      </c>
      <c r="G31" s="84">
        <f>IF(Trabajos!I31="","",Trabajos!I31)</f>
        <v>3318.75</v>
      </c>
      <c r="H31" s="84">
        <f>IF(Trabajos!J31="","",Trabajos!J31)</f>
        <v>464625</v>
      </c>
      <c r="I31" s="107">
        <f>IF(Trabajos!M31="","",Trabajos!M31)</f>
        <v>0</v>
      </c>
      <c r="J31" s="84">
        <f>IF(Trabajos!N31="","",Trabajos!N31)</f>
        <v>576.1</v>
      </c>
      <c r="K31" s="84">
        <f>IF(Trabajos!O31="","",Trabajos!O31)</f>
        <v>0</v>
      </c>
      <c r="L31" s="84">
        <f>IF(Trabajos!P31="","",Trabajos!P31)</f>
        <v>464625</v>
      </c>
    </row>
    <row r="32" spans="2:16" x14ac:dyDescent="0.25">
      <c r="B32" s="106">
        <f>IF(Trabajos!B32="","",Trabajos!B32)</f>
        <v>45918</v>
      </c>
      <c r="C32" s="70" t="str">
        <f>IF(Trabajos!F32="","",Trabajos!F32)</f>
        <v>Espartina S.A.</v>
      </c>
      <c r="D32" s="70" t="str">
        <f>IF(Trabajos!D32="","",Trabajos!D32)</f>
        <v>Monitoreo de bb y bab</v>
      </c>
      <c r="E32" s="70" t="str">
        <f>IF(Trabajos!G32="","",Trabajos!G32)</f>
        <v>Follaneras</v>
      </c>
      <c r="F32" s="108">
        <f>IF(Trabajos!H32="","",Trabajos!H32)</f>
        <v>97</v>
      </c>
      <c r="G32" s="84">
        <f>IF(Trabajos!I32="","",Trabajos!I32)</f>
        <v>3318.75</v>
      </c>
      <c r="H32" s="84">
        <f>IF(Trabajos!J32="","",Trabajos!J32)</f>
        <v>321918.75</v>
      </c>
      <c r="I32" s="107">
        <f>IF(Trabajos!M32="","",Trabajos!M32)</f>
        <v>0</v>
      </c>
      <c r="J32" s="84">
        <f>IF(Trabajos!N32="","",Trabajos!N32)</f>
        <v>576.1</v>
      </c>
      <c r="K32" s="84">
        <f>IF(Trabajos!O32="","",Trabajos!O32)</f>
        <v>0</v>
      </c>
      <c r="L32" s="84">
        <f>IF(Trabajos!P32="","",Trabajos!P32)</f>
        <v>321918.75</v>
      </c>
    </row>
    <row r="33" spans="2:12" x14ac:dyDescent="0.25">
      <c r="B33" s="106">
        <f>IF(Trabajos!B33="","",Trabajos!B33)</f>
        <v>45918</v>
      </c>
      <c r="C33" s="70" t="str">
        <f>IF(Trabajos!F33="","",Trabajos!F33)</f>
        <v>Espartina S.A.</v>
      </c>
      <c r="D33" s="70" t="str">
        <f>IF(Trabajos!D33="","",Trabajos!D33)</f>
        <v>Monitoreo de bb y bab</v>
      </c>
      <c r="E33" s="70" t="str">
        <f>IF(Trabajos!G33="","",Trabajos!G33)</f>
        <v>San Lorenzo</v>
      </c>
      <c r="F33" s="108">
        <f>IF(Trabajos!H33="","",Trabajos!H33)</f>
        <v>120</v>
      </c>
      <c r="G33" s="84">
        <f>IF(Trabajos!I33="","",Trabajos!I33)</f>
        <v>3318.75</v>
      </c>
      <c r="H33" s="84">
        <f>IF(Trabajos!J33="","",Trabajos!J33)</f>
        <v>398250</v>
      </c>
      <c r="I33" s="107">
        <f>IF(Trabajos!M33="","",Trabajos!M33)</f>
        <v>180</v>
      </c>
      <c r="J33" s="84">
        <f>IF(Trabajos!N33="","",Trabajos!N33)</f>
        <v>576.1</v>
      </c>
      <c r="K33" s="84">
        <f>IF(Trabajos!O33="","",Trabajos!O33)</f>
        <v>103698</v>
      </c>
      <c r="L33" s="84">
        <f>IF(Trabajos!P33="","",Trabajos!P33)</f>
        <v>501948</v>
      </c>
    </row>
    <row r="34" spans="2:12" x14ac:dyDescent="0.25">
      <c r="B34" s="106">
        <f>IF(Trabajos!B34="","",Trabajos!B34)</f>
        <v>45918</v>
      </c>
      <c r="C34" s="70" t="str">
        <f>IF(Trabajos!F34="","",Trabajos!F34)</f>
        <v>Espartina S.A.</v>
      </c>
      <c r="D34" s="70" t="str">
        <f>IF(Trabajos!D34="","",Trabajos!D34)</f>
        <v>Muestreo de suelos</v>
      </c>
      <c r="E34" s="70" t="str">
        <f>IF(Trabajos!G34="","",Trabajos!G34)</f>
        <v>San Francisco</v>
      </c>
      <c r="F34" s="108">
        <f>IF(Trabajos!H34="","",Trabajos!H34)</f>
        <v>80</v>
      </c>
      <c r="G34" s="84">
        <f>IF(Trabajos!I34="","",Trabajos!I34)</f>
        <v>947.70673076900005</v>
      </c>
      <c r="H34" s="84">
        <f>IF(Trabajos!J34="","",Trabajos!J34)</f>
        <v>75816.538461520002</v>
      </c>
      <c r="I34" s="107">
        <f>IF(Trabajos!M34="","",Trabajos!M34)</f>
        <v>0</v>
      </c>
      <c r="J34" s="84">
        <f>IF(Trabajos!N34="","",Trabajos!N34)</f>
        <v>576.1</v>
      </c>
      <c r="K34" s="84">
        <f>IF(Trabajos!O34="","",Trabajos!O34)</f>
        <v>0</v>
      </c>
      <c r="L34" s="84">
        <f>IF(Trabajos!P34="","",Trabajos!P34)</f>
        <v>75816.538461520002</v>
      </c>
    </row>
    <row r="35" spans="2:12" x14ac:dyDescent="0.25">
      <c r="B35" s="106">
        <f>IF(Trabajos!B35="","",Trabajos!B35)</f>
        <v>45918</v>
      </c>
      <c r="C35" s="70" t="str">
        <f>IF(Trabajos!F35="","",Trabajos!F35)</f>
        <v>Espartina S.A.</v>
      </c>
      <c r="D35" s="70" t="str">
        <f>IF(Trabajos!D35="","",Trabajos!D35)</f>
        <v>Muestreo de suelos</v>
      </c>
      <c r="E35" s="70" t="str">
        <f>IF(Trabajos!G35="","",Trabajos!G35)</f>
        <v>Santa Barbara</v>
      </c>
      <c r="F35" s="108">
        <f>IF(Trabajos!H35="","",Trabajos!H35)</f>
        <v>80</v>
      </c>
      <c r="G35" s="84">
        <f>IF(Trabajos!I35="","",Trabajos!I35)</f>
        <v>947.70673076900005</v>
      </c>
      <c r="H35" s="84">
        <f>IF(Trabajos!J35="","",Trabajos!J35)</f>
        <v>75816.538461520002</v>
      </c>
      <c r="I35" s="107">
        <f>IF(Trabajos!M35="","",Trabajos!M35)</f>
        <v>0</v>
      </c>
      <c r="J35" s="84">
        <f>IF(Trabajos!N35="","",Trabajos!N35)</f>
        <v>576.1</v>
      </c>
      <c r="K35" s="84">
        <f>IF(Trabajos!O35="","",Trabajos!O35)</f>
        <v>0</v>
      </c>
      <c r="L35" s="84">
        <f>IF(Trabajos!P35="","",Trabajos!P35)</f>
        <v>75816.538461520002</v>
      </c>
    </row>
    <row r="36" spans="2:12" x14ac:dyDescent="0.25">
      <c r="B36" s="106">
        <f>IF(Trabajos!B36="","",Trabajos!B36)</f>
        <v>45922</v>
      </c>
      <c r="C36" s="70" t="str">
        <f>IF(Trabajos!F36="","",Trabajos!F36)</f>
        <v>Espartina S.A.</v>
      </c>
      <c r="D36" s="70" t="str">
        <f>IF(Trabajos!D36="","",Trabajos!D36)</f>
        <v>Monitoreo de bb y bab</v>
      </c>
      <c r="E36" s="70" t="str">
        <f>IF(Trabajos!G36="","",Trabajos!G36)</f>
        <v>Dos Hermanas</v>
      </c>
      <c r="F36" s="108">
        <f>IF(Trabajos!H36="","",Trabajos!H36)</f>
        <v>150</v>
      </c>
      <c r="G36" s="84">
        <f>IF(Trabajos!I36="","",Trabajos!I36)</f>
        <v>3105</v>
      </c>
      <c r="H36" s="84">
        <f>IF(Trabajos!J36="","",Trabajos!J36)</f>
        <v>465750</v>
      </c>
      <c r="I36" s="107">
        <f>IF(Trabajos!M36="","",Trabajos!M36)</f>
        <v>240</v>
      </c>
      <c r="J36" s="84">
        <f>IF(Trabajos!N36="","",Trabajos!N36)</f>
        <v>576.1</v>
      </c>
      <c r="K36" s="84">
        <f>IF(Trabajos!O36="","",Trabajos!O36)</f>
        <v>138264</v>
      </c>
      <c r="L36" s="84">
        <f>IF(Trabajos!P36="","",Trabajos!P36)</f>
        <v>604014</v>
      </c>
    </row>
    <row r="37" spans="2:12" x14ac:dyDescent="0.25">
      <c r="B37" s="106">
        <f>IF(Trabajos!B37="","",Trabajos!B37)</f>
        <v>45923</v>
      </c>
      <c r="C37" s="70" t="str">
        <f>IF(Trabajos!F37="","",Trabajos!F37)</f>
        <v>Espartina S.A.</v>
      </c>
      <c r="D37" s="70" t="str">
        <f>IF(Trabajos!D37="","",Trabajos!D37)</f>
        <v>Monitoreo de bb y bab</v>
      </c>
      <c r="E37" s="70" t="str">
        <f>IF(Trabajos!G37="","",Trabajos!G37)</f>
        <v>La Paulina</v>
      </c>
      <c r="F37" s="108">
        <f>IF(Trabajos!H37="","",Trabajos!H37)</f>
        <v>350</v>
      </c>
      <c r="G37" s="84">
        <f>IF(Trabajos!I37="","",Trabajos!I37)</f>
        <v>3105</v>
      </c>
      <c r="H37" s="84">
        <f>IF(Trabajos!J37="","",Trabajos!J37)</f>
        <v>1086750</v>
      </c>
      <c r="I37" s="107">
        <f>IF(Trabajos!M37="","",Trabajos!M37)</f>
        <v>260</v>
      </c>
      <c r="J37" s="84">
        <f>IF(Trabajos!N37="","",Trabajos!N37)</f>
        <v>576.1</v>
      </c>
      <c r="K37" s="84">
        <f>IF(Trabajos!O37="","",Trabajos!O37)</f>
        <v>149786</v>
      </c>
      <c r="L37" s="84">
        <f>IF(Trabajos!P37="","",Trabajos!P37)</f>
        <v>1236536</v>
      </c>
    </row>
    <row r="38" spans="2:12" x14ac:dyDescent="0.25">
      <c r="B38" s="106">
        <f>IF(Trabajos!B38="","",Trabajos!B38)</f>
        <v>45923</v>
      </c>
      <c r="C38" s="70" t="str">
        <f>IF(Trabajos!F38="","",Trabajos!F38)</f>
        <v>Espartina S.A.</v>
      </c>
      <c r="D38" s="70" t="str">
        <f>IF(Trabajos!D38="","",Trabajos!D38)</f>
        <v>Monitoreo de bb y bab</v>
      </c>
      <c r="E38" s="150" t="str">
        <f>IF(Trabajos!G38="","",Trabajos!G38)</f>
        <v>Santa Maria del Moro</v>
      </c>
      <c r="F38" s="108">
        <f>IF(Trabajos!H38="","",Trabajos!H38)</f>
        <v>215</v>
      </c>
      <c r="G38" s="84">
        <f>IF(Trabajos!I38="","",Trabajos!I38)</f>
        <v>3205.12</v>
      </c>
      <c r="H38" s="84">
        <f>IF(Trabajos!J38="","",Trabajos!J38)</f>
        <v>689100.79999999993</v>
      </c>
      <c r="I38" s="158">
        <f>IF(Trabajos!M38="","",Trabajos!M38)</f>
        <v>206</v>
      </c>
      <c r="J38" s="84">
        <f>IF(Trabajos!N38="","",Trabajos!N38)</f>
        <v>588</v>
      </c>
      <c r="K38" s="84">
        <f>IF(Trabajos!O38="","",Trabajos!O38)</f>
        <v>121128</v>
      </c>
      <c r="L38" s="84">
        <f>IF(Trabajos!P38="","",Trabajos!P38)</f>
        <v>810228.79999999993</v>
      </c>
    </row>
    <row r="39" spans="2:12" x14ac:dyDescent="0.25">
      <c r="B39" s="106">
        <f>IF(Trabajos!B39="","",Trabajos!B39)</f>
        <v>45923</v>
      </c>
      <c r="C39" s="70" t="str">
        <f>IF(Trabajos!F39="","",Trabajos!F39)</f>
        <v>Espartina S.A.</v>
      </c>
      <c r="D39" s="70" t="str">
        <f>IF(Trabajos!D39="","",Trabajos!D39)</f>
        <v>Monitoreo de bb y bab</v>
      </c>
      <c r="E39" s="150" t="str">
        <f>IF(Trabajos!G39="","",Trabajos!G39)</f>
        <v>San Narciso</v>
      </c>
      <c r="F39" s="108">
        <f>IF(Trabajos!H39="","",Trabajos!H39)</f>
        <v>141</v>
      </c>
      <c r="G39" s="84">
        <f>IF(Trabajos!I39="","",Trabajos!I39)</f>
        <v>3205.12</v>
      </c>
      <c r="H39" s="84">
        <f>IF(Trabajos!J39="","",Trabajos!J39)</f>
        <v>451921.91999999998</v>
      </c>
      <c r="I39" s="158">
        <f>IF(Trabajos!M39="","",Trabajos!M39)</f>
        <v>208</v>
      </c>
      <c r="J39" s="84">
        <f>IF(Trabajos!N39="","",Trabajos!N39)</f>
        <v>588</v>
      </c>
      <c r="K39" s="84">
        <f>IF(Trabajos!O39="","",Trabajos!O39)</f>
        <v>122304</v>
      </c>
      <c r="L39" s="84">
        <f>IF(Trabajos!P39="","",Trabajos!P39)</f>
        <v>574225.91999999993</v>
      </c>
    </row>
    <row r="40" spans="2:12" x14ac:dyDescent="0.25">
      <c r="B40" s="106">
        <f>IF(Trabajos!B40="","",Trabajos!B40)</f>
        <v>45924</v>
      </c>
      <c r="C40" s="70" t="str">
        <f>IF(Trabajos!F40="","",Trabajos!F40)</f>
        <v>Espartina S.A.</v>
      </c>
      <c r="D40" s="70" t="str">
        <f>IF(Trabajos!D40="","",Trabajos!D40)</f>
        <v>Monitoreo de bb y bab</v>
      </c>
      <c r="E40" s="70" t="str">
        <f>IF(Trabajos!G40="","",Trabajos!G40)</f>
        <v>San Narciso</v>
      </c>
      <c r="F40" s="108">
        <f>IF(Trabajos!H40="","",Trabajos!H40)</f>
        <v>141</v>
      </c>
      <c r="G40" s="84">
        <f>IF(Trabajos!I40="","",Trabajos!I40)</f>
        <v>3205.12</v>
      </c>
      <c r="H40" s="84">
        <f>IF(Trabajos!J40="","",Trabajos!J40)</f>
        <v>451921.91999999998</v>
      </c>
      <c r="I40" s="107">
        <f>IF(Trabajos!M40="","",Trabajos!M40)</f>
        <v>0</v>
      </c>
      <c r="J40" s="84">
        <f>IF(Trabajos!N40="","",Trabajos!N40)</f>
        <v>588</v>
      </c>
      <c r="K40" s="84">
        <f>IF(Trabajos!O40="","",Trabajos!O40)</f>
        <v>0</v>
      </c>
      <c r="L40" s="84">
        <f>IF(Trabajos!P40="","",Trabajos!P40)</f>
        <v>451921.91999999998</v>
      </c>
    </row>
    <row r="41" spans="2:12" x14ac:dyDescent="0.25">
      <c r="B41" s="106">
        <f>IF(Trabajos!B41="","",Trabajos!B41)</f>
        <v>45924</v>
      </c>
      <c r="C41" s="70" t="str">
        <f>IF(Trabajos!F41="","",Trabajos!F41)</f>
        <v>Espartina S.A.</v>
      </c>
      <c r="D41" s="70" t="str">
        <f>IF(Trabajos!D41="","",Trabajos!D41)</f>
        <v>Monitoreo de bb y bab</v>
      </c>
      <c r="E41" s="150" t="str">
        <f>IF(Trabajos!G41="","",Trabajos!G41)</f>
        <v>Las Overas</v>
      </c>
      <c r="F41" s="108">
        <f>IF(Trabajos!H41="","",Trabajos!H41)</f>
        <v>132</v>
      </c>
      <c r="G41" s="84">
        <f>IF(Trabajos!I41="","",Trabajos!I41)</f>
        <v>3035.25</v>
      </c>
      <c r="H41" s="84">
        <f>IF(Trabajos!J41="","",Trabajos!J41)</f>
        <v>400653</v>
      </c>
      <c r="I41" s="158">
        <f>IF(Trabajos!M41="","",Trabajos!M41)</f>
        <v>0</v>
      </c>
      <c r="J41" s="84">
        <f>IF(Trabajos!N41="","",Trabajos!N41)</f>
        <v>588</v>
      </c>
      <c r="K41" s="84">
        <f>IF(Trabajos!O41="","",Trabajos!O41)</f>
        <v>0</v>
      </c>
      <c r="L41" s="84">
        <f>IF(Trabajos!P41="","",Trabajos!P41)</f>
        <v>400653</v>
      </c>
    </row>
    <row r="42" spans="2:12" x14ac:dyDescent="0.25">
      <c r="B42" s="106">
        <f>IF(Trabajos!B42="","",Trabajos!B42)</f>
        <v>45924</v>
      </c>
      <c r="C42" s="70" t="str">
        <f>IF(Trabajos!F42="","",Trabajos!F42)</f>
        <v>Espartina S.A.</v>
      </c>
      <c r="D42" s="70" t="str">
        <f>IF(Trabajos!D42="","",Trabajos!D42)</f>
        <v>Monitoreo de bb y bab</v>
      </c>
      <c r="E42" s="150" t="str">
        <f>IF(Trabajos!G42="","",Trabajos!G42)</f>
        <v>La Paulina</v>
      </c>
      <c r="F42" s="108">
        <f>IF(Trabajos!H42="","",Trabajos!H42)</f>
        <v>128</v>
      </c>
      <c r="G42" s="84">
        <f>IF(Trabajos!I42="","",Trabajos!I42)</f>
        <v>3105</v>
      </c>
      <c r="H42" s="84">
        <f>IF(Trabajos!J42="","",Trabajos!J42)</f>
        <v>397440</v>
      </c>
      <c r="I42" s="158">
        <f>IF(Trabajos!M42="","",Trabajos!M42)</f>
        <v>260</v>
      </c>
      <c r="J42" s="84">
        <f>IF(Trabajos!N42="","",Trabajos!N42)</f>
        <v>576.1</v>
      </c>
      <c r="K42" s="84">
        <f>IF(Trabajos!O42="","",Trabajos!O42)</f>
        <v>149786</v>
      </c>
      <c r="L42" s="84">
        <f>IF(Trabajos!P42="","",Trabajos!P42)</f>
        <v>547226</v>
      </c>
    </row>
    <row r="43" spans="2:12" x14ac:dyDescent="0.25">
      <c r="B43" s="106">
        <f>IF(Trabajos!B43="","",Trabajos!B43)</f>
        <v>45924</v>
      </c>
      <c r="C43" s="70" t="str">
        <f>IF(Trabajos!F43="","",Trabajos!F43)</f>
        <v>Espartina S.A.</v>
      </c>
      <c r="D43" s="70" t="str">
        <f>IF(Trabajos!D43="","",Trabajos!D43)</f>
        <v>Monitoreo de bb y bab</v>
      </c>
      <c r="E43" s="70" t="str">
        <f>IF(Trabajos!G43="","",Trabajos!G43)</f>
        <v>Los Charitos</v>
      </c>
      <c r="F43" s="108">
        <f>IF(Trabajos!H43="","",Trabajos!H43)</f>
        <v>379</v>
      </c>
      <c r="G43" s="84">
        <f>IF(Trabajos!I43="","",Trabajos!I43)</f>
        <v>3105</v>
      </c>
      <c r="H43" s="84">
        <f>IF(Trabajos!J43="","",Trabajos!J43)</f>
        <v>1176795</v>
      </c>
      <c r="I43" s="107">
        <f>IF(Trabajos!M43="","",Trabajos!M43)</f>
        <v>588</v>
      </c>
      <c r="J43" s="84">
        <f>IF(Trabajos!N43="","",Trabajos!N43)</f>
        <v>576.1</v>
      </c>
      <c r="K43" s="84">
        <f>IF(Trabajos!O43="","",Trabajos!O43)</f>
        <v>338746.8</v>
      </c>
      <c r="L43" s="84">
        <f>IF(Trabajos!P43="","",Trabajos!P43)</f>
        <v>1515541.8</v>
      </c>
    </row>
    <row r="44" spans="2:12" x14ac:dyDescent="0.25">
      <c r="B44" s="106">
        <f>IF(Trabajos!B44="","",Trabajos!B44)</f>
        <v>45925</v>
      </c>
      <c r="C44" s="70" t="str">
        <f>IF(Trabajos!F44="","",Trabajos!F44)</f>
        <v>Espartina S.A.</v>
      </c>
      <c r="D44" s="70" t="str">
        <f>IF(Trabajos!D44="","",Trabajos!D44)</f>
        <v>Muestreo de suelos</v>
      </c>
      <c r="E44" s="70" t="str">
        <f>IF(Trabajos!G44="","",Trabajos!G44)</f>
        <v>La Juanita</v>
      </c>
      <c r="F44" s="108">
        <f>IF(Trabajos!H44="","",Trabajos!H44)</f>
        <v>80</v>
      </c>
      <c r="G44" s="84">
        <f>IF(Trabajos!I44="","",Trabajos!I44)</f>
        <v>947.70673076900005</v>
      </c>
      <c r="H44" s="84">
        <f>IF(Trabajos!J44="","",Trabajos!J44)</f>
        <v>75816.538461520002</v>
      </c>
      <c r="I44" s="107">
        <f>IF(Trabajos!M44="","",Trabajos!M44)</f>
        <v>60</v>
      </c>
      <c r="J44" s="84">
        <f>IF(Trabajos!N44="","",Trabajos!N44)</f>
        <v>588</v>
      </c>
      <c r="K44" s="84">
        <f>IF(Trabajos!O44="","",Trabajos!O44)</f>
        <v>35280</v>
      </c>
      <c r="L44" s="84">
        <f>IF(Trabajos!P44="","",Trabajos!P44)</f>
        <v>111096.53846152</v>
      </c>
    </row>
    <row r="45" spans="2:12" x14ac:dyDescent="0.25">
      <c r="B45" s="106">
        <f>IF(Trabajos!B45="","",Trabajos!B45)</f>
        <v>45925</v>
      </c>
      <c r="C45" s="70" t="str">
        <f>IF(Trabajos!F45="","",Trabajos!F45)</f>
        <v>Espartina S.A.</v>
      </c>
      <c r="D45" s="70" t="str">
        <f>IF(Trabajos!D45="","",Trabajos!D45)</f>
        <v>Muestreo de suelos</v>
      </c>
      <c r="E45" s="70" t="str">
        <f>IF(Trabajos!G45="","",Trabajos!G45)</f>
        <v>San Narciso</v>
      </c>
      <c r="F45" s="108">
        <f>IF(Trabajos!H45="","",Trabajos!H45)</f>
        <v>80</v>
      </c>
      <c r="G45" s="84">
        <f>IF(Trabajos!I45="","",Trabajos!I45)</f>
        <v>947.70673076900005</v>
      </c>
      <c r="H45" s="84">
        <f>IF(Trabajos!J45="","",Trabajos!J45)</f>
        <v>75816.538461520002</v>
      </c>
      <c r="I45" s="107">
        <f>IF(Trabajos!M45="","",Trabajos!M45)</f>
        <v>208</v>
      </c>
      <c r="J45" s="84">
        <f>IF(Trabajos!N45="","",Trabajos!N45)</f>
        <v>588</v>
      </c>
      <c r="K45" s="84">
        <f>IF(Trabajos!O45="","",Trabajos!O45)</f>
        <v>122304</v>
      </c>
      <c r="L45" s="84">
        <f>IF(Trabajos!P45="","",Trabajos!P45)</f>
        <v>198120.53846151999</v>
      </c>
    </row>
    <row r="46" spans="2:12" x14ac:dyDescent="0.25">
      <c r="B46" s="106">
        <f>IF(Trabajos!B46="","",Trabajos!B46)</f>
        <v>45925</v>
      </c>
      <c r="C46" s="70" t="str">
        <f>IF(Trabajos!F46="","",Trabajos!F46)</f>
        <v>Espartina S.A.</v>
      </c>
      <c r="D46" s="70" t="str">
        <f>IF(Trabajos!D46="","",Trabajos!D46)</f>
        <v>Monitoreo de bb y bab</v>
      </c>
      <c r="E46" s="70" t="str">
        <f>IF(Trabajos!G46="","",Trabajos!G46)</f>
        <v>La Juanita</v>
      </c>
      <c r="F46" s="108">
        <f>IF(Trabajos!H46="","",Trabajos!H46)</f>
        <v>143</v>
      </c>
      <c r="G46" s="84">
        <f>IF(Trabajos!I46="","",Trabajos!I46)</f>
        <v>3205.12</v>
      </c>
      <c r="H46" s="84">
        <f>IF(Trabajos!J46="","",Trabajos!J46)</f>
        <v>458332.15999999997</v>
      </c>
      <c r="I46" s="107">
        <f>IF(Trabajos!M46="","",Trabajos!M46)</f>
        <v>0</v>
      </c>
      <c r="J46" s="84">
        <f>IF(Trabajos!N46="","",Trabajos!N46)</f>
        <v>588</v>
      </c>
      <c r="K46" s="84">
        <f>IF(Trabajos!O46="","",Trabajos!O46)</f>
        <v>0</v>
      </c>
      <c r="L46" s="84">
        <f>IF(Trabajos!P46="","",Trabajos!P46)</f>
        <v>458332.15999999997</v>
      </c>
    </row>
    <row r="47" spans="2:12" x14ac:dyDescent="0.25">
      <c r="B47" s="106">
        <f>IF(Trabajos!B47="","",Trabajos!B47)</f>
        <v>45925</v>
      </c>
      <c r="C47" s="70" t="str">
        <f>IF(Trabajos!F47="","",Trabajos!F47)</f>
        <v>Espartina S.A.</v>
      </c>
      <c r="D47" s="70" t="str">
        <f>IF(Trabajos!D47="","",Trabajos!D47)</f>
        <v>Monitoreo de bb y bab</v>
      </c>
      <c r="E47" s="70" t="str">
        <f>IF(Trabajos!G47="","",Trabajos!G47)</f>
        <v>La Baguala</v>
      </c>
      <c r="F47" s="108">
        <f>IF(Trabajos!H47="","",Trabajos!H47)</f>
        <v>134</v>
      </c>
      <c r="G47" s="84">
        <f>IF(Trabajos!I47="","",Trabajos!I47)</f>
        <v>3205.12</v>
      </c>
      <c r="H47" s="84">
        <f>IF(Trabajos!J47="","",Trabajos!J47)</f>
        <v>429486.07999999996</v>
      </c>
      <c r="I47" s="107">
        <f>IF(Trabajos!M47="","",Trabajos!M47)</f>
        <v>156</v>
      </c>
      <c r="J47" s="84">
        <f>IF(Trabajos!N47="","",Trabajos!N47)</f>
        <v>588</v>
      </c>
      <c r="K47" s="84">
        <f>IF(Trabajos!O47="","",Trabajos!O47)</f>
        <v>91728</v>
      </c>
      <c r="L47" s="84">
        <f>IF(Trabajos!P47="","",Trabajos!P47)</f>
        <v>521214.07999999996</v>
      </c>
    </row>
    <row r="48" spans="2:12" x14ac:dyDescent="0.25">
      <c r="B48" s="106">
        <f>IF(Trabajos!B48="","",Trabajos!B48)</f>
        <v>45925</v>
      </c>
      <c r="C48" s="70" t="str">
        <f>IF(Trabajos!F48="","",Trabajos!F48)</f>
        <v>Cía. de Tierras Sud Argentino S.A.</v>
      </c>
      <c r="D48" s="70" t="str">
        <f>IF(Trabajos!D48="","",Trabajos!D48)</f>
        <v>Monitoreo de bb y bab</v>
      </c>
      <c r="E48" s="70" t="str">
        <f>IF(Trabajos!G48="","",Trabajos!G48)</f>
        <v>Santa Marta</v>
      </c>
      <c r="F48" s="108">
        <f>IF(Trabajos!H48="","",Trabajos!H48)</f>
        <v>252</v>
      </c>
      <c r="G48" s="84">
        <f>IF(Trabajos!I48="","",Trabajos!I48)</f>
        <v>3450</v>
      </c>
      <c r="H48" s="84">
        <f>IF(Trabajos!J48="","",Trabajos!J48)</f>
        <v>869400</v>
      </c>
      <c r="I48" s="107">
        <f>IF(Trabajos!M48="","",Trabajos!M48)</f>
        <v>50</v>
      </c>
      <c r="J48" s="84">
        <f>IF(Trabajos!N48="","",Trabajos!N48)</f>
        <v>650</v>
      </c>
      <c r="K48" s="84">
        <f>IF(Trabajos!O48="","",Trabajos!O48)</f>
        <v>32500</v>
      </c>
      <c r="L48" s="84">
        <f>IF(Trabajos!P48="","",Trabajos!P48)</f>
        <v>901900</v>
      </c>
    </row>
    <row r="49" spans="2:12" x14ac:dyDescent="0.25">
      <c r="B49" s="106">
        <f>IF(Trabajos!B49="","",Trabajos!B49)</f>
        <v>45925</v>
      </c>
      <c r="C49" s="70" t="str">
        <f>IF(Trabajos!F49="","",Trabajos!F49)</f>
        <v>Espartina S.A.</v>
      </c>
      <c r="D49" s="70" t="str">
        <f>IF(Trabajos!D49="","",Trabajos!D49)</f>
        <v>Monitoreo de bb y bab</v>
      </c>
      <c r="E49" s="70" t="str">
        <f>IF(Trabajos!G49="","",Trabajos!G49)</f>
        <v>Dos Hermanas</v>
      </c>
      <c r="F49" s="108">
        <f>IF(Trabajos!H49="","",Trabajos!H49)</f>
        <v>208</v>
      </c>
      <c r="G49" s="84">
        <f>IF(Trabajos!I49="","",Trabajos!I49)</f>
        <v>3105</v>
      </c>
      <c r="H49" s="84">
        <f>IF(Trabajos!J49="","",Trabajos!J49)</f>
        <v>645840</v>
      </c>
      <c r="I49" s="107">
        <f>IF(Trabajos!M49="","",Trabajos!M49)</f>
        <v>240</v>
      </c>
      <c r="J49" s="84">
        <f>IF(Trabajos!N49="","",Trabajos!N49)</f>
        <v>576.1</v>
      </c>
      <c r="K49" s="84">
        <f>IF(Trabajos!O49="","",Trabajos!O49)</f>
        <v>138264</v>
      </c>
      <c r="L49" s="84">
        <f>IF(Trabajos!P49="","",Trabajos!P49)</f>
        <v>784104</v>
      </c>
    </row>
    <row r="50" spans="2:12" x14ac:dyDescent="0.25">
      <c r="B50" s="106">
        <f>IF(Trabajos!B50="","",Trabajos!B50)</f>
        <v>45926</v>
      </c>
      <c r="C50" s="70" t="str">
        <f>IF(Trabajos!F50="","",Trabajos!F50)</f>
        <v>Espartina S.A.</v>
      </c>
      <c r="D50" s="70" t="str">
        <f>IF(Trabajos!D50="","",Trabajos!D50)</f>
        <v>Monitoreo de bb y bab</v>
      </c>
      <c r="E50" s="70" t="str">
        <f>IF(Trabajos!G50="","",Trabajos!G50)</f>
        <v>Cupalen II</v>
      </c>
      <c r="F50" s="108">
        <f>IF(Trabajos!H50="","",Trabajos!H50)</f>
        <v>100</v>
      </c>
      <c r="G50" s="84">
        <f>IF(Trabajos!I50="","",Trabajos!I50)</f>
        <v>3262.5</v>
      </c>
      <c r="H50" s="84">
        <f>IF(Trabajos!J50="","",Trabajos!J50)</f>
        <v>326250</v>
      </c>
      <c r="I50" s="107">
        <f>IF(Trabajos!M50="","",Trabajos!M50)</f>
        <v>164</v>
      </c>
      <c r="J50" s="84">
        <f>IF(Trabajos!N50="","",Trabajos!N50)</f>
        <v>633.85</v>
      </c>
      <c r="K50" s="84">
        <f>IF(Trabajos!O50="","",Trabajos!O50)</f>
        <v>103951.40000000001</v>
      </c>
      <c r="L50" s="84">
        <f>IF(Trabajos!P50="","",Trabajos!P50)</f>
        <v>430201.4</v>
      </c>
    </row>
    <row r="51" spans="2:12" x14ac:dyDescent="0.25">
      <c r="B51" s="106">
        <f>IF(Trabajos!B51="","",Trabajos!B51)</f>
        <v>45926</v>
      </c>
      <c r="C51" s="70" t="str">
        <f>IF(Trabajos!F51="","",Trabajos!F51)</f>
        <v>Espartina S.A.</v>
      </c>
      <c r="D51" s="70" t="str">
        <f>IF(Trabajos!D51="","",Trabajos!D51)</f>
        <v>Monitoreo de bb y bab</v>
      </c>
      <c r="E51" s="70" t="str">
        <f>IF(Trabajos!G51="","",Trabajos!G51)</f>
        <v>El Rosario</v>
      </c>
      <c r="F51" s="108">
        <f>IF(Trabajos!H51="","",Trabajos!H51)</f>
        <v>132</v>
      </c>
      <c r="G51" s="84">
        <f>IF(Trabajos!I51="","",Trabajos!I51)</f>
        <v>3262.5</v>
      </c>
      <c r="H51" s="84">
        <f>IF(Trabajos!J51="","",Trabajos!J51)</f>
        <v>430650</v>
      </c>
      <c r="I51" s="107">
        <f>IF(Trabajos!M51="","",Trabajos!M51)</f>
        <v>212</v>
      </c>
      <c r="J51" s="84">
        <f>IF(Trabajos!N51="","",Trabajos!N51)</f>
        <v>633.85</v>
      </c>
      <c r="K51" s="84">
        <f>IF(Trabajos!O51="","",Trabajos!O51)</f>
        <v>134376.20000000001</v>
      </c>
      <c r="L51" s="84">
        <f>IF(Trabajos!P51="","",Trabajos!P51)</f>
        <v>565026.19999999995</v>
      </c>
    </row>
    <row r="52" spans="2:12" x14ac:dyDescent="0.25">
      <c r="B52" s="106">
        <f>IF(Trabajos!B52="","",Trabajos!B52)</f>
        <v>45926</v>
      </c>
      <c r="C52" s="70" t="str">
        <f>IF(Trabajos!F52="","",Trabajos!F52)</f>
        <v>Cía. de Tierras Sud Argentino S.A.</v>
      </c>
      <c r="D52" s="70" t="str">
        <f>IF(Trabajos!D52="","",Trabajos!D52)</f>
        <v>Monitoreo de bb y bab</v>
      </c>
      <c r="E52" s="70" t="str">
        <f>IF(Trabajos!G52="","",Trabajos!G52)</f>
        <v>Santa Marta</v>
      </c>
      <c r="F52" s="108">
        <f>IF(Trabajos!H52="","",Trabajos!H52)</f>
        <v>259</v>
      </c>
      <c r="G52" s="84">
        <f>IF(Trabajos!I52="","",Trabajos!I52)</f>
        <v>3450</v>
      </c>
      <c r="H52" s="84">
        <f>IF(Trabajos!J52="","",Trabajos!J52)</f>
        <v>893550</v>
      </c>
      <c r="I52" s="107">
        <f>IF(Trabajos!M52="","",Trabajos!M52)</f>
        <v>50</v>
      </c>
      <c r="J52" s="84">
        <f>IF(Trabajos!N52="","",Trabajos!N52)</f>
        <v>650</v>
      </c>
      <c r="K52" s="84">
        <f>IF(Trabajos!O52="","",Trabajos!O52)</f>
        <v>32500</v>
      </c>
      <c r="L52" s="84">
        <f>IF(Trabajos!P52="","",Trabajos!P52)</f>
        <v>926050</v>
      </c>
    </row>
    <row r="53" spans="2:12" x14ac:dyDescent="0.25">
      <c r="B53" s="106">
        <f>IF(Trabajos!B53="","",Trabajos!B53)</f>
        <v>45929</v>
      </c>
      <c r="C53" s="70" t="str">
        <f>IF(Trabajos!F53="","",Trabajos!F53)</f>
        <v>Espartina S.A.</v>
      </c>
      <c r="D53" s="70" t="str">
        <f>IF(Trabajos!D53="","",Trabajos!D53)</f>
        <v>Monitoreo de bb y bab</v>
      </c>
      <c r="E53" s="70" t="str">
        <f>IF(Trabajos!G53="","",Trabajos!G53)</f>
        <v>Tres Marias</v>
      </c>
      <c r="F53" s="108">
        <f>IF(Trabajos!H53="","",Trabajos!H53)</f>
        <v>125</v>
      </c>
      <c r="G53" s="84">
        <f>IF(Trabajos!I53="","",Trabajos!I53)</f>
        <v>3035.25</v>
      </c>
      <c r="H53" s="84">
        <f>IF(Trabajos!J53="","",Trabajos!J53)</f>
        <v>379406.25</v>
      </c>
      <c r="I53" s="107">
        <f>IF(Trabajos!M53="","",Trabajos!M53)</f>
        <v>210</v>
      </c>
      <c r="J53" s="84">
        <f>IF(Trabajos!N53="","",Trabajos!N53)</f>
        <v>588</v>
      </c>
      <c r="K53" s="84">
        <f>IF(Trabajos!O53="","",Trabajos!O53)</f>
        <v>123480</v>
      </c>
      <c r="L53" s="84">
        <f>IF(Trabajos!P53="","",Trabajos!P53)</f>
        <v>502886.25</v>
      </c>
    </row>
    <row r="54" spans="2:12" x14ac:dyDescent="0.25">
      <c r="B54" s="106">
        <f>IF(Trabajos!B54="","",Trabajos!B54)</f>
        <v>45929</v>
      </c>
      <c r="C54" s="70" t="str">
        <f>IF(Trabajos!F54="","",Trabajos!F54)</f>
        <v>Cía. de Tierras Sud Argentino S.A.</v>
      </c>
      <c r="D54" s="70" t="str">
        <f>IF(Trabajos!D54="","",Trabajos!D54)</f>
        <v>Monitoreo de bb y bab</v>
      </c>
      <c r="E54" s="70" t="str">
        <f>IF(Trabajos!G54="","",Trabajos!G54)</f>
        <v>Santa Marta</v>
      </c>
      <c r="F54" s="108">
        <f>IF(Trabajos!H54="","",Trabajos!H54)</f>
        <v>298</v>
      </c>
      <c r="G54" s="84">
        <f>IF(Trabajos!I54="","",Trabajos!I54)</f>
        <v>3450</v>
      </c>
      <c r="H54" s="84">
        <f>IF(Trabajos!J54="","",Trabajos!J54)</f>
        <v>1028100</v>
      </c>
      <c r="I54" s="107">
        <f>IF(Trabajos!M54="","",Trabajos!M54)</f>
        <v>50</v>
      </c>
      <c r="J54" s="84">
        <f>IF(Trabajos!N54="","",Trabajos!N54)</f>
        <v>650</v>
      </c>
      <c r="K54" s="84">
        <f>IF(Trabajos!O54="","",Trabajos!O54)</f>
        <v>32500</v>
      </c>
      <c r="L54" s="84">
        <f>IF(Trabajos!P54="","",Trabajos!P54)</f>
        <v>1060600</v>
      </c>
    </row>
    <row r="55" spans="2:12" x14ac:dyDescent="0.25">
      <c r="B55" s="106">
        <f>IF(Trabajos!B55="","",Trabajos!B55)</f>
        <v>45930</v>
      </c>
      <c r="C55" s="70" t="str">
        <f>IF(Trabajos!F55="","",Trabajos!F55)</f>
        <v>Espartina S.A.</v>
      </c>
      <c r="D55" s="70" t="str">
        <f>IF(Trabajos!D55="","",Trabajos!D55)</f>
        <v>Monitoreo de bb y bab</v>
      </c>
      <c r="E55" s="70" t="str">
        <f>IF(Trabajos!G55="","",Trabajos!G55)</f>
        <v>Tres Marias</v>
      </c>
      <c r="F55" s="108">
        <f>IF(Trabajos!H55="","",Trabajos!H55)</f>
        <v>100</v>
      </c>
      <c r="G55" s="84">
        <f>IF(Trabajos!I55="","",Trabajos!I55)</f>
        <v>3035.25</v>
      </c>
      <c r="H55" s="84">
        <f>IF(Trabajos!J55="","",Trabajos!J55)</f>
        <v>303525</v>
      </c>
      <c r="I55" s="107">
        <f>IF(Trabajos!M55="","",Trabajos!M55)</f>
        <v>0</v>
      </c>
      <c r="J55" s="84">
        <f>IF(Trabajos!N55="","",Trabajos!N55)</f>
        <v>588</v>
      </c>
      <c r="K55" s="84">
        <f>IF(Trabajos!O55="","",Trabajos!O55)</f>
        <v>0</v>
      </c>
      <c r="L55" s="84">
        <f>IF(Trabajos!P55="","",Trabajos!P55)</f>
        <v>303525</v>
      </c>
    </row>
    <row r="56" spans="2:12" x14ac:dyDescent="0.25">
      <c r="B56" s="106">
        <f>IF(Trabajos!B56="","",Trabajos!B56)</f>
        <v>45930</v>
      </c>
      <c r="C56" s="70" t="str">
        <f>IF(Trabajos!F56="","",Trabajos!F56)</f>
        <v>Espartina S.A.</v>
      </c>
      <c r="D56" s="70" t="str">
        <f>IF(Trabajos!D56="","",Trabajos!D56)</f>
        <v>Monitoreo de bb y bab</v>
      </c>
      <c r="E56" s="70" t="str">
        <f>IF(Trabajos!G56="","",Trabajos!G56)</f>
        <v>Santa Isabel Cozumel</v>
      </c>
      <c r="F56" s="108">
        <f>IF(Trabajos!H56="","",Trabajos!H56)</f>
        <v>100</v>
      </c>
      <c r="G56" s="84">
        <f>IF(Trabajos!I56="","",Trabajos!I56)</f>
        <v>3035.25</v>
      </c>
      <c r="H56" s="84">
        <f>IF(Trabajos!J56="","",Trabajos!J56)</f>
        <v>303525</v>
      </c>
      <c r="I56" s="107">
        <f>IF(Trabajos!M56="","",Trabajos!M56)</f>
        <v>186</v>
      </c>
      <c r="J56" s="84">
        <f>IF(Trabajos!N56="","",Trabajos!N56)</f>
        <v>588</v>
      </c>
      <c r="K56" s="84">
        <f>IF(Trabajos!O56="","",Trabajos!O56)</f>
        <v>109368</v>
      </c>
      <c r="L56" s="84">
        <f>IF(Trabajos!P56="","",Trabajos!P56)</f>
        <v>412893</v>
      </c>
    </row>
    <row r="57" spans="2:12" x14ac:dyDescent="0.25">
      <c r="B57" s="106">
        <f>IF(Trabajos!B57="","",Trabajos!B57)</f>
        <v>45930</v>
      </c>
      <c r="C57" s="70" t="str">
        <f>IF(Trabajos!F57="","",Trabajos!F57)</f>
        <v>Cía. de Tierras Sud Argentino S.A.</v>
      </c>
      <c r="D57" s="70" t="str">
        <f>IF(Trabajos!D57="","",Trabajos!D57)</f>
        <v>Monitoreo de bb y bab</v>
      </c>
      <c r="E57" s="70" t="str">
        <f>IF(Trabajos!G57="","",Trabajos!G57)</f>
        <v>Santa Marta</v>
      </c>
      <c r="F57" s="108">
        <f>IF(Trabajos!H57="","",Trabajos!H57)</f>
        <v>278</v>
      </c>
      <c r="G57" s="84">
        <f>IF(Trabajos!I57="","",Trabajos!I57)</f>
        <v>3450</v>
      </c>
      <c r="H57" s="84">
        <f>IF(Trabajos!J57="","",Trabajos!J57)</f>
        <v>959100</v>
      </c>
      <c r="I57" s="107">
        <f>IF(Trabajos!M57="","",Trabajos!M57)</f>
        <v>50</v>
      </c>
      <c r="J57" s="84">
        <f>IF(Trabajos!N57="","",Trabajos!N57)</f>
        <v>650</v>
      </c>
      <c r="K57" s="84">
        <f>IF(Trabajos!O57="","",Trabajos!O57)</f>
        <v>32500</v>
      </c>
      <c r="L57" s="84">
        <f>IF(Trabajos!P57="","",Trabajos!P57)</f>
        <v>991600</v>
      </c>
    </row>
    <row r="58" spans="2:12" x14ac:dyDescent="0.25">
      <c r="B58" s="106">
        <f>IF(Trabajos!B58="","",Trabajos!B58)</f>
        <v>45930</v>
      </c>
      <c r="C58" s="70" t="str">
        <f>IF(Trabajos!F58="","",Trabajos!F58)</f>
        <v>Cía. de Tierras Sud Argentino S.A.</v>
      </c>
      <c r="D58" s="70" t="str">
        <f>IF(Trabajos!D58="","",Trabajos!D58)</f>
        <v>Monitoreo de bb y bab</v>
      </c>
      <c r="E58" s="70" t="str">
        <f>IF(Trabajos!G58="","",Trabajos!G58)</f>
        <v>Santa Marta</v>
      </c>
      <c r="F58" s="108">
        <f>IF(Trabajos!H58="","",Trabajos!H58)</f>
        <v>198</v>
      </c>
      <c r="G58" s="84">
        <f>IF(Trabajos!I58="","",Trabajos!I58)</f>
        <v>3450</v>
      </c>
      <c r="H58" s="84">
        <f>IF(Trabajos!J58="","",Trabajos!J58)</f>
        <v>683100</v>
      </c>
      <c r="I58" s="107">
        <f>IF(Trabajos!M58="","",Trabajos!M58)</f>
        <v>100</v>
      </c>
      <c r="J58" s="84">
        <f>IF(Trabajos!N58="","",Trabajos!N58)</f>
        <v>650</v>
      </c>
      <c r="K58" s="84">
        <f>IF(Trabajos!O58="","",Trabajos!O58)</f>
        <v>65000</v>
      </c>
      <c r="L58" s="84">
        <f>IF(Trabajos!P58="","",Trabajos!P58)</f>
        <v>748100</v>
      </c>
    </row>
    <row r="59" spans="2:12" x14ac:dyDescent="0.25">
      <c r="B59" s="106">
        <f>IF(Trabajos!B59="","",Trabajos!B59)</f>
        <v>45931</v>
      </c>
      <c r="C59" s="70" t="str">
        <f>IF(Trabajos!F59="","",Trabajos!F59)</f>
        <v>Juan Rodriguez Rivas</v>
      </c>
      <c r="D59" s="70" t="str">
        <f>IF(Trabajos!D59="","",Trabajos!D59)</f>
        <v>Monitoreo de bb y bab</v>
      </c>
      <c r="E59" s="70" t="str">
        <f>IF(Trabajos!G59="","",Trabajos!G59)</f>
        <v>Cerro Guacho</v>
      </c>
      <c r="F59" s="108">
        <f>IF(Trabajos!H59="","",Trabajos!H59)</f>
        <v>213</v>
      </c>
      <c r="G59" s="84">
        <f>IF(Trabajos!I59="","",Trabajos!I59)</f>
        <v>3516.25</v>
      </c>
      <c r="H59" s="84">
        <f>IF(Trabajos!J59="","",Trabajos!J59)</f>
        <v>748961.25</v>
      </c>
      <c r="I59" s="107">
        <f>IF(Trabajos!M59="","",Trabajos!M59)</f>
        <v>262</v>
      </c>
      <c r="J59" s="84">
        <f>IF(Trabajos!N59="","",Trabajos!N59)</f>
        <v>650</v>
      </c>
      <c r="K59" s="84">
        <f>IF(Trabajos!O59="","",Trabajos!O59)</f>
        <v>170300</v>
      </c>
      <c r="L59" s="84">
        <f>IF(Trabajos!P59="","",Trabajos!P59)</f>
        <v>919261.25</v>
      </c>
    </row>
    <row r="60" spans="2:12" x14ac:dyDescent="0.25">
      <c r="B60" s="106">
        <f>IF(Trabajos!B60="","",Trabajos!B60)</f>
        <v>45931</v>
      </c>
      <c r="C60" s="70" t="str">
        <f>IF(Trabajos!F60="","",Trabajos!F60)</f>
        <v>Espartina S.A.</v>
      </c>
      <c r="D60" s="70" t="str">
        <f>IF(Trabajos!D60="","",Trabajos!D60)</f>
        <v>Monitoreo de bb y bab</v>
      </c>
      <c r="E60" s="70" t="str">
        <f>IF(Trabajos!G60="","",Trabajos!G60)</f>
        <v>El Moro Viejo</v>
      </c>
      <c r="F60" s="108">
        <f>IF(Trabajos!H60="","",Trabajos!H60)</f>
        <v>181</v>
      </c>
      <c r="G60" s="84">
        <f>IF(Trabajos!I60="","",Trabajos!I60)</f>
        <v>3035.25</v>
      </c>
      <c r="H60" s="84">
        <f>IF(Trabajos!J60="","",Trabajos!J60)</f>
        <v>549380.25</v>
      </c>
      <c r="I60" s="107">
        <f>IF(Trabajos!M60="","",Trabajos!M60)</f>
        <v>156</v>
      </c>
      <c r="J60" s="84">
        <f>IF(Trabajos!N60="","",Trabajos!N60)</f>
        <v>588</v>
      </c>
      <c r="K60" s="84">
        <f>IF(Trabajos!O60="","",Trabajos!O60)</f>
        <v>91728</v>
      </c>
      <c r="L60" s="84">
        <f>IF(Trabajos!P60="","",Trabajos!P60)</f>
        <v>641108.25</v>
      </c>
    </row>
    <row r="61" spans="2:12" x14ac:dyDescent="0.25">
      <c r="B61" s="106">
        <f>IF(Trabajos!B61="","",Trabajos!B61)</f>
        <v>45931</v>
      </c>
      <c r="C61" s="70" t="str">
        <f>IF(Trabajos!F61="","",Trabajos!F61)</f>
        <v>Purtierra</v>
      </c>
      <c r="D61" s="70" t="str">
        <f>IF(Trabajos!D61="","",Trabajos!D61)</f>
        <v>Monitoreo de bb y bab</v>
      </c>
      <c r="E61" s="70" t="str">
        <f>IF(Trabajos!G61="","",Trabajos!G61)</f>
        <v>Ojo de Agua</v>
      </c>
      <c r="F61" s="108">
        <f>IF(Trabajos!H61="","",Trabajos!H61)</f>
        <v>236</v>
      </c>
      <c r="G61" s="84">
        <f>IF(Trabajos!I61="","",Trabajos!I61)</f>
        <v>3730</v>
      </c>
      <c r="H61" s="84">
        <f>IF(Trabajos!J61="","",Trabajos!J61)</f>
        <v>880280</v>
      </c>
      <c r="I61" s="107">
        <f>IF(Trabajos!M61="","",Trabajos!M61)</f>
        <v>92</v>
      </c>
      <c r="J61" s="84">
        <f>IF(Trabajos!N61="","",Trabajos!N61)</f>
        <v>650</v>
      </c>
      <c r="K61" s="84">
        <f>IF(Trabajos!O61="","",Trabajos!O61)</f>
        <v>59800</v>
      </c>
      <c r="L61" s="84">
        <f>IF(Trabajos!P61="","",Trabajos!P61)</f>
        <v>940080</v>
      </c>
    </row>
    <row r="62" spans="2:12" x14ac:dyDescent="0.25">
      <c r="B62" s="106">
        <f>IF(Trabajos!B62="","",Trabajos!B62)</f>
        <v>45932</v>
      </c>
      <c r="C62" s="70" t="str">
        <f>IF(Trabajos!F62="","",Trabajos!F62)</f>
        <v>Espartina S.A.</v>
      </c>
      <c r="D62" s="70" t="str">
        <f>IF(Trabajos!D62="","",Trabajos!D62)</f>
        <v>Monitoreo de bb y bab</v>
      </c>
      <c r="E62" s="70" t="str">
        <f>IF(Trabajos!G62="","",Trabajos!G62)</f>
        <v>La Azucena</v>
      </c>
      <c r="F62" s="108">
        <f>IF(Trabajos!H62="","",Trabajos!H62)</f>
        <v>183</v>
      </c>
      <c r="G62" s="84">
        <f>IF(Trabajos!I62="","",Trabajos!I62)</f>
        <v>3035.25</v>
      </c>
      <c r="H62" s="84">
        <f>IF(Trabajos!J62="","",Trabajos!J62)</f>
        <v>555450.75</v>
      </c>
      <c r="I62" s="107">
        <f>IF(Trabajos!M62="","",Trabajos!M62)</f>
        <v>274</v>
      </c>
      <c r="J62" s="84">
        <f>IF(Trabajos!N62="","",Trabajos!N62)</f>
        <v>588</v>
      </c>
      <c r="K62" s="84">
        <f>IF(Trabajos!O62="","",Trabajos!O62)</f>
        <v>161112</v>
      </c>
      <c r="L62" s="84">
        <f>IF(Trabajos!P62="","",Trabajos!P62)</f>
        <v>716562.75</v>
      </c>
    </row>
    <row r="63" spans="2:12" x14ac:dyDescent="0.25">
      <c r="B63" s="106">
        <f>IF(Trabajos!B63="","",Trabajos!B63)</f>
        <v>45932</v>
      </c>
      <c r="C63" s="70" t="str">
        <f>IF(Trabajos!F63="","",Trabajos!F63)</f>
        <v>Espartina S.A.</v>
      </c>
      <c r="D63" s="70" t="str">
        <f>IF(Trabajos!D63="","",Trabajos!D63)</f>
        <v>Monitoreo de bb y bab</v>
      </c>
      <c r="E63" s="70" t="str">
        <f>IF(Trabajos!G63="","",Trabajos!G63)</f>
        <v>El Moro Viejo</v>
      </c>
      <c r="F63" s="108">
        <f>IF(Trabajos!H63="","",Trabajos!H63)</f>
        <v>335</v>
      </c>
      <c r="G63" s="84">
        <f>IF(Trabajos!I63="","",Trabajos!I63)</f>
        <v>3035.25</v>
      </c>
      <c r="H63" s="84">
        <f>IF(Trabajos!J63="","",Trabajos!J63)</f>
        <v>1016808.75</v>
      </c>
      <c r="I63" s="107">
        <f>IF(Trabajos!M63="","",Trabajos!M63)</f>
        <v>156</v>
      </c>
      <c r="J63" s="84">
        <f>IF(Trabajos!N63="","",Trabajos!N63)</f>
        <v>588</v>
      </c>
      <c r="K63" s="84">
        <f>IF(Trabajos!O63="","",Trabajos!O63)</f>
        <v>91728</v>
      </c>
      <c r="L63" s="84">
        <f>IF(Trabajos!P63="","",Trabajos!P63)</f>
        <v>1108536.75</v>
      </c>
    </row>
    <row r="64" spans="2:12" x14ac:dyDescent="0.25">
      <c r="B64" s="106">
        <f>IF(Trabajos!B64="","",Trabajos!B64)</f>
        <v>45933</v>
      </c>
      <c r="C64" s="70" t="str">
        <f>IF(Trabajos!F64="","",Trabajos!F64)</f>
        <v>Espartina S.A.</v>
      </c>
      <c r="D64" s="70" t="str">
        <f>IF(Trabajos!D64="","",Trabajos!D64)</f>
        <v>Monitoreo de bb y bab</v>
      </c>
      <c r="E64" s="70" t="str">
        <f>IF(Trabajos!G64="","",Trabajos!G64)</f>
        <v>La Azucena</v>
      </c>
      <c r="F64" s="108">
        <f>IF(Trabajos!H64="","",Trabajos!H64)</f>
        <v>184</v>
      </c>
      <c r="G64" s="84">
        <f>IF(Trabajos!I64="","",Trabajos!I64)</f>
        <v>3035.25</v>
      </c>
      <c r="H64" s="84">
        <f>IF(Trabajos!J64="","",Trabajos!J64)</f>
        <v>558486</v>
      </c>
      <c r="I64" s="107">
        <f>IF(Trabajos!M64="","",Trabajos!M64)</f>
        <v>0</v>
      </c>
      <c r="J64" s="84">
        <f>IF(Trabajos!N64="","",Trabajos!N64)</f>
        <v>588</v>
      </c>
      <c r="K64" s="84">
        <f>IF(Trabajos!O64="","",Trabajos!O64)</f>
        <v>0</v>
      </c>
      <c r="L64" s="84">
        <f>IF(Trabajos!P64="","",Trabajos!P64)</f>
        <v>558486</v>
      </c>
    </row>
    <row r="65" spans="2:12" x14ac:dyDescent="0.25">
      <c r="B65" s="106">
        <f>IF(Trabajos!B65="","",Trabajos!B65)</f>
        <v>45933</v>
      </c>
      <c r="C65" s="70" t="str">
        <f>IF(Trabajos!F65="","",Trabajos!F65)</f>
        <v>Espartina S.A.</v>
      </c>
      <c r="D65" s="70" t="str">
        <f>IF(Trabajos!D65="","",Trabajos!D65)</f>
        <v>Monitoreo de bb y bab</v>
      </c>
      <c r="E65" s="70" t="str">
        <f>IF(Trabajos!G65="","",Trabajos!G65)</f>
        <v>El Moro Viejo</v>
      </c>
      <c r="F65" s="108">
        <f>IF(Trabajos!H65="","",Trabajos!H65)</f>
        <v>184</v>
      </c>
      <c r="G65" s="84">
        <f>IF(Trabajos!I65="","",Trabajos!I65)</f>
        <v>3035.25</v>
      </c>
      <c r="H65" s="84">
        <f>IF(Trabajos!J65="","",Trabajos!J65)</f>
        <v>558486</v>
      </c>
      <c r="I65" s="107">
        <f>IF(Trabajos!M65="","",Trabajos!M65)</f>
        <v>156</v>
      </c>
      <c r="J65" s="84">
        <f>IF(Trabajos!N65="","",Trabajos!N65)</f>
        <v>588</v>
      </c>
      <c r="K65" s="84">
        <f>IF(Trabajos!O65="","",Trabajos!O65)</f>
        <v>91728</v>
      </c>
      <c r="L65" s="84">
        <f>IF(Trabajos!P65="","",Trabajos!P65)</f>
        <v>650214</v>
      </c>
    </row>
    <row r="66" spans="2:12" x14ac:dyDescent="0.25">
      <c r="B66" s="106">
        <f>IF(Trabajos!B66="","",Trabajos!B66)</f>
        <v>45933</v>
      </c>
      <c r="C66" s="70" t="str">
        <f>IF(Trabajos!F66="","",Trabajos!F66)</f>
        <v>Ignacio Ridao</v>
      </c>
      <c r="D66" s="70" t="str">
        <f>IF(Trabajos!D66="","",Trabajos!D66)</f>
        <v>Monitoreo de bb y bab</v>
      </c>
      <c r="E66" s="70" t="str">
        <f>IF(Trabajos!G66="","",Trabajos!G66)</f>
        <v>La Guadalupe</v>
      </c>
      <c r="F66" s="108">
        <f>IF(Trabajos!H66="","",Trabajos!H66)</f>
        <v>79</v>
      </c>
      <c r="G66" s="84">
        <f>IF(Trabajos!I66="","",Trabajos!I66)</f>
        <v>3628.75</v>
      </c>
      <c r="H66" s="84">
        <f>IF(Trabajos!J66="","",Trabajos!J66)</f>
        <v>286671.25</v>
      </c>
      <c r="I66" s="107">
        <f>IF(Trabajos!M66="","",Trabajos!M66)</f>
        <v>64</v>
      </c>
      <c r="J66" s="84">
        <f>IF(Trabajos!N66="","",Trabajos!N66)</f>
        <v>650</v>
      </c>
      <c r="K66" s="84">
        <f>IF(Trabajos!O66="","",Trabajos!O66)</f>
        <v>41600</v>
      </c>
      <c r="L66" s="84">
        <f>IF(Trabajos!P66="","",Trabajos!P66)</f>
        <v>328271.25</v>
      </c>
    </row>
    <row r="67" spans="2:12" x14ac:dyDescent="0.25">
      <c r="B67" s="106">
        <f>IF(Trabajos!B67="","",Trabajos!B67)</f>
        <v>45934</v>
      </c>
      <c r="C67" s="70" t="str">
        <f>IF(Trabajos!F67="","",Trabajos!F67)</f>
        <v>Espartina S.A.</v>
      </c>
      <c r="D67" s="70" t="str">
        <f>IF(Trabajos!D67="","",Trabajos!D67)</f>
        <v>Monitoreo de bb y bab</v>
      </c>
      <c r="E67" s="70" t="str">
        <f>IF(Trabajos!G67="","",Trabajos!G67)</f>
        <v>Santa Isabel Cozumel</v>
      </c>
      <c r="F67" s="108">
        <f>IF(Trabajos!H67="","",Trabajos!H67)</f>
        <v>201</v>
      </c>
      <c r="G67" s="84">
        <f>IF(Trabajos!I67="","",Trabajos!I67)</f>
        <v>3035.25</v>
      </c>
      <c r="H67" s="84">
        <f>IF(Trabajos!J67="","",Trabajos!J67)</f>
        <v>610085.25</v>
      </c>
      <c r="I67" s="107">
        <f>IF(Trabajos!M67="","",Trabajos!M67)</f>
        <v>0</v>
      </c>
      <c r="J67" s="84">
        <f>IF(Trabajos!N67="","",Trabajos!N67)</f>
        <v>588</v>
      </c>
      <c r="K67" s="84">
        <f>IF(Trabajos!O67="","",Trabajos!O67)</f>
        <v>0</v>
      </c>
      <c r="L67" s="84">
        <f>IF(Trabajos!P67="","",Trabajos!P67)</f>
        <v>610085.25</v>
      </c>
    </row>
    <row r="68" spans="2:12" x14ac:dyDescent="0.25">
      <c r="B68" s="106">
        <f>IF(Trabajos!B68="","",Trabajos!B68)</f>
        <v>45934</v>
      </c>
      <c r="C68" s="70" t="str">
        <f>IF(Trabajos!F68="","",Trabajos!F68)</f>
        <v>Espartina S.A.</v>
      </c>
      <c r="D68" s="70" t="str">
        <f>IF(Trabajos!D68="","",Trabajos!D68)</f>
        <v>Monitoreo de bb y bab</v>
      </c>
      <c r="E68" s="70" t="str">
        <f>IF(Trabajos!G68="","",Trabajos!G68)</f>
        <v>Las Overas</v>
      </c>
      <c r="F68" s="108">
        <f>IF(Trabajos!H68="","",Trabajos!H68)</f>
        <v>206</v>
      </c>
      <c r="G68" s="84">
        <f>IF(Trabajos!I68="","",Trabajos!I68)</f>
        <v>3035.25</v>
      </c>
      <c r="H68" s="84">
        <f>IF(Trabajos!J68="","",Trabajos!J68)</f>
        <v>625261.5</v>
      </c>
      <c r="I68" s="107">
        <f>IF(Trabajos!M68="","",Trabajos!M68)</f>
        <v>236</v>
      </c>
      <c r="J68" s="84">
        <f>IF(Trabajos!N68="","",Trabajos!N68)</f>
        <v>588</v>
      </c>
      <c r="K68" s="84">
        <f>IF(Trabajos!O68="","",Trabajos!O68)</f>
        <v>138768</v>
      </c>
      <c r="L68" s="84">
        <f>IF(Trabajos!P68="","",Trabajos!P68)</f>
        <v>764029.5</v>
      </c>
    </row>
    <row r="69" spans="2:12" x14ac:dyDescent="0.25">
      <c r="B69" s="106">
        <f>IF(Trabajos!B69="","",Trabajos!B69)</f>
        <v>45934</v>
      </c>
      <c r="C69" s="70" t="str">
        <f>IF(Trabajos!F69="","",Trabajos!F69)</f>
        <v>Nugas S.A.</v>
      </c>
      <c r="D69" s="70" t="str">
        <f>IF(Trabajos!D69="","",Trabajos!D69)</f>
        <v>Monitoreo de bb y bab</v>
      </c>
      <c r="E69" s="70" t="str">
        <f>IF(Trabajos!G69="","",Trabajos!G69)</f>
        <v>La Alborada</v>
      </c>
      <c r="F69" s="108">
        <f>IF(Trabajos!H69="","",Trabajos!H69)</f>
        <v>154</v>
      </c>
      <c r="G69" s="84">
        <f>IF(Trabajos!I69="","",Trabajos!I69)</f>
        <v>3628.75</v>
      </c>
      <c r="H69" s="84">
        <f>IF(Trabajos!J69="","",Trabajos!J69)</f>
        <v>558827.5</v>
      </c>
      <c r="I69" s="107">
        <f>IF(Trabajos!M69="","",Trabajos!M69)</f>
        <v>160</v>
      </c>
      <c r="J69" s="84">
        <f>IF(Trabajos!N69="","",Trabajos!N69)</f>
        <v>650</v>
      </c>
      <c r="K69" s="84">
        <f>IF(Trabajos!O69="","",Trabajos!O69)</f>
        <v>104000</v>
      </c>
      <c r="L69" s="84">
        <f>IF(Trabajos!P69="","",Trabajos!P69)</f>
        <v>662827.5</v>
      </c>
    </row>
    <row r="70" spans="2:12" x14ac:dyDescent="0.25">
      <c r="B70" s="106">
        <f>IF(Trabajos!B70="","",Trabajos!B70)</f>
        <v>45934</v>
      </c>
      <c r="C70" s="70" t="str">
        <f>IF(Trabajos!F70="","",Trabajos!F70)</f>
        <v>Bruno Fioriti</v>
      </c>
      <c r="D70" s="70" t="str">
        <f>IF(Trabajos!D70="","",Trabajos!D70)</f>
        <v>Monitoreo de bb y bab</v>
      </c>
      <c r="E70" s="70" t="str">
        <f>IF(Trabajos!G70="","",Trabajos!G70)</f>
        <v>El Volcan</v>
      </c>
      <c r="F70" s="108">
        <f>IF(Trabajos!H70="","",Trabajos!H70)</f>
        <v>58</v>
      </c>
      <c r="G70" s="84">
        <f>IF(Trabajos!I70="","",Trabajos!I70)</f>
        <v>3505</v>
      </c>
      <c r="H70" s="84">
        <f>IF(Trabajos!J70="","",Trabajos!J70)</f>
        <v>203290</v>
      </c>
      <c r="I70" s="107">
        <f>IF(Trabajos!M70="","",Trabajos!M70)</f>
        <v>62</v>
      </c>
      <c r="J70" s="84">
        <f>IF(Trabajos!N70="","",Trabajos!N70)</f>
        <v>650</v>
      </c>
      <c r="K70" s="84">
        <f>IF(Trabajos!O70="","",Trabajos!O70)</f>
        <v>40300</v>
      </c>
      <c r="L70" s="84">
        <f>IF(Trabajos!P70="","",Trabajos!P70)</f>
        <v>243590</v>
      </c>
    </row>
    <row r="71" spans="2:12" x14ac:dyDescent="0.25">
      <c r="B71" s="106">
        <f>IF(Trabajos!B71="","",Trabajos!B71)</f>
        <v>45934</v>
      </c>
      <c r="C71" s="70" t="str">
        <f>IF(Trabajos!F71="","",Trabajos!F71)</f>
        <v>Espartina S.A.</v>
      </c>
      <c r="D71" s="70" t="str">
        <f>IF(Trabajos!D71="","",Trabajos!D71)</f>
        <v>Muestreo de suelos</v>
      </c>
      <c r="E71" s="70" t="str">
        <f>IF(Trabajos!G71="","",Trabajos!G71)</f>
        <v>El Moro Viejo</v>
      </c>
      <c r="F71" s="108">
        <f>IF(Trabajos!H71="","",Trabajos!H71)</f>
        <v>80</v>
      </c>
      <c r="G71" s="84">
        <f>IF(Trabajos!I71="","",Trabajos!I71)</f>
        <v>947.70673076900005</v>
      </c>
      <c r="H71" s="84">
        <f>IF(Trabajos!J71="","",Trabajos!J71)</f>
        <v>75816.538461520002</v>
      </c>
      <c r="I71" s="107">
        <f>IF(Trabajos!M71="","",Trabajos!M71)</f>
        <v>0</v>
      </c>
      <c r="J71" s="84">
        <f>IF(Trabajos!N71="","",Trabajos!N71)</f>
        <v>588</v>
      </c>
      <c r="K71" s="84">
        <f>IF(Trabajos!O71="","",Trabajos!O71)</f>
        <v>0</v>
      </c>
      <c r="L71" s="84">
        <f>IF(Trabajos!P71="","",Trabajos!P71)</f>
        <v>75816.538461520002</v>
      </c>
    </row>
    <row r="72" spans="2:12" x14ac:dyDescent="0.25">
      <c r="B72" s="106">
        <f>IF(Trabajos!B72="","",Trabajos!B72)</f>
        <v>45934</v>
      </c>
      <c r="C72" s="70" t="str">
        <f>IF(Trabajos!F72="","",Trabajos!F72)</f>
        <v>Espartina S.A.</v>
      </c>
      <c r="D72" s="70" t="str">
        <f>IF(Trabajos!D72="","",Trabajos!D72)</f>
        <v>Muestreo de suelos</v>
      </c>
      <c r="E72" s="70" t="str">
        <f>IF(Trabajos!G72="","",Trabajos!G72)</f>
        <v>Santa Maria del Moro</v>
      </c>
      <c r="F72" s="108">
        <f>IF(Trabajos!H72="","",Trabajos!H72)</f>
        <v>80</v>
      </c>
      <c r="G72" s="84">
        <f>IF(Trabajos!I72="","",Trabajos!I72)</f>
        <v>947.70673076900005</v>
      </c>
      <c r="H72" s="84">
        <f>IF(Trabajos!J72="","",Trabajos!J72)</f>
        <v>75816.538461520002</v>
      </c>
      <c r="I72" s="107">
        <f>IF(Trabajos!M72="","",Trabajos!M72)</f>
        <v>0</v>
      </c>
      <c r="J72" s="84">
        <f>IF(Trabajos!N72="","",Trabajos!N72)</f>
        <v>588</v>
      </c>
      <c r="K72" s="84">
        <f>IF(Trabajos!O72="","",Trabajos!O72)</f>
        <v>0</v>
      </c>
      <c r="L72" s="84">
        <f>IF(Trabajos!P72="","",Trabajos!P72)</f>
        <v>75816.538461520002</v>
      </c>
    </row>
    <row r="73" spans="2:12" x14ac:dyDescent="0.25">
      <c r="B73" s="106">
        <f>IF(Trabajos!B73="","",Trabajos!B73)</f>
        <v>45937</v>
      </c>
      <c r="C73" s="70" t="str">
        <f>IF(Trabajos!F73="","",Trabajos!F73)</f>
        <v>Espartina S.A.</v>
      </c>
      <c r="D73" s="70" t="str">
        <f>IF(Trabajos!D73="","",Trabajos!D73)</f>
        <v>Monitoreo de bb y bab</v>
      </c>
      <c r="E73" s="70" t="str">
        <f>IF(Trabajos!G73="","",Trabajos!G73)</f>
        <v>San Jose</v>
      </c>
      <c r="F73" s="108">
        <f>IF(Trabajos!H73="","",Trabajos!H73)</f>
        <v>450</v>
      </c>
      <c r="G73" s="84">
        <f>IF(Trabajos!I73="","",Trabajos!I73)</f>
        <v>3035.25</v>
      </c>
      <c r="H73" s="84">
        <f>IF(Trabajos!J73="","",Trabajos!J73)</f>
        <v>1365862.5</v>
      </c>
      <c r="I73" s="107">
        <f>IF(Trabajos!M73="","",Trabajos!M73)</f>
        <v>370</v>
      </c>
      <c r="J73" s="84">
        <f>IF(Trabajos!N73="","",Trabajos!N73)</f>
        <v>588</v>
      </c>
      <c r="K73" s="84">
        <f>IF(Trabajos!O73="","",Trabajos!O73)</f>
        <v>217560</v>
      </c>
      <c r="L73" s="84">
        <f>IF(Trabajos!P73="","",Trabajos!P73)</f>
        <v>1583422.5</v>
      </c>
    </row>
    <row r="74" spans="2:12" x14ac:dyDescent="0.25">
      <c r="B74" s="106">
        <f>IF(Trabajos!B74="","",Trabajos!B74)</f>
        <v>45938</v>
      </c>
      <c r="C74" s="70" t="str">
        <f>IF(Trabajos!F74="","",Trabajos!F74)</f>
        <v>Espartina S.A.</v>
      </c>
      <c r="D74" s="70" t="str">
        <f>IF(Trabajos!D74="","",Trabajos!D74)</f>
        <v>Monitoreo de bb y bab</v>
      </c>
      <c r="E74" s="70" t="str">
        <f>IF(Trabajos!G74="","",Trabajos!G74)</f>
        <v>El Ceibo II</v>
      </c>
      <c r="F74" s="108">
        <f>IF(Trabajos!H74="","",Trabajos!H74)</f>
        <v>126</v>
      </c>
      <c r="G74" s="84">
        <f>IF(Trabajos!I74="","",Trabajos!I74)</f>
        <v>3035.25</v>
      </c>
      <c r="H74" s="84">
        <f>IF(Trabajos!J74="","",Trabajos!J74)</f>
        <v>382441.5</v>
      </c>
      <c r="I74" s="107">
        <f>IF(Trabajos!M74="","",Trabajos!M74)</f>
        <v>208</v>
      </c>
      <c r="J74" s="84">
        <f>IF(Trabajos!N74="","",Trabajos!N74)</f>
        <v>588</v>
      </c>
      <c r="K74" s="84">
        <f>IF(Trabajos!O74="","",Trabajos!O74)</f>
        <v>122304</v>
      </c>
      <c r="L74" s="84">
        <f>IF(Trabajos!P74="","",Trabajos!P74)</f>
        <v>504745.5</v>
      </c>
    </row>
    <row r="75" spans="2:12" x14ac:dyDescent="0.25">
      <c r="B75" s="106">
        <f>IF(Trabajos!B75="","",Trabajos!B75)</f>
        <v>45938</v>
      </c>
      <c r="C75" s="70" t="str">
        <f>IF(Trabajos!F75="","",Trabajos!F75)</f>
        <v>Espartina S.A.</v>
      </c>
      <c r="D75" s="70" t="str">
        <f>IF(Trabajos!D75="","",Trabajos!D75)</f>
        <v>Aplicación de cebos</v>
      </c>
      <c r="E75" s="70" t="str">
        <f>IF(Trabajos!G75="","",Trabajos!G75)</f>
        <v>El Moro Viejo</v>
      </c>
      <c r="F75" s="108">
        <f>IF(Trabajos!H75="","",Trabajos!H75)</f>
        <v>150</v>
      </c>
      <c r="G75" s="84">
        <f>IF(Trabajos!I75="","",Trabajos!I75)</f>
        <v>7267.5</v>
      </c>
      <c r="H75" s="84">
        <f>IF(Trabajos!J75="","",Trabajos!J75)</f>
        <v>1090125</v>
      </c>
      <c r="I75" s="107">
        <f>IF(Trabajos!M75="","",Trabajos!M75)</f>
        <v>156</v>
      </c>
      <c r="J75" s="84">
        <f>IF(Trabajos!N75="","",Trabajos!N75)</f>
        <v>633.85</v>
      </c>
      <c r="K75" s="84">
        <f>IF(Trabajos!O75="","",Trabajos!O75)</f>
        <v>98880.6</v>
      </c>
      <c r="L75" s="84">
        <f>IF(Trabajos!P75="","",Trabajos!P75)</f>
        <v>1189005.6000000001</v>
      </c>
    </row>
    <row r="76" spans="2:12" x14ac:dyDescent="0.25">
      <c r="B76" s="106">
        <f>IF(Trabajos!B76="","",Trabajos!B76)</f>
        <v>45938</v>
      </c>
      <c r="C76" s="70" t="str">
        <f>IF(Trabajos!F76="","",Trabajos!F76)</f>
        <v>Nugas S.A.</v>
      </c>
      <c r="D76" s="70" t="str">
        <f>IF(Trabajos!D76="","",Trabajos!D76)</f>
        <v>Monitoreo de bb y bab</v>
      </c>
      <c r="E76" s="70" t="str">
        <f>IF(Trabajos!G76="","",Trabajos!G76)</f>
        <v>La Alborada</v>
      </c>
      <c r="F76" s="108">
        <f>IF(Trabajos!H76="","",Trabajos!H76)</f>
        <v>229</v>
      </c>
      <c r="G76" s="84">
        <f>IF(Trabajos!I76="","",Trabajos!I76)</f>
        <v>3628.75</v>
      </c>
      <c r="H76" s="84">
        <f>IF(Trabajos!J76="","",Trabajos!J76)</f>
        <v>830983.75</v>
      </c>
      <c r="I76" s="107">
        <f>IF(Trabajos!M76="","",Trabajos!M76)</f>
        <v>160</v>
      </c>
      <c r="J76" s="84">
        <f>IF(Trabajos!N76="","",Trabajos!N76)</f>
        <v>650</v>
      </c>
      <c r="K76" s="84">
        <f>IF(Trabajos!O76="","",Trabajos!O76)</f>
        <v>104000</v>
      </c>
      <c r="L76" s="84">
        <f>IF(Trabajos!P76="","",Trabajos!P76)</f>
        <v>934983.75</v>
      </c>
    </row>
    <row r="77" spans="2:12" x14ac:dyDescent="0.25">
      <c r="B77" s="106">
        <f>IF(Trabajos!B77="","",Trabajos!B77)</f>
        <v>45938</v>
      </c>
      <c r="C77" s="70" t="str">
        <f>IF(Trabajos!F77="","",Trabajos!F77)</f>
        <v>La Nany S.A.</v>
      </c>
      <c r="D77" s="70" t="str">
        <f>IF(Trabajos!D77="","",Trabajos!D77)</f>
        <v>Muestreo de suelos</v>
      </c>
      <c r="E77" s="70" t="str">
        <f>IF(Trabajos!G77="","",Trabajos!G77)</f>
        <v>La Nany</v>
      </c>
      <c r="F77" s="108">
        <f>IF(Trabajos!H77="","",Trabajos!H77)</f>
        <v>100</v>
      </c>
      <c r="G77" s="84">
        <f>IF(Trabajos!I77="","",Trabajos!I77)</f>
        <v>1158</v>
      </c>
      <c r="H77" s="84">
        <f>IF(Trabajos!J77="","",Trabajos!J77)</f>
        <v>115800</v>
      </c>
      <c r="I77" s="107">
        <f>IF(Trabajos!M77="","",Trabajos!M77)</f>
        <v>0</v>
      </c>
      <c r="J77" s="84">
        <f>IF(Trabajos!N77="","",Trabajos!N77)</f>
        <v>650</v>
      </c>
      <c r="K77" s="84">
        <f>IF(Trabajos!O77="","",Trabajos!O77)</f>
        <v>0</v>
      </c>
      <c r="L77" s="84">
        <f>IF(Trabajos!P77="","",Trabajos!P77)</f>
        <v>115800</v>
      </c>
    </row>
    <row r="78" spans="2:12" x14ac:dyDescent="0.25">
      <c r="B78" s="106">
        <f>IF(Trabajos!B78="","",Trabajos!B78)</f>
        <v>45938</v>
      </c>
      <c r="C78" s="70" t="str">
        <f>IF(Trabajos!F78="","",Trabajos!F78)</f>
        <v>La Nany S.A.</v>
      </c>
      <c r="D78" s="70" t="str">
        <f>IF(Trabajos!D78="","",Trabajos!D78)</f>
        <v>Muestreo de suelos</v>
      </c>
      <c r="E78" s="70" t="str">
        <f>IF(Trabajos!G78="","",Trabajos!G78)</f>
        <v>La Adelia</v>
      </c>
      <c r="F78" s="108">
        <f>IF(Trabajos!H78="","",Trabajos!H78)</f>
        <v>100</v>
      </c>
      <c r="G78" s="84">
        <f>IF(Trabajos!I78="","",Trabajos!I78)</f>
        <v>1158</v>
      </c>
      <c r="H78" s="84">
        <f>IF(Trabajos!J78="","",Trabajos!J78)</f>
        <v>115800</v>
      </c>
      <c r="I78" s="107">
        <f>IF(Trabajos!M78="","",Trabajos!M78)</f>
        <v>104</v>
      </c>
      <c r="J78" s="84">
        <f>IF(Trabajos!N78="","",Trabajos!N78)</f>
        <v>650</v>
      </c>
      <c r="K78" s="84">
        <f>IF(Trabajos!O78="","",Trabajos!O78)</f>
        <v>67600</v>
      </c>
      <c r="L78" s="84">
        <f>IF(Trabajos!P78="","",Trabajos!P78)</f>
        <v>183400</v>
      </c>
    </row>
    <row r="79" spans="2:12" x14ac:dyDescent="0.25">
      <c r="B79" s="106">
        <f>IF(Trabajos!B79="","",Trabajos!B79)</f>
        <v>45939</v>
      </c>
      <c r="C79" s="70" t="str">
        <f>IF(Trabajos!F79="","",Trabajos!F79)</f>
        <v>Espartina S.A.</v>
      </c>
      <c r="D79" s="70" t="str">
        <f>IF(Trabajos!D79="","",Trabajos!D79)</f>
        <v>Monitoreo de bb y bab</v>
      </c>
      <c r="E79" s="70" t="str">
        <f>IF(Trabajos!G79="","",Trabajos!G79)</f>
        <v>La Trinidad</v>
      </c>
      <c r="F79" s="108">
        <f>IF(Trabajos!H79="","",Trabajos!H79)</f>
        <v>148</v>
      </c>
      <c r="G79" s="84">
        <f>IF(Trabajos!I79="","",Trabajos!I79)</f>
        <v>3035.25</v>
      </c>
      <c r="H79" s="84">
        <f>IF(Trabajos!J79="","",Trabajos!J79)</f>
        <v>449217</v>
      </c>
      <c r="I79" s="107">
        <f>IF(Trabajos!M79="","",Trabajos!M79)</f>
        <v>164</v>
      </c>
      <c r="J79" s="84">
        <f>IF(Trabajos!N79="","",Trabajos!N79)</f>
        <v>588</v>
      </c>
      <c r="K79" s="84">
        <f>IF(Trabajos!O79="","",Trabajos!O79)</f>
        <v>96432</v>
      </c>
      <c r="L79" s="84">
        <f>IF(Trabajos!P79="","",Trabajos!P79)</f>
        <v>545649</v>
      </c>
    </row>
    <row r="80" spans="2:12" x14ac:dyDescent="0.25">
      <c r="B80" s="106">
        <f>IF(Trabajos!B80="","",Trabajos!B80)</f>
        <v>45939</v>
      </c>
      <c r="C80" s="70" t="str">
        <f>IF(Trabajos!F80="","",Trabajos!F80)</f>
        <v>Campo Maipu S.A.</v>
      </c>
      <c r="D80" s="70" t="str">
        <f>IF(Trabajos!D80="","",Trabajos!D80)</f>
        <v>Monitoreo de bb y bab</v>
      </c>
      <c r="E80" s="70" t="str">
        <f>IF(Trabajos!G80="","",Trabajos!G80)</f>
        <v>San Esteban</v>
      </c>
      <c r="F80" s="108">
        <f>IF(Trabajos!H80="","",Trabajos!H80)</f>
        <v>140</v>
      </c>
      <c r="G80" s="84">
        <f>IF(Trabajos!I80="","",Trabajos!I80)</f>
        <v>3505</v>
      </c>
      <c r="H80" s="84">
        <f>IF(Trabajos!J80="","",Trabajos!J80)</f>
        <v>490700</v>
      </c>
      <c r="I80" s="107">
        <f>IF(Trabajos!M80="","",Trabajos!M80)</f>
        <v>352</v>
      </c>
      <c r="J80" s="84">
        <f>IF(Trabajos!N80="","",Trabajos!N80)</f>
        <v>650</v>
      </c>
      <c r="K80" s="84">
        <f>IF(Trabajos!O80="","",Trabajos!O80)</f>
        <v>228800</v>
      </c>
      <c r="L80" s="84">
        <f>IF(Trabajos!P80="","",Trabajos!P80)</f>
        <v>719500</v>
      </c>
    </row>
    <row r="81" spans="2:12" x14ac:dyDescent="0.25">
      <c r="B81" s="106">
        <f>IF(Trabajos!B81="","",Trabajos!B81)</f>
        <v>45939</v>
      </c>
      <c r="C81" s="70" t="str">
        <f>IF(Trabajos!F81="","",Trabajos!F81)</f>
        <v>Cofina Agro</v>
      </c>
      <c r="D81" s="70" t="str">
        <f>IF(Trabajos!D81="","",Trabajos!D81)</f>
        <v>Monitoreo de bb y bab</v>
      </c>
      <c r="E81" s="70" t="str">
        <f>IF(Trabajos!G81="","",Trabajos!G81)</f>
        <v>El Retoño</v>
      </c>
      <c r="F81" s="108">
        <f>IF(Trabajos!H81="","",Trabajos!H81)</f>
        <v>45</v>
      </c>
      <c r="G81" s="84">
        <f>IF(Trabajos!I81="","",Trabajos!I81)</f>
        <v>3631.25</v>
      </c>
      <c r="H81" s="84">
        <f>IF(Trabajos!J81="","",Trabajos!J81)</f>
        <v>163406.25</v>
      </c>
      <c r="I81" s="107">
        <f>IF(Trabajos!M81="","",Trabajos!M81)</f>
        <v>62</v>
      </c>
      <c r="J81" s="84">
        <f>IF(Trabajos!N81="","",Trabajos!N81)</f>
        <v>650</v>
      </c>
      <c r="K81" s="84">
        <f>IF(Trabajos!O81="","",Trabajos!O81)</f>
        <v>40300</v>
      </c>
      <c r="L81" s="84">
        <f>IF(Trabajos!P81="","",Trabajos!P81)</f>
        <v>203706.25</v>
      </c>
    </row>
    <row r="82" spans="2:12" x14ac:dyDescent="0.25">
      <c r="B82" s="106">
        <f>IF(Trabajos!B82="","",Trabajos!B82)</f>
        <v>45939</v>
      </c>
      <c r="C82" s="70" t="str">
        <f>IF(Trabajos!F82="","",Trabajos!F82)</f>
        <v>Nugas S.A.</v>
      </c>
      <c r="D82" s="70" t="str">
        <f>IF(Trabajos!D82="","",Trabajos!D82)</f>
        <v>Muestreo de suelos</v>
      </c>
      <c r="E82" s="70" t="str">
        <f>IF(Trabajos!G82="","",Trabajos!G82)</f>
        <v>La Alborada</v>
      </c>
      <c r="F82" s="108">
        <f>IF(Trabajos!H82="","",Trabajos!H82)</f>
        <v>155</v>
      </c>
      <c r="G82" s="84">
        <f>IF(Trabajos!I82="","",Trabajos!I82)</f>
        <v>1451.5</v>
      </c>
      <c r="H82" s="84">
        <f>IF(Trabajos!J82="","",Trabajos!J82)</f>
        <v>224982.5</v>
      </c>
      <c r="I82" s="107">
        <f>IF(Trabajos!M82="","",Trabajos!M82)</f>
        <v>160</v>
      </c>
      <c r="J82" s="84">
        <f>IF(Trabajos!N82="","",Trabajos!N82)</f>
        <v>650</v>
      </c>
      <c r="K82" s="84">
        <f>IF(Trabajos!O82="","",Trabajos!O82)</f>
        <v>104000</v>
      </c>
      <c r="L82" s="84">
        <f>IF(Trabajos!P82="","",Trabajos!P82)</f>
        <v>328982.5</v>
      </c>
    </row>
    <row r="83" spans="2:12" x14ac:dyDescent="0.25">
      <c r="B83" s="106">
        <f>IF(Trabajos!B83="","",Trabajos!B83)</f>
        <v>45940</v>
      </c>
      <c r="C83" s="70" t="str">
        <f>IF(Trabajos!F83="","",Trabajos!F83)</f>
        <v>Espartina S.A.</v>
      </c>
      <c r="D83" s="70" t="str">
        <f>IF(Trabajos!D83="","",Trabajos!D83)</f>
        <v>Monitoreo de bb y bab</v>
      </c>
      <c r="E83" s="70" t="str">
        <f>IF(Trabajos!G83="","",Trabajos!G83)</f>
        <v>La Trinidad</v>
      </c>
      <c r="F83" s="108">
        <f>IF(Trabajos!H83="","",Trabajos!H83)</f>
        <v>224</v>
      </c>
      <c r="G83" s="84">
        <f>IF(Trabajos!I83="","",Trabajos!I83)</f>
        <v>3035.25</v>
      </c>
      <c r="H83" s="84">
        <f>IF(Trabajos!J83="","",Trabajos!J83)</f>
        <v>679896</v>
      </c>
      <c r="I83" s="107">
        <f>IF(Trabajos!M83="","",Trabajos!M83)</f>
        <v>164</v>
      </c>
      <c r="J83" s="84">
        <f>IF(Trabajos!N83="","",Trabajos!N83)</f>
        <v>588</v>
      </c>
      <c r="K83" s="84">
        <f>IF(Trabajos!O83="","",Trabajos!O83)</f>
        <v>96432</v>
      </c>
      <c r="L83" s="84">
        <f>IF(Trabajos!P83="","",Trabajos!P83)</f>
        <v>776328</v>
      </c>
    </row>
    <row r="84" spans="2:12" x14ac:dyDescent="0.25">
      <c r="B84" s="106">
        <f>IF(Trabajos!B84="","",Trabajos!B84)</f>
        <v>45940</v>
      </c>
      <c r="C84" s="70" t="str">
        <f>IF(Trabajos!F84="","",Trabajos!F84)</f>
        <v>Espartina S.A.</v>
      </c>
      <c r="D84" s="70" t="str">
        <f>IF(Trabajos!D84="","",Trabajos!D84)</f>
        <v>Monitoreo de bb y bab</v>
      </c>
      <c r="E84" s="70" t="str">
        <f>IF(Trabajos!G84="","",Trabajos!G84)</f>
        <v>Aitona</v>
      </c>
      <c r="F84" s="108">
        <f>IF(Trabajos!H84="","",Trabajos!H84)</f>
        <v>408</v>
      </c>
      <c r="G84" s="84">
        <f>IF(Trabajos!I84="","",Trabajos!I84)</f>
        <v>3035.25</v>
      </c>
      <c r="H84" s="84">
        <f>IF(Trabajos!J84="","",Trabajos!J84)</f>
        <v>1238382</v>
      </c>
      <c r="I84" s="107">
        <f>IF(Trabajos!M84="","",Trabajos!M84)</f>
        <v>352</v>
      </c>
      <c r="J84" s="84">
        <f>IF(Trabajos!N84="","",Trabajos!N84)</f>
        <v>588</v>
      </c>
      <c r="K84" s="84">
        <f>IF(Trabajos!O84="","",Trabajos!O84)</f>
        <v>206976</v>
      </c>
      <c r="L84" s="84">
        <f>IF(Trabajos!P84="","",Trabajos!P84)</f>
        <v>1445358</v>
      </c>
    </row>
    <row r="85" spans="2:12" x14ac:dyDescent="0.25">
      <c r="B85" s="106">
        <f>IF(Trabajos!B85="","",Trabajos!B85)</f>
        <v>45940</v>
      </c>
      <c r="C85" s="70" t="str">
        <f>IF(Trabajos!F85="","",Trabajos!F85)</f>
        <v>Espartina S.A.</v>
      </c>
      <c r="D85" s="70" t="str">
        <f>IF(Trabajos!D85="","",Trabajos!D85)</f>
        <v>Monitoreo de bb y bab</v>
      </c>
      <c r="E85" s="70" t="str">
        <f>IF(Trabajos!G85="","",Trabajos!G85)</f>
        <v>San Marcos</v>
      </c>
      <c r="F85" s="108">
        <f>IF(Trabajos!H85="","",Trabajos!H85)</f>
        <v>122</v>
      </c>
      <c r="G85" s="84">
        <f>IF(Trabajos!I85="","",Trabajos!I85)</f>
        <v>3035.25</v>
      </c>
      <c r="H85" s="84">
        <f>IF(Trabajos!J85="","",Trabajos!J85)</f>
        <v>370300.5</v>
      </c>
      <c r="I85" s="107">
        <f>IF(Trabajos!M85="","",Trabajos!M85)</f>
        <v>184</v>
      </c>
      <c r="J85" s="84">
        <f>IF(Trabajos!N85="","",Trabajos!N85)</f>
        <v>588</v>
      </c>
      <c r="K85" s="84">
        <f>IF(Trabajos!O85="","",Trabajos!O85)</f>
        <v>108192</v>
      </c>
      <c r="L85" s="84">
        <f>IF(Trabajos!P85="","",Trabajos!P85)</f>
        <v>478492.5</v>
      </c>
    </row>
    <row r="86" spans="2:12" x14ac:dyDescent="0.25">
      <c r="B86" s="106">
        <f>IF(Trabajos!B86="","",Trabajos!B86)</f>
        <v>45940</v>
      </c>
      <c r="C86" s="70" t="str">
        <f>IF(Trabajos!F86="","",Trabajos!F86)</f>
        <v>Inalco</v>
      </c>
      <c r="D86" s="70" t="str">
        <f>IF(Trabajos!D86="","",Trabajos!D86)</f>
        <v>Monitoreo de bb y bab</v>
      </c>
      <c r="E86" s="70" t="str">
        <f>IF(Trabajos!G86="","",Trabajos!G86)</f>
        <v>El Pampero</v>
      </c>
      <c r="F86" s="108">
        <f>IF(Trabajos!H86="","",Trabajos!H86)</f>
        <v>93</v>
      </c>
      <c r="G86" s="84">
        <f>IF(Trabajos!I86="","",Trabajos!I86)</f>
        <v>3595</v>
      </c>
      <c r="H86" s="84">
        <f>IF(Trabajos!J86="","",Trabajos!J86)</f>
        <v>334335</v>
      </c>
      <c r="I86" s="107">
        <f>IF(Trabajos!M86="","",Trabajos!M86)</f>
        <v>200</v>
      </c>
      <c r="J86" s="84">
        <f>IF(Trabajos!N86="","",Trabajos!N86)</f>
        <v>650</v>
      </c>
      <c r="K86" s="84">
        <f>IF(Trabajos!O86="","",Trabajos!O86)</f>
        <v>130000</v>
      </c>
      <c r="L86" s="84">
        <f>IF(Trabajos!P86="","",Trabajos!P86)</f>
        <v>464335</v>
      </c>
    </row>
    <row r="87" spans="2:12" x14ac:dyDescent="0.25">
      <c r="B87" s="106">
        <f>IF(Trabajos!B87="","",Trabajos!B87)</f>
        <v>45940</v>
      </c>
      <c r="C87" s="70" t="str">
        <f>IF(Trabajos!F87="","",Trabajos!F87)</f>
        <v>Espartina S.A.</v>
      </c>
      <c r="D87" s="70" t="str">
        <f>IF(Trabajos!D87="","",Trabajos!D87)</f>
        <v>Aplicación de cebos</v>
      </c>
      <c r="E87" s="70" t="str">
        <f>IF(Trabajos!G87="","",Trabajos!G87)</f>
        <v>El Moro Viejo</v>
      </c>
      <c r="F87" s="108">
        <f>IF(Trabajos!H87="","",Trabajos!H87)</f>
        <v>107</v>
      </c>
      <c r="G87" s="84">
        <f>IF(Trabajos!I87="","",Trabajos!I87)</f>
        <v>7267.5</v>
      </c>
      <c r="H87" s="84">
        <f>IF(Trabajos!J87="","",Trabajos!J87)</f>
        <v>777622.5</v>
      </c>
      <c r="I87" s="107">
        <f>IF(Trabajos!M87="","",Trabajos!M87)</f>
        <v>156</v>
      </c>
      <c r="J87" s="84">
        <f>IF(Trabajos!N87="","",Trabajos!N87)</f>
        <v>633.85</v>
      </c>
      <c r="K87" s="84">
        <f>IF(Trabajos!O87="","",Trabajos!O87)</f>
        <v>98880.6</v>
      </c>
      <c r="L87" s="84">
        <f>IF(Trabajos!P87="","",Trabajos!P87)</f>
        <v>876503.1</v>
      </c>
    </row>
    <row r="88" spans="2:12" x14ac:dyDescent="0.25">
      <c r="B88" s="106">
        <f>IF(Trabajos!B88="","",Trabajos!B88)</f>
        <v>45940</v>
      </c>
      <c r="C88" s="70" t="str">
        <f>IF(Trabajos!F88="","",Trabajos!F88)</f>
        <v>Domingo y Nestor Scioli</v>
      </c>
      <c r="D88" s="70" t="str">
        <f>IF(Trabajos!D88="","",Trabajos!D88)</f>
        <v>Mapeo Dron</v>
      </c>
      <c r="E88" s="70" t="str">
        <f>IF(Trabajos!G88="","",Trabajos!G88)</f>
        <v>La Providencia</v>
      </c>
      <c r="F88" s="108">
        <f>IF(Trabajos!H88="","",Trabajos!H88)</f>
        <v>258</v>
      </c>
      <c r="G88" s="84">
        <f>IF(Trabajos!I88="","",Trabajos!I88)</f>
        <v>4360.5</v>
      </c>
      <c r="H88" s="84">
        <f>IF(Trabajos!J88="","",Trabajos!J88)</f>
        <v>1125009</v>
      </c>
      <c r="I88" s="107">
        <f>IF(Trabajos!M88="","",Trabajos!M88)</f>
        <v>0</v>
      </c>
      <c r="J88" s="84">
        <f>IF(Trabajos!N88="","",Trabajos!N88)</f>
        <v>650</v>
      </c>
      <c r="K88" s="84">
        <f>IF(Trabajos!O88="","",Trabajos!O88)</f>
        <v>0</v>
      </c>
      <c r="L88" s="84">
        <f>IF(Trabajos!P88="","",Trabajos!P88)</f>
        <v>1125009</v>
      </c>
    </row>
    <row r="89" spans="2:12" x14ac:dyDescent="0.25">
      <c r="B89" s="106">
        <f>IF(Trabajos!B89="","",Trabajos!B89)</f>
        <v>45941</v>
      </c>
      <c r="C89" s="70" t="str">
        <f>IF(Trabajos!F89="","",Trabajos!F89)</f>
        <v>Espartina S.A.</v>
      </c>
      <c r="D89" s="70" t="str">
        <f>IF(Trabajos!D89="","",Trabajos!D89)</f>
        <v>Monitoreo de bb y bab</v>
      </c>
      <c r="E89" s="70" t="str">
        <f>IF(Trabajos!G89="","",Trabajos!G89)</f>
        <v>Los Tulipanes</v>
      </c>
      <c r="F89" s="108">
        <f>IF(Trabajos!H89="","",Trabajos!H89)</f>
        <v>117</v>
      </c>
      <c r="G89" s="84">
        <f>IF(Trabajos!I89="","",Trabajos!I89)</f>
        <v>3035.25</v>
      </c>
      <c r="H89" s="84">
        <f>IF(Trabajos!J89="","",Trabajos!J89)</f>
        <v>355124.25</v>
      </c>
      <c r="I89" s="107">
        <f>IF(Trabajos!M89="","",Trabajos!M89)</f>
        <v>0</v>
      </c>
      <c r="J89" s="84">
        <f>IF(Trabajos!N89="","",Trabajos!N89)</f>
        <v>588</v>
      </c>
      <c r="K89" s="84">
        <f>IF(Trabajos!O89="","",Trabajos!O89)</f>
        <v>0</v>
      </c>
      <c r="L89" s="84">
        <f>IF(Trabajos!P89="","",Trabajos!P89)</f>
        <v>355124.25</v>
      </c>
    </row>
    <row r="90" spans="2:12" x14ac:dyDescent="0.25">
      <c r="B90" s="106">
        <f>IF(Trabajos!B90="","",Trabajos!B90)</f>
        <v>45941</v>
      </c>
      <c r="C90" s="70" t="str">
        <f>IF(Trabajos!F90="","",Trabajos!F90)</f>
        <v>Espartina S.A.</v>
      </c>
      <c r="D90" s="70" t="str">
        <f>IF(Trabajos!D90="","",Trabajos!D90)</f>
        <v>Monitoreo de bb y bab</v>
      </c>
      <c r="E90" s="70" t="str">
        <f>IF(Trabajos!G90="","",Trabajos!G90)</f>
        <v>Las Bagualas</v>
      </c>
      <c r="F90" s="108">
        <f>IF(Trabajos!H90="","",Trabajos!H90)</f>
        <v>221</v>
      </c>
      <c r="G90" s="84">
        <f>IF(Trabajos!I90="","",Trabajos!I90)</f>
        <v>3035.25</v>
      </c>
      <c r="H90" s="84">
        <f>IF(Trabajos!J90="","",Trabajos!J90)</f>
        <v>670790.25</v>
      </c>
      <c r="I90" s="107">
        <f>IF(Trabajos!M90="","",Trabajos!M90)</f>
        <v>176</v>
      </c>
      <c r="J90" s="84">
        <f>IF(Trabajos!N90="","",Trabajos!N90)</f>
        <v>588</v>
      </c>
      <c r="K90" s="84">
        <f>IF(Trabajos!O90="","",Trabajos!O90)</f>
        <v>103488</v>
      </c>
      <c r="L90" s="84">
        <f>IF(Trabajos!P90="","",Trabajos!P90)</f>
        <v>774278.25</v>
      </c>
    </row>
    <row r="91" spans="2:12" x14ac:dyDescent="0.25">
      <c r="B91" s="106">
        <f>IF(Trabajos!B91="","",Trabajos!B91)</f>
        <v>45941</v>
      </c>
      <c r="C91" s="70" t="str">
        <f>IF(Trabajos!F91="","",Trabajos!F91)</f>
        <v>Espartina S.A.</v>
      </c>
      <c r="D91" s="70" t="str">
        <f>IF(Trabajos!D91="","",Trabajos!D91)</f>
        <v>Monitoreo de bb y bab</v>
      </c>
      <c r="E91" s="70" t="str">
        <f>IF(Trabajos!G91="","",Trabajos!G91)</f>
        <v>El Casalito</v>
      </c>
      <c r="F91" s="108">
        <f>IF(Trabajos!H91="","",Trabajos!H91)</f>
        <v>138</v>
      </c>
      <c r="G91" s="84">
        <f>IF(Trabajos!I91="","",Trabajos!I91)</f>
        <v>3035.25</v>
      </c>
      <c r="H91" s="84">
        <f>IF(Trabajos!J91="","",Trabajos!J91)</f>
        <v>418864.5</v>
      </c>
      <c r="I91" s="107">
        <f>IF(Trabajos!M91="","",Trabajos!M91)</f>
        <v>152</v>
      </c>
      <c r="J91" s="84">
        <f>IF(Trabajos!N91="","",Trabajos!N91)</f>
        <v>588</v>
      </c>
      <c r="K91" s="84">
        <f>IF(Trabajos!O91="","",Trabajos!O91)</f>
        <v>89376</v>
      </c>
      <c r="L91" s="84">
        <f>IF(Trabajos!P91="","",Trabajos!P91)</f>
        <v>508240.5</v>
      </c>
    </row>
    <row r="92" spans="2:12" x14ac:dyDescent="0.25">
      <c r="B92" s="106">
        <f>IF(Trabajos!B92="","",Trabajos!B92)</f>
        <v>45941</v>
      </c>
      <c r="C92" s="70" t="str">
        <f>IF(Trabajos!F92="","",Trabajos!F92)</f>
        <v>Espartina S.A.</v>
      </c>
      <c r="D92" s="70" t="str">
        <f>IF(Trabajos!D92="","",Trabajos!D92)</f>
        <v>Aplicación de cebos</v>
      </c>
      <c r="E92" s="70" t="str">
        <f>IF(Trabajos!G92="","",Trabajos!G92)</f>
        <v>El Moro Viejo</v>
      </c>
      <c r="F92" s="108">
        <f>IF(Trabajos!H92="","",Trabajos!H92)</f>
        <v>42</v>
      </c>
      <c r="G92" s="84">
        <f>IF(Trabajos!I92="","",Trabajos!I92)</f>
        <v>7267.5</v>
      </c>
      <c r="H92" s="84">
        <f>IF(Trabajos!J92="","",Trabajos!J92)</f>
        <v>305235</v>
      </c>
      <c r="I92" s="107">
        <f>IF(Trabajos!M92="","",Trabajos!M92)</f>
        <v>156</v>
      </c>
      <c r="J92" s="84">
        <f>IF(Trabajos!N92="","",Trabajos!N92)</f>
        <v>633.85</v>
      </c>
      <c r="K92" s="84">
        <f>IF(Trabajos!O92="","",Trabajos!O92)</f>
        <v>98880.6</v>
      </c>
      <c r="L92" s="84">
        <f>IF(Trabajos!P92="","",Trabajos!P92)</f>
        <v>404115.6</v>
      </c>
    </row>
    <row r="93" spans="2:12" x14ac:dyDescent="0.25">
      <c r="B93" s="106">
        <f>IF(Trabajos!B93="","",Trabajos!B93)</f>
        <v>45941</v>
      </c>
      <c r="C93" s="70" t="str">
        <f>IF(Trabajos!F93="","",Trabajos!F93)</f>
        <v>Espartina S.A.</v>
      </c>
      <c r="D93" s="70" t="str">
        <f>IF(Trabajos!D93="","",Trabajos!D93)</f>
        <v>Aplicación de cebos</v>
      </c>
      <c r="E93" s="70" t="str">
        <f>IF(Trabajos!G93="","",Trabajos!G93)</f>
        <v>San Francisco</v>
      </c>
      <c r="F93" s="108">
        <f>IF(Trabajos!H93="","",Trabajos!H93)</f>
        <v>132</v>
      </c>
      <c r="G93" s="84">
        <f>IF(Trabajos!I93="","",Trabajos!I93)</f>
        <v>7267.5</v>
      </c>
      <c r="H93" s="84">
        <f>IF(Trabajos!J93="","",Trabajos!J93)</f>
        <v>959310</v>
      </c>
      <c r="I93" s="107">
        <f>IF(Trabajos!M93="","",Trabajos!M93)</f>
        <v>90</v>
      </c>
      <c r="J93" s="84">
        <f>IF(Trabajos!N93="","",Trabajos!N93)</f>
        <v>633.85</v>
      </c>
      <c r="K93" s="84">
        <f>IF(Trabajos!O93="","",Trabajos!O93)</f>
        <v>57046.5</v>
      </c>
      <c r="L93" s="84">
        <f>IF(Trabajos!P93="","",Trabajos!P93)</f>
        <v>1016356.5</v>
      </c>
    </row>
    <row r="94" spans="2:12" x14ac:dyDescent="0.25">
      <c r="B94" s="106">
        <f>IF(Trabajos!B94="","",Trabajos!B94)</f>
        <v>45937</v>
      </c>
      <c r="C94" s="70" t="str">
        <f>IF(Trabajos!F94="","",Trabajos!F94)</f>
        <v>Espartina S.A.</v>
      </c>
      <c r="D94" s="70" t="str">
        <f>IF(Trabajos!D94="","",Trabajos!D94)</f>
        <v>Muestreo de suelos</v>
      </c>
      <c r="E94" s="70" t="str">
        <f>IF(Trabajos!G94="","",Trabajos!G94)</f>
        <v>San Jose</v>
      </c>
      <c r="F94" s="108">
        <f>IF(Trabajos!H94="","",Trabajos!H94)</f>
        <v>80</v>
      </c>
      <c r="G94" s="84">
        <f>IF(Trabajos!I94="","",Trabajos!I94)</f>
        <v>947.70673076900005</v>
      </c>
      <c r="H94" s="84">
        <f>IF(Trabajos!J94="","",Trabajos!J94)</f>
        <v>75816.538461520002</v>
      </c>
      <c r="I94" s="107">
        <f>IF(Trabajos!M94="","",Trabajos!M94)</f>
        <v>0</v>
      </c>
      <c r="J94" s="84">
        <f>IF(Trabajos!N94="","",Trabajos!N94)</f>
        <v>588</v>
      </c>
      <c r="K94" s="84">
        <f>IF(Trabajos!O94="","",Trabajos!O94)</f>
        <v>0</v>
      </c>
      <c r="L94" s="84">
        <f>IF(Trabajos!P94="","",Trabajos!P94)</f>
        <v>75816.538461520002</v>
      </c>
    </row>
    <row r="95" spans="2:12" x14ac:dyDescent="0.25">
      <c r="B95" s="106">
        <f>IF(Trabajos!B95="","",Trabajos!B95)</f>
        <v>45944</v>
      </c>
      <c r="C95" s="70" t="str">
        <f>IF(Trabajos!F95="","",Trabajos!F95)</f>
        <v>Espartina S.A.</v>
      </c>
      <c r="D95" s="70" t="str">
        <f>IF(Trabajos!D95="","",Trabajos!D95)</f>
        <v>Monitoreo de bb y bab</v>
      </c>
      <c r="E95" s="70" t="str">
        <f>IF(Trabajos!G95="","",Trabajos!G95)</f>
        <v>Santa Isabel I</v>
      </c>
      <c r="F95" s="108">
        <f>IF(Trabajos!H95="","",Trabajos!H95)</f>
        <v>121</v>
      </c>
      <c r="G95" s="84">
        <f>IF(Trabajos!I95="","",Trabajos!I95)</f>
        <v>3262.5</v>
      </c>
      <c r="H95" s="84">
        <f>IF(Trabajos!J95="","",Trabajos!J95)</f>
        <v>394762.5</v>
      </c>
      <c r="I95" s="107">
        <f>IF(Trabajos!M95="","",Trabajos!M95)</f>
        <v>218</v>
      </c>
      <c r="J95" s="84">
        <f>IF(Trabajos!N95="","",Trabajos!N95)</f>
        <v>633.85</v>
      </c>
      <c r="K95" s="84">
        <f>IF(Trabajos!O95="","",Trabajos!O95)</f>
        <v>138179.30000000002</v>
      </c>
      <c r="L95" s="84">
        <f>IF(Trabajos!P95="","",Trabajos!P95)</f>
        <v>532941.80000000005</v>
      </c>
    </row>
    <row r="96" spans="2:12" x14ac:dyDescent="0.25">
      <c r="B96" s="106">
        <f>IF(Trabajos!B96="","",Trabajos!B96)</f>
        <v>45944</v>
      </c>
      <c r="C96" s="70" t="str">
        <f>IF(Trabajos!F96="","",Trabajos!F96)</f>
        <v>Espartina S.A.</v>
      </c>
      <c r="D96" s="70" t="str">
        <f>IF(Trabajos!D96="","",Trabajos!D96)</f>
        <v>Monitoreo de bb y bab</v>
      </c>
      <c r="E96" s="70" t="str">
        <f>IF(Trabajos!G96="","",Trabajos!G96)</f>
        <v>La Susana</v>
      </c>
      <c r="F96" s="108">
        <f>IF(Trabajos!H96="","",Trabajos!H96)</f>
        <v>19</v>
      </c>
      <c r="G96" s="84">
        <f>IF(Trabajos!I96="","",Trabajos!I96)</f>
        <v>3262.5</v>
      </c>
      <c r="H96" s="84">
        <f>IF(Trabajos!J96="","",Trabajos!J96)</f>
        <v>61987.5</v>
      </c>
      <c r="I96" s="107">
        <f>IF(Trabajos!M96="","",Trabajos!M96)</f>
        <v>218</v>
      </c>
      <c r="J96" s="84">
        <f>IF(Trabajos!N96="","",Trabajos!N96)</f>
        <v>633.85</v>
      </c>
      <c r="K96" s="84">
        <f>IF(Trabajos!O96="","",Trabajos!O96)</f>
        <v>138179.30000000002</v>
      </c>
      <c r="L96" s="84">
        <f>IF(Trabajos!P96="","",Trabajos!P96)</f>
        <v>200166.80000000002</v>
      </c>
    </row>
    <row r="97" spans="2:12" x14ac:dyDescent="0.25">
      <c r="B97" s="106">
        <f>IF(Trabajos!B97="","",Trabajos!B97)</f>
        <v>45944</v>
      </c>
      <c r="C97" s="70" t="str">
        <f>IF(Trabajos!F97="","",Trabajos!F97)</f>
        <v>Domingo y Nestor Scioli</v>
      </c>
      <c r="D97" s="70" t="str">
        <f>IF(Trabajos!D97="","",Trabajos!D97)</f>
        <v>Mapeo Dron</v>
      </c>
      <c r="E97" s="70" t="str">
        <f>IF(Trabajos!G97="","",Trabajos!G97)</f>
        <v>La Providencia</v>
      </c>
      <c r="F97" s="108">
        <f>IF(Trabajos!H97="","",Trabajos!H97)</f>
        <v>129</v>
      </c>
      <c r="G97" s="84">
        <f>IF(Trabajos!I97="","",Trabajos!I97)</f>
        <v>4360.5</v>
      </c>
      <c r="H97" s="84">
        <f>IF(Trabajos!J97="","",Trabajos!J97)</f>
        <v>562504.5</v>
      </c>
      <c r="I97" s="107">
        <f>IF(Trabajos!M97="","",Trabajos!M97)</f>
        <v>0</v>
      </c>
      <c r="J97" s="84">
        <f>IF(Trabajos!N97="","",Trabajos!N97)</f>
        <v>650</v>
      </c>
      <c r="K97" s="84">
        <f>IF(Trabajos!O97="","",Trabajos!O97)</f>
        <v>0</v>
      </c>
      <c r="L97" s="84">
        <f>IF(Trabajos!P97="","",Trabajos!P97)</f>
        <v>562504.5</v>
      </c>
    </row>
    <row r="98" spans="2:12" x14ac:dyDescent="0.25">
      <c r="B98" s="106">
        <f>IF(Trabajos!B98="","",Trabajos!B98)</f>
        <v>45945</v>
      </c>
      <c r="C98" s="70" t="str">
        <f>IF(Trabajos!F98="","",Trabajos!F98)</f>
        <v>La Nany S.A.</v>
      </c>
      <c r="D98" s="70" t="str">
        <f>IF(Trabajos!D98="","",Trabajos!D98)</f>
        <v>Monitoreo de bb y bab</v>
      </c>
      <c r="E98" s="70" t="str">
        <f>IF(Trabajos!G98="","",Trabajos!G98)</f>
        <v>La Nany</v>
      </c>
      <c r="F98" s="108">
        <f>IF(Trabajos!H98="","",Trabajos!H98)</f>
        <v>242</v>
      </c>
      <c r="G98" s="84">
        <f>IF(Trabajos!I98="","",Trabajos!I98)</f>
        <v>3618.75</v>
      </c>
      <c r="H98" s="84">
        <f>IF(Trabajos!J98="","",Trabajos!J98)</f>
        <v>875737.5</v>
      </c>
      <c r="I98" s="107">
        <f>IF(Trabajos!M98="","",Trabajos!M98)</f>
        <v>0</v>
      </c>
      <c r="J98" s="84">
        <f>IF(Trabajos!N98="","",Trabajos!N98)</f>
        <v>650</v>
      </c>
      <c r="K98" s="84">
        <f>IF(Trabajos!O98="","",Trabajos!O98)</f>
        <v>0</v>
      </c>
      <c r="L98" s="84">
        <f>IF(Trabajos!P98="","",Trabajos!P98)</f>
        <v>875737.5</v>
      </c>
    </row>
    <row r="99" spans="2:12" x14ac:dyDescent="0.25">
      <c r="B99" s="106">
        <f>IF(Trabajos!B99="","",Trabajos!B99)</f>
        <v>45945</v>
      </c>
      <c r="C99" s="70" t="str">
        <f>IF(Trabajos!F99="","",Trabajos!F99)</f>
        <v>La Nany S.A.</v>
      </c>
      <c r="D99" s="70" t="str">
        <f>IF(Trabajos!D99="","",Trabajos!D99)</f>
        <v>Monitoreo de bb y bab</v>
      </c>
      <c r="E99" s="70" t="str">
        <f>IF(Trabajos!G99="","",Trabajos!G99)</f>
        <v>La Adelia</v>
      </c>
      <c r="F99" s="108">
        <f>IF(Trabajos!H99="","",Trabajos!H99)</f>
        <v>260</v>
      </c>
      <c r="G99" s="84">
        <f>IF(Trabajos!I99="","",Trabajos!I99)</f>
        <v>3618.75</v>
      </c>
      <c r="H99" s="84">
        <f>IF(Trabajos!J99="","",Trabajos!J99)</f>
        <v>940875</v>
      </c>
      <c r="I99" s="107">
        <f>IF(Trabajos!M99="","",Trabajos!M99)</f>
        <v>104</v>
      </c>
      <c r="J99" s="84">
        <f>IF(Trabajos!N99="","",Trabajos!N99)</f>
        <v>650</v>
      </c>
      <c r="K99" s="84">
        <f>IF(Trabajos!O99="","",Trabajos!O99)</f>
        <v>67600</v>
      </c>
      <c r="L99" s="84">
        <f>IF(Trabajos!P99="","",Trabajos!P99)</f>
        <v>1008475</v>
      </c>
    </row>
    <row r="100" spans="2:12" x14ac:dyDescent="0.25">
      <c r="B100" s="106">
        <f>IF(Trabajos!B100="","",Trabajos!B100)</f>
        <v>45945</v>
      </c>
      <c r="C100" s="70" t="str">
        <f>IF(Trabajos!F100="","",Trabajos!F100)</f>
        <v>Espartina S.A.</v>
      </c>
      <c r="D100" s="70" t="str">
        <f>IF(Trabajos!D100="","",Trabajos!D100)</f>
        <v>Aplicación de cebos</v>
      </c>
      <c r="E100" s="70" t="str">
        <f>IF(Trabajos!G100="","",Trabajos!G100)</f>
        <v>Santa Isabel Cozumel</v>
      </c>
      <c r="F100" s="108">
        <f>IF(Trabajos!H100="","",Trabajos!H100)</f>
        <v>115</v>
      </c>
      <c r="G100" s="84">
        <f>IF(Trabajos!I100="","",Trabajos!I100)</f>
        <v>7250</v>
      </c>
      <c r="H100" s="84">
        <f>IF(Trabajos!J100="","",Trabajos!J100)</f>
        <v>833750</v>
      </c>
      <c r="I100" s="107">
        <f>IF(Trabajos!M100="","",Trabajos!M100)</f>
        <v>186</v>
      </c>
      <c r="J100" s="84">
        <f>IF(Trabajos!N100="","",Trabajos!N100)</f>
        <v>633.85</v>
      </c>
      <c r="K100" s="84">
        <f>IF(Trabajos!O100="","",Trabajos!O100)</f>
        <v>117896.1</v>
      </c>
      <c r="L100" s="84">
        <f>IF(Trabajos!P100="","",Trabajos!P100)</f>
        <v>951646.1</v>
      </c>
    </row>
    <row r="101" spans="2:12" x14ac:dyDescent="0.25">
      <c r="B101" s="106">
        <f>IF(Trabajos!B101="","",Trabajos!B101)</f>
        <v>45945</v>
      </c>
      <c r="C101" s="70" t="str">
        <f>IF(Trabajos!F101="","",Trabajos!F101)</f>
        <v>Espartina S.A.</v>
      </c>
      <c r="D101" s="70" t="str">
        <f>IF(Trabajos!D101="","",Trabajos!D101)</f>
        <v>Aplicación de cebos</v>
      </c>
      <c r="E101" s="70" t="str">
        <f>IF(Trabajos!G101="","",Trabajos!G101)</f>
        <v>San Francisco</v>
      </c>
      <c r="F101" s="108">
        <f>IF(Trabajos!H101="","",Trabajos!H101)</f>
        <v>132</v>
      </c>
      <c r="G101" s="84">
        <f>IF(Trabajos!I101="","",Trabajos!I101)</f>
        <v>7267.5</v>
      </c>
      <c r="H101" s="84">
        <f>IF(Trabajos!J101="","",Trabajos!J101)</f>
        <v>959310</v>
      </c>
      <c r="I101" s="107">
        <f>IF(Trabajos!M101="","",Trabajos!M101)</f>
        <v>90</v>
      </c>
      <c r="J101" s="84">
        <f>IF(Trabajos!N101="","",Trabajos!N101)</f>
        <v>633.85</v>
      </c>
      <c r="K101" s="84">
        <f>IF(Trabajos!O101="","",Trabajos!O101)</f>
        <v>57046.5</v>
      </c>
      <c r="L101" s="84">
        <f>IF(Trabajos!P101="","",Trabajos!P101)</f>
        <v>1016356.5</v>
      </c>
    </row>
    <row r="102" spans="2:12" x14ac:dyDescent="0.25">
      <c r="B102" s="106">
        <f>IF(Trabajos!B102="","",Trabajos!B102)</f>
        <v>45945</v>
      </c>
      <c r="C102" s="70" t="str">
        <f>IF(Trabajos!F102="","",Trabajos!F102)</f>
        <v>Espartina S.A.</v>
      </c>
      <c r="D102" s="70" t="str">
        <f>IF(Trabajos!D102="","",Trabajos!D102)</f>
        <v>Aplicación de cebos</v>
      </c>
      <c r="E102" s="70" t="str">
        <f>IF(Trabajos!G102="","",Trabajos!G102)</f>
        <v>Don Gustavo</v>
      </c>
      <c r="F102" s="108">
        <f>IF(Trabajos!H102="","",Trabajos!H102)</f>
        <v>77</v>
      </c>
      <c r="G102" s="84">
        <f>IF(Trabajos!I102="","",Trabajos!I102)</f>
        <v>7267.5</v>
      </c>
      <c r="H102" s="84">
        <f>IF(Trabajos!J102="","",Trabajos!J102)</f>
        <v>559597.5</v>
      </c>
      <c r="I102" s="107">
        <f>IF(Trabajos!M102="","",Trabajos!M102)</f>
        <v>185</v>
      </c>
      <c r="J102" s="84">
        <f>IF(Trabajos!N102="","",Trabajos!N102)</f>
        <v>633.85</v>
      </c>
      <c r="K102" s="84">
        <f>IF(Trabajos!O102="","",Trabajos!O102)</f>
        <v>117262.25</v>
      </c>
      <c r="L102" s="84">
        <f>IF(Trabajos!P102="","",Trabajos!P102)</f>
        <v>676859.75</v>
      </c>
    </row>
    <row r="103" spans="2:12" x14ac:dyDescent="0.25">
      <c r="B103" s="106">
        <f>IF(Trabajos!B103="","",Trabajos!B103)</f>
        <v>45945</v>
      </c>
      <c r="C103" s="70" t="str">
        <f>IF(Trabajos!F103="","",Trabajos!F103)</f>
        <v>Espartina S.A.</v>
      </c>
      <c r="D103" s="70" t="str">
        <f>IF(Trabajos!D103="","",Trabajos!D103)</f>
        <v>Aplicación de cebos</v>
      </c>
      <c r="E103" s="70" t="str">
        <f>IF(Trabajos!G103="","",Trabajos!G103)</f>
        <v>Macedo</v>
      </c>
      <c r="F103" s="108">
        <f>IF(Trabajos!H103="","",Trabajos!H103)</f>
        <v>36</v>
      </c>
      <c r="G103" s="84">
        <f>IF(Trabajos!I103="","",Trabajos!I103)</f>
        <v>7267.5</v>
      </c>
      <c r="H103" s="84">
        <f>IF(Trabajos!J103="","",Trabajos!J103)</f>
        <v>261630</v>
      </c>
      <c r="I103" s="107">
        <f>IF(Trabajos!M103="","",Trabajos!M103)</f>
        <v>185</v>
      </c>
      <c r="J103" s="84">
        <f>IF(Trabajos!N103="","",Trabajos!N103)</f>
        <v>633.85</v>
      </c>
      <c r="K103" s="84">
        <f>IF(Trabajos!O103="","",Trabajos!O103)</f>
        <v>117262.25</v>
      </c>
      <c r="L103" s="84">
        <f>IF(Trabajos!P103="","",Trabajos!P103)</f>
        <v>378892.25</v>
      </c>
    </row>
    <row r="104" spans="2:12" x14ac:dyDescent="0.25">
      <c r="B104" s="106">
        <f>IF(Trabajos!B104="","",Trabajos!B104)</f>
        <v>45941</v>
      </c>
      <c r="C104" s="70" t="str">
        <f>IF(Trabajos!F104="","",Trabajos!F104)</f>
        <v>Purtierra</v>
      </c>
      <c r="D104" s="70" t="str">
        <f>IF(Trabajos!D104="","",Trabajos!D104)</f>
        <v>Aplicación de cebos</v>
      </c>
      <c r="E104" s="70" t="str">
        <f>IF(Trabajos!G104="","",Trabajos!G104)</f>
        <v>Ojo de Agua</v>
      </c>
      <c r="F104" s="108">
        <f>IF(Trabajos!H104="","",Trabajos!H104)</f>
        <v>122</v>
      </c>
      <c r="G104" s="84">
        <f>IF(Trabajos!I104="","",Trabajos!I104)</f>
        <v>7460</v>
      </c>
      <c r="H104" s="84">
        <f>IF(Trabajos!J104="","",Trabajos!J104)</f>
        <v>910120</v>
      </c>
      <c r="I104" s="107">
        <f>IF(Trabajos!M104="","",Trabajos!M104)</f>
        <v>92</v>
      </c>
      <c r="J104" s="84">
        <f>IF(Trabajos!N104="","",Trabajos!N104)</f>
        <v>650</v>
      </c>
      <c r="K104" s="84">
        <f>IF(Trabajos!O104="","",Trabajos!O104)</f>
        <v>59800</v>
      </c>
      <c r="L104" s="84">
        <f>IF(Trabajos!P104="","",Trabajos!P104)</f>
        <v>969920</v>
      </c>
    </row>
    <row r="105" spans="2:12" x14ac:dyDescent="0.25">
      <c r="B105" s="106">
        <f>IF(Trabajos!B105="","",Trabajos!B105)</f>
        <v>45946</v>
      </c>
      <c r="C105" s="70" t="str">
        <f>IF(Trabajos!F105="","",Trabajos!F105)</f>
        <v>Espartina S.A.</v>
      </c>
      <c r="D105" s="70" t="str">
        <f>IF(Trabajos!D105="","",Trabajos!D105)</f>
        <v>Muestreo de suelos</v>
      </c>
      <c r="E105" s="70" t="str">
        <f>IF(Trabajos!G105="","",Trabajos!G105)</f>
        <v>San Marcos</v>
      </c>
      <c r="F105" s="108">
        <f>IF(Trabajos!H105="","",Trabajos!H105)</f>
        <v>80</v>
      </c>
      <c r="G105" s="84">
        <f>IF(Trabajos!I105="","",Trabajos!I105)</f>
        <v>947.70673076900005</v>
      </c>
      <c r="H105" s="84">
        <f>IF(Trabajos!J105="","",Trabajos!J105)</f>
        <v>75816.538461520002</v>
      </c>
      <c r="I105" s="107">
        <f>IF(Trabajos!M105="","",Trabajos!M105)</f>
        <v>0</v>
      </c>
      <c r="J105" s="84">
        <f>IF(Trabajos!N105="","",Trabajos!N105)</f>
        <v>588</v>
      </c>
      <c r="K105" s="84">
        <f>IF(Trabajos!O105="","",Trabajos!O105)</f>
        <v>0</v>
      </c>
      <c r="L105" s="84">
        <f>IF(Trabajos!P105="","",Trabajos!P105)</f>
        <v>75816.538461520002</v>
      </c>
    </row>
    <row r="106" spans="2:12" x14ac:dyDescent="0.25">
      <c r="B106" s="106">
        <f>IF(Trabajos!B106="","",Trabajos!B106)</f>
        <v>45946</v>
      </c>
      <c r="C106" s="70" t="str">
        <f>IF(Trabajos!F106="","",Trabajos!F106)</f>
        <v>Espartina S.A.</v>
      </c>
      <c r="D106" s="70" t="str">
        <f>IF(Trabajos!D106="","",Trabajos!D106)</f>
        <v>Muestreo de suelos</v>
      </c>
      <c r="E106" s="70" t="str">
        <f>IF(Trabajos!G106="","",Trabajos!G106)</f>
        <v>El Casalito</v>
      </c>
      <c r="F106" s="108">
        <f>IF(Trabajos!H106="","",Trabajos!H106)</f>
        <v>80</v>
      </c>
      <c r="G106" s="84">
        <f>IF(Trabajos!I106="","",Trabajos!I106)</f>
        <v>947.70673076900005</v>
      </c>
      <c r="H106" s="84">
        <f>IF(Trabajos!J106="","",Trabajos!J106)</f>
        <v>75816.538461520002</v>
      </c>
      <c r="I106" s="107">
        <f>IF(Trabajos!M106="","",Trabajos!M106)</f>
        <v>0</v>
      </c>
      <c r="J106" s="84">
        <f>IF(Trabajos!N106="","",Trabajos!N106)</f>
        <v>588</v>
      </c>
      <c r="K106" s="84">
        <f>IF(Trabajos!O106="","",Trabajos!O106)</f>
        <v>0</v>
      </c>
      <c r="L106" s="84">
        <f>IF(Trabajos!P106="","",Trabajos!P106)</f>
        <v>75816.538461520002</v>
      </c>
    </row>
    <row r="107" spans="2:12" x14ac:dyDescent="0.25">
      <c r="B107" s="106">
        <f>IF(Trabajos!B107="","",Trabajos!B107)</f>
        <v>45946</v>
      </c>
      <c r="C107" s="70" t="str">
        <f>IF(Trabajos!F107="","",Trabajos!F107)</f>
        <v>Espartina S.A.</v>
      </c>
      <c r="D107" s="70" t="str">
        <f>IF(Trabajos!D107="","",Trabajos!D107)</f>
        <v>Muestreo de suelos</v>
      </c>
      <c r="E107" s="70" t="str">
        <f>IF(Trabajos!G107="","",Trabajos!G107)</f>
        <v>Aitona</v>
      </c>
      <c r="F107" s="108">
        <f>IF(Trabajos!H107="","",Trabajos!H107)</f>
        <v>80</v>
      </c>
      <c r="G107" s="84">
        <f>IF(Trabajos!I107="","",Trabajos!I107)</f>
        <v>947.70673076900005</v>
      </c>
      <c r="H107" s="84">
        <f>IF(Trabajos!J107="","",Trabajos!J107)</f>
        <v>75816.538461520002</v>
      </c>
      <c r="I107" s="107">
        <f>IF(Trabajos!M107="","",Trabajos!M107)</f>
        <v>0</v>
      </c>
      <c r="J107" s="84">
        <f>IF(Trabajos!N107="","",Trabajos!N107)</f>
        <v>588</v>
      </c>
      <c r="K107" s="84">
        <f>IF(Trabajos!O107="","",Trabajos!O107)</f>
        <v>0</v>
      </c>
      <c r="L107" s="84">
        <f>IF(Trabajos!P107="","",Trabajos!P107)</f>
        <v>75816.538461520002</v>
      </c>
    </row>
    <row r="108" spans="2:12" x14ac:dyDescent="0.25">
      <c r="B108" s="106">
        <f>IF(Trabajos!B108="","",Trabajos!B108)</f>
        <v>45946</v>
      </c>
      <c r="C108" s="70" t="str">
        <f>IF(Trabajos!F108="","",Trabajos!F108)</f>
        <v>Espartina S.A.</v>
      </c>
      <c r="D108" s="70" t="str">
        <f>IF(Trabajos!D108="","",Trabajos!D108)</f>
        <v>Muestreo de suelos</v>
      </c>
      <c r="E108" s="70" t="str">
        <f>IF(Trabajos!G108="","",Trabajos!G108)</f>
        <v>Los Tulipanes</v>
      </c>
      <c r="F108" s="108">
        <f>IF(Trabajos!H108="","",Trabajos!H108)</f>
        <v>80</v>
      </c>
      <c r="G108" s="84">
        <f>IF(Trabajos!I108="","",Trabajos!I108)</f>
        <v>947.70673076900005</v>
      </c>
      <c r="H108" s="84">
        <f>IF(Trabajos!J108="","",Trabajos!J108)</f>
        <v>75816.538461520002</v>
      </c>
      <c r="I108" s="107">
        <f>IF(Trabajos!M108="","",Trabajos!M108)</f>
        <v>0</v>
      </c>
      <c r="J108" s="84">
        <f>IF(Trabajos!N108="","",Trabajos!N108)</f>
        <v>588</v>
      </c>
      <c r="K108" s="84">
        <f>IF(Trabajos!O108="","",Trabajos!O108)</f>
        <v>0</v>
      </c>
      <c r="L108" s="84">
        <f>IF(Trabajos!P108="","",Trabajos!P108)</f>
        <v>75816.538461520002</v>
      </c>
    </row>
    <row r="109" spans="2:12" x14ac:dyDescent="0.25">
      <c r="B109" s="106">
        <f>IF(Trabajos!B109="","",Trabajos!B109)</f>
        <v>45946</v>
      </c>
      <c r="C109" s="70" t="str">
        <f>IF(Trabajos!F109="","",Trabajos!F109)</f>
        <v>Espartina S.A.</v>
      </c>
      <c r="D109" s="70" t="str">
        <f>IF(Trabajos!D109="","",Trabajos!D109)</f>
        <v>Monitoreo de bb y bab</v>
      </c>
      <c r="E109" s="70" t="str">
        <f>IF(Trabajos!G109="","",Trabajos!G109)</f>
        <v>El Montiel</v>
      </c>
      <c r="F109" s="108">
        <f>IF(Trabajos!H109="","",Trabajos!H109)</f>
        <v>276</v>
      </c>
      <c r="G109" s="84">
        <f>IF(Trabajos!I109="","",Trabajos!I109)</f>
        <v>3262.5</v>
      </c>
      <c r="H109" s="84">
        <f>IF(Trabajos!J109="","",Trabajos!J109)</f>
        <v>900450</v>
      </c>
      <c r="I109" s="107">
        <f>IF(Trabajos!M109="","",Trabajos!M109)</f>
        <v>398</v>
      </c>
      <c r="J109" s="84">
        <f>IF(Trabajos!N109="","",Trabajos!N109)</f>
        <v>633.85</v>
      </c>
      <c r="K109" s="84">
        <f>IF(Trabajos!O109="","",Trabajos!O109)</f>
        <v>252272.30000000002</v>
      </c>
      <c r="L109" s="84">
        <f>IF(Trabajos!P109="","",Trabajos!P109)</f>
        <v>1152722.3</v>
      </c>
    </row>
    <row r="110" spans="2:12" x14ac:dyDescent="0.25">
      <c r="B110" s="106">
        <f>IF(Trabajos!B110="","",Trabajos!B110)</f>
        <v>45946</v>
      </c>
      <c r="C110" s="70" t="str">
        <f>IF(Trabajos!F110="","",Trabajos!F110)</f>
        <v>Bruno Fioriti</v>
      </c>
      <c r="D110" s="70" t="str">
        <f>IF(Trabajos!D110="","",Trabajos!D110)</f>
        <v>Aplicación de cebos</v>
      </c>
      <c r="E110" s="70" t="str">
        <f>IF(Trabajos!G110="","",Trabajos!G110)</f>
        <v>El Volcan</v>
      </c>
      <c r="F110" s="108">
        <f>IF(Trabajos!H110="","",Trabajos!H110)</f>
        <v>70</v>
      </c>
      <c r="G110" s="84">
        <f>IF(Trabajos!I110="","",Trabajos!I110)</f>
        <v>7010</v>
      </c>
      <c r="H110" s="84">
        <f>IF(Trabajos!J110="","",Trabajos!J110)</f>
        <v>490700</v>
      </c>
      <c r="I110" s="107">
        <f>IF(Trabajos!M110="","",Trabajos!M110)</f>
        <v>0</v>
      </c>
      <c r="J110" s="84">
        <f>IF(Trabajos!N110="","",Trabajos!N110)</f>
        <v>650</v>
      </c>
      <c r="K110" s="84">
        <f>IF(Trabajos!O110="","",Trabajos!O110)</f>
        <v>0</v>
      </c>
      <c r="L110" s="84">
        <f>IF(Trabajos!P110="","",Trabajos!P110)</f>
        <v>490700</v>
      </c>
    </row>
    <row r="111" spans="2:12" x14ac:dyDescent="0.25">
      <c r="B111" s="106">
        <f>IF(Trabajos!B111="","",Trabajos!B111)</f>
        <v>45946</v>
      </c>
      <c r="C111" s="70" t="str">
        <f>IF(Trabajos!F111="","",Trabajos!F111)</f>
        <v>Campo Maipu S.A.</v>
      </c>
      <c r="D111" s="70" t="str">
        <f>IF(Trabajos!D111="","",Trabajos!D111)</f>
        <v>Aplicación de cebos</v>
      </c>
      <c r="E111" s="70" t="str">
        <f>IF(Trabajos!G111="","",Trabajos!G111)</f>
        <v>San Esteban</v>
      </c>
      <c r="F111" s="108">
        <f>IF(Trabajos!H111="","",Trabajos!H111)</f>
        <v>52</v>
      </c>
      <c r="G111" s="84">
        <f>IF(Trabajos!I111="","",Trabajos!I111)</f>
        <v>7010</v>
      </c>
      <c r="H111" s="84">
        <f>IF(Trabajos!J111="","",Trabajos!J111)</f>
        <v>364520</v>
      </c>
      <c r="I111" s="107">
        <f>IF(Trabajos!M111="","",Trabajos!M111)</f>
        <v>352</v>
      </c>
      <c r="J111" s="84">
        <f>IF(Trabajos!N111="","",Trabajos!N111)</f>
        <v>650</v>
      </c>
      <c r="K111" s="84">
        <f>IF(Trabajos!O111="","",Trabajos!O111)</f>
        <v>228800</v>
      </c>
      <c r="L111" s="84">
        <f>IF(Trabajos!P111="","",Trabajos!P111)</f>
        <v>593320</v>
      </c>
    </row>
    <row r="112" spans="2:12" x14ac:dyDescent="0.25">
      <c r="B112" s="106">
        <f>IF(Trabajos!B112="","",Trabajos!B112)</f>
        <v>45946</v>
      </c>
      <c r="C112" s="70" t="str">
        <f>IF(Trabajos!F112="","",Trabajos!F112)</f>
        <v>Campo Maipu S.A.</v>
      </c>
      <c r="D112" s="70" t="str">
        <f>IF(Trabajos!D112="","",Trabajos!D112)</f>
        <v>Monitoreo de bb y bab</v>
      </c>
      <c r="E112" s="70" t="str">
        <f>IF(Trabajos!G112="","",Trabajos!G112)</f>
        <v>El Tanque</v>
      </c>
      <c r="F112" s="108">
        <f>IF(Trabajos!H112="","",Trabajos!H112)</f>
        <v>33</v>
      </c>
      <c r="G112" s="84">
        <f>IF(Trabajos!I112="","",Trabajos!I112)</f>
        <v>3505</v>
      </c>
      <c r="H112" s="84">
        <f>IF(Trabajos!J112="","",Trabajos!J112)</f>
        <v>115665</v>
      </c>
      <c r="I112" s="107">
        <f>IF(Trabajos!M112="","",Trabajos!M112)</f>
        <v>0</v>
      </c>
      <c r="J112" s="84">
        <f>IF(Trabajos!N112="","",Trabajos!N112)</f>
        <v>650</v>
      </c>
      <c r="K112" s="84">
        <f>IF(Trabajos!O112="","",Trabajos!O112)</f>
        <v>0</v>
      </c>
      <c r="L112" s="84">
        <f>IF(Trabajos!P112="","",Trabajos!P112)</f>
        <v>115665</v>
      </c>
    </row>
    <row r="113" spans="2:12" x14ac:dyDescent="0.25">
      <c r="B113" s="106">
        <f>IF(Trabajos!B113="","",Trabajos!B113)</f>
        <v>45947</v>
      </c>
      <c r="C113" s="70" t="str">
        <f>IF(Trabajos!F113="","",Trabajos!F113)</f>
        <v>Espartina S.A.</v>
      </c>
      <c r="D113" s="70" t="str">
        <f>IF(Trabajos!D113="","",Trabajos!D113)</f>
        <v>Monitoreo de bb y bab</v>
      </c>
      <c r="E113" s="70" t="str">
        <f>IF(Trabajos!G113="","",Trabajos!G113)</f>
        <v>Santa Isabel Cozumel</v>
      </c>
      <c r="F113" s="108">
        <f>IF(Trabajos!H113="","",Trabajos!H113)</f>
        <v>217</v>
      </c>
      <c r="G113" s="84">
        <f>IF(Trabajos!I113="","",Trabajos!I113)</f>
        <v>3262.5</v>
      </c>
      <c r="H113" s="84">
        <f>IF(Trabajos!J113="","",Trabajos!J113)</f>
        <v>707962.5</v>
      </c>
      <c r="I113" s="107">
        <f>IF(Trabajos!M113="","",Trabajos!M113)</f>
        <v>186</v>
      </c>
      <c r="J113" s="84">
        <f>IF(Trabajos!N113="","",Trabajos!N113)</f>
        <v>633.85</v>
      </c>
      <c r="K113" s="84">
        <f>IF(Trabajos!O113="","",Trabajos!O113)</f>
        <v>117896.1</v>
      </c>
      <c r="L113" s="84">
        <f>IF(Trabajos!P113="","",Trabajos!P113)</f>
        <v>825858.6</v>
      </c>
    </row>
    <row r="114" spans="2:12" x14ac:dyDescent="0.25">
      <c r="B114" s="106">
        <f>IF(Trabajos!B114="","",Trabajos!B114)</f>
        <v>45947</v>
      </c>
      <c r="C114" s="70" t="str">
        <f>IF(Trabajos!F114="","",Trabajos!F114)</f>
        <v>Espartina S.A.</v>
      </c>
      <c r="D114" s="70" t="str">
        <f>IF(Trabajos!D114="","",Trabajos!D114)</f>
        <v>Aplicación de cebos</v>
      </c>
      <c r="E114" s="70" t="str">
        <f>IF(Trabajos!G114="","",Trabajos!G114)</f>
        <v>San Lorenzo</v>
      </c>
      <c r="F114" s="108">
        <f>IF(Trabajos!H114="","",Trabajos!H114)</f>
        <v>45</v>
      </c>
      <c r="G114" s="84">
        <f>IF(Trabajos!I114="","",Trabajos!I114)</f>
        <v>7250</v>
      </c>
      <c r="H114" s="84">
        <f>IF(Trabajos!J114="","",Trabajos!J114)</f>
        <v>326250</v>
      </c>
      <c r="I114" s="107">
        <f>IF(Trabajos!M114="","",Trabajos!M114)</f>
        <v>115</v>
      </c>
      <c r="J114" s="84">
        <f>IF(Trabajos!N114="","",Trabajos!N114)</f>
        <v>633.85</v>
      </c>
      <c r="K114" s="84">
        <f>IF(Trabajos!O114="","",Trabajos!O114)</f>
        <v>72892.75</v>
      </c>
      <c r="L114" s="84">
        <f>IF(Trabajos!P114="","",Trabajos!P114)</f>
        <v>399142.75</v>
      </c>
    </row>
    <row r="115" spans="2:12" x14ac:dyDescent="0.25">
      <c r="B115" s="106">
        <f>IF(Trabajos!B115="","",Trabajos!B115)</f>
        <v>45947</v>
      </c>
      <c r="C115" s="70" t="str">
        <f>IF(Trabajos!F115="","",Trabajos!F115)</f>
        <v>Espartina S.A.</v>
      </c>
      <c r="D115" s="70" t="str">
        <f>IF(Trabajos!D115="","",Trabajos!D115)</f>
        <v>Aplicación de cebos</v>
      </c>
      <c r="E115" s="70" t="str">
        <f>IF(Trabajos!G115="","",Trabajos!G115)</f>
        <v>La Cachila</v>
      </c>
      <c r="F115" s="108">
        <f>IF(Trabajos!H115="","",Trabajos!H115)</f>
        <v>70</v>
      </c>
      <c r="G115" s="84">
        <f>IF(Trabajos!I115="","",Trabajos!I115)</f>
        <v>7250</v>
      </c>
      <c r="H115" s="84">
        <f>IF(Trabajos!J115="","",Trabajos!J115)</f>
        <v>507500</v>
      </c>
      <c r="I115" s="107">
        <f>IF(Trabajos!M115="","",Trabajos!M115)</f>
        <v>115</v>
      </c>
      <c r="J115" s="84">
        <f>IF(Trabajos!N115="","",Trabajos!N115)</f>
        <v>633.85</v>
      </c>
      <c r="K115" s="84">
        <f>IF(Trabajos!O115="","",Trabajos!O115)</f>
        <v>72892.75</v>
      </c>
      <c r="L115" s="84">
        <f>IF(Trabajos!P115="","",Trabajos!P115)</f>
        <v>580392.75</v>
      </c>
    </row>
    <row r="116" spans="2:12" x14ac:dyDescent="0.25">
      <c r="B116" s="106">
        <f>IF(Trabajos!B116="","",Trabajos!B116)</f>
        <v>45947</v>
      </c>
      <c r="C116" s="70" t="str">
        <f>IF(Trabajos!F116="","",Trabajos!F116)</f>
        <v>Inalco</v>
      </c>
      <c r="D116" s="70" t="str">
        <f>IF(Trabajos!D116="","",Trabajos!D116)</f>
        <v>Monitoreo de bb y bab</v>
      </c>
      <c r="E116" s="70" t="str">
        <f>IF(Trabajos!G116="","",Trabajos!G116)</f>
        <v>Inalco</v>
      </c>
      <c r="F116" s="108">
        <f>IF(Trabajos!H116="","",Trabajos!H116)</f>
        <v>182</v>
      </c>
      <c r="G116" s="84">
        <f>IF(Trabajos!I116="","",Trabajos!I116)</f>
        <v>3595</v>
      </c>
      <c r="H116" s="84">
        <f>IF(Trabajos!J116="","",Trabajos!J116)</f>
        <v>654290</v>
      </c>
      <c r="I116" s="107">
        <f>IF(Trabajos!M116="","",Trabajos!M116)</f>
        <v>0</v>
      </c>
      <c r="J116" s="84">
        <f>IF(Trabajos!N116="","",Trabajos!N116)</f>
        <v>650</v>
      </c>
      <c r="K116" s="84">
        <f>IF(Trabajos!O116="","",Trabajos!O116)</f>
        <v>0</v>
      </c>
      <c r="L116" s="84">
        <f>IF(Trabajos!P116="","",Trabajos!P116)</f>
        <v>654290</v>
      </c>
    </row>
    <row r="117" spans="2:12" x14ac:dyDescent="0.25">
      <c r="B117" s="106">
        <f>IF(Trabajos!B117="","",Trabajos!B117)</f>
        <v>45948</v>
      </c>
      <c r="C117" s="70" t="str">
        <f>IF(Trabajos!F117="","",Trabajos!F117)</f>
        <v>San Vicente</v>
      </c>
      <c r="D117" s="70" t="str">
        <f>IF(Trabajos!D117="","",Trabajos!D117)</f>
        <v>Monitoreo de bb y bab</v>
      </c>
      <c r="E117" s="70" t="str">
        <f>IF(Trabajos!G117="","",Trabajos!G117)</f>
        <v>San Vicente</v>
      </c>
      <c r="F117" s="108">
        <f>IF(Trabajos!H117="","",Trabajos!H117)</f>
        <v>124</v>
      </c>
      <c r="G117" s="84">
        <f>IF(Trabajos!I117="","",Trabajos!I117)</f>
        <v>3595</v>
      </c>
      <c r="H117" s="84">
        <f>IF(Trabajos!J117="","",Trabajos!J117)</f>
        <v>445780</v>
      </c>
      <c r="I117" s="107">
        <f>IF(Trabajos!M117="","",Trabajos!M117)</f>
        <v>186</v>
      </c>
      <c r="J117" s="84">
        <f>IF(Trabajos!N117="","",Trabajos!N117)</f>
        <v>650</v>
      </c>
      <c r="K117" s="84">
        <f>IF(Trabajos!O117="","",Trabajos!O117)</f>
        <v>120900</v>
      </c>
      <c r="L117" s="84">
        <f>IF(Trabajos!P117="","",Trabajos!P117)</f>
        <v>566680</v>
      </c>
    </row>
    <row r="118" spans="2:12" x14ac:dyDescent="0.25">
      <c r="B118" s="106">
        <f>IF(Trabajos!B118="","",Trabajos!B118)</f>
        <v>45947</v>
      </c>
      <c r="C118" s="70" t="str">
        <f>IF(Trabajos!F118="","",Trabajos!F118)</f>
        <v>Espartina S.A.</v>
      </c>
      <c r="D118" s="70" t="str">
        <f>IF(Trabajos!D118="","",Trabajos!D118)</f>
        <v>Aplicación de cebos</v>
      </c>
      <c r="E118" s="70" t="str">
        <f>IF(Trabajos!G118="","",Trabajos!G118)</f>
        <v>Santa Barbara</v>
      </c>
      <c r="F118" s="108">
        <f>IF(Trabajos!H118="","",Trabajos!H118)</f>
        <v>96</v>
      </c>
      <c r="G118" s="84">
        <f>IF(Trabajos!I118="","",Trabajos!I118)</f>
        <v>7267.5</v>
      </c>
      <c r="H118" s="84">
        <f>IF(Trabajos!J118="","",Trabajos!J118)</f>
        <v>697680</v>
      </c>
      <c r="I118" s="107">
        <f>IF(Trabajos!M118="","",Trabajos!M118)</f>
        <v>36</v>
      </c>
      <c r="J118" s="84">
        <f>IF(Trabajos!N118="","",Trabajos!N118)</f>
        <v>633.85</v>
      </c>
      <c r="K118" s="84">
        <f>IF(Trabajos!O118="","",Trabajos!O118)</f>
        <v>22818.600000000002</v>
      </c>
      <c r="L118" s="84">
        <f>IF(Trabajos!P118="","",Trabajos!P118)</f>
        <v>720498.6</v>
      </c>
    </row>
    <row r="119" spans="2:12" x14ac:dyDescent="0.25">
      <c r="B119" s="106">
        <f>IF(Trabajos!B119="","",Trabajos!B119)</f>
        <v>45948</v>
      </c>
      <c r="C119" s="70" t="str">
        <f>IF(Trabajos!F119="","",Trabajos!F119)</f>
        <v>Espartina S.A.</v>
      </c>
      <c r="D119" s="70" t="str">
        <f>IF(Trabajos!D119="","",Trabajos!D119)</f>
        <v>Aplicación de cebos</v>
      </c>
      <c r="E119" s="70" t="str">
        <f>IF(Trabajos!G119="","",Trabajos!G119)</f>
        <v>La Cachila</v>
      </c>
      <c r="F119" s="108">
        <f>IF(Trabajos!H119="","",Trabajos!H119)</f>
        <v>100</v>
      </c>
      <c r="G119" s="84">
        <f>IF(Trabajos!I119="","",Trabajos!I119)</f>
        <v>7250</v>
      </c>
      <c r="H119" s="84">
        <f>IF(Trabajos!J119="","",Trabajos!J119)</f>
        <v>725000</v>
      </c>
      <c r="I119" s="107">
        <f>IF(Trabajos!M119="","",Trabajos!M119)</f>
        <v>230</v>
      </c>
      <c r="J119" s="84">
        <f>IF(Trabajos!N119="","",Trabajos!N119)</f>
        <v>633.85</v>
      </c>
      <c r="K119" s="84">
        <f>IF(Trabajos!O119="","",Trabajos!O119)</f>
        <v>145785.5</v>
      </c>
      <c r="L119" s="84">
        <f>IF(Trabajos!P119="","",Trabajos!P119)</f>
        <v>870785.5</v>
      </c>
    </row>
    <row r="120" spans="2:12" x14ac:dyDescent="0.25">
      <c r="B120" s="106">
        <f>IF(Trabajos!B120="","",Trabajos!B120)</f>
        <v>45948</v>
      </c>
      <c r="C120" s="70" t="str">
        <f>IF(Trabajos!F120="","",Trabajos!F120)</f>
        <v>Espartina S.A.</v>
      </c>
      <c r="D120" s="70" t="str">
        <f>IF(Trabajos!D120="","",Trabajos!D120)</f>
        <v>Aplicación de cebos</v>
      </c>
      <c r="E120" s="70" t="str">
        <f>IF(Trabajos!G120="","",Trabajos!G120)</f>
        <v>El Moro Viejo</v>
      </c>
      <c r="F120" s="108">
        <f>IF(Trabajos!H120="","",Trabajos!H120)</f>
        <v>109</v>
      </c>
      <c r="G120" s="84">
        <f>IF(Trabajos!I120="","",Trabajos!I120)</f>
        <v>7267.5</v>
      </c>
      <c r="H120" s="84">
        <f>IF(Trabajos!J120="","",Trabajos!J120)</f>
        <v>792157.5</v>
      </c>
      <c r="I120" s="107">
        <f>IF(Trabajos!M120="","",Trabajos!M120)</f>
        <v>156</v>
      </c>
      <c r="J120" s="84">
        <f>IF(Trabajos!N120="","",Trabajos!N120)</f>
        <v>633.85</v>
      </c>
      <c r="K120" s="84">
        <f>IF(Trabajos!O120="","",Trabajos!O120)</f>
        <v>98880.6</v>
      </c>
      <c r="L120" s="84">
        <f>IF(Trabajos!P120="","",Trabajos!P120)</f>
        <v>891038.1</v>
      </c>
    </row>
    <row r="121" spans="2:12" x14ac:dyDescent="0.25">
      <c r="B121" s="106">
        <f>IF(Trabajos!B121="","",Trabajos!B121)</f>
        <v>45949</v>
      </c>
      <c r="C121" s="70" t="str">
        <f>IF(Trabajos!F121="","",Trabajos!F121)</f>
        <v>Nugas S.A.</v>
      </c>
      <c r="D121" s="70" t="str">
        <f>IF(Trabajos!D121="","",Trabajos!D121)</f>
        <v>Aplicación de cebos</v>
      </c>
      <c r="E121" s="70" t="str">
        <f>IF(Trabajos!G121="","",Trabajos!G121)</f>
        <v>La Alborada</v>
      </c>
      <c r="F121" s="108">
        <f>IF(Trabajos!H121="","",Trabajos!H121)</f>
        <v>107</v>
      </c>
      <c r="G121" s="84">
        <f>IF(Trabajos!I121="","",Trabajos!I121)</f>
        <v>7257.5</v>
      </c>
      <c r="H121" s="84">
        <f>IF(Trabajos!J121="","",Trabajos!J121)</f>
        <v>776552.5</v>
      </c>
      <c r="I121" s="107">
        <f>IF(Trabajos!M121="","",Trabajos!M121)</f>
        <v>160</v>
      </c>
      <c r="J121" s="84">
        <f>IF(Trabajos!N121="","",Trabajos!N121)</f>
        <v>650</v>
      </c>
      <c r="K121" s="84">
        <f>IF(Trabajos!O121="","",Trabajos!O121)</f>
        <v>104000</v>
      </c>
      <c r="L121" s="84">
        <f>IF(Trabajos!P121="","",Trabajos!P121)</f>
        <v>880552.5</v>
      </c>
    </row>
    <row r="122" spans="2:12" x14ac:dyDescent="0.25">
      <c r="B122" s="106">
        <f>IF(Trabajos!B122="","",Trabajos!B122)</f>
        <v>45949</v>
      </c>
      <c r="C122" s="70" t="str">
        <f>IF(Trabajos!F122="","",Trabajos!F122)</f>
        <v>Espartina S.A.</v>
      </c>
      <c r="D122" s="70" t="str">
        <f>IF(Trabajos!D122="","",Trabajos!D122)</f>
        <v>Aplicación de cebos</v>
      </c>
      <c r="E122" s="70" t="str">
        <f>IF(Trabajos!G122="","",Trabajos!G122)</f>
        <v>San Jose</v>
      </c>
      <c r="F122" s="108">
        <f>IF(Trabajos!H122="","",Trabajos!H122)</f>
        <v>60</v>
      </c>
      <c r="G122" s="84">
        <f>IF(Trabajos!I122="","",Trabajos!I122)</f>
        <v>7267.5</v>
      </c>
      <c r="H122" s="84">
        <f>IF(Trabajos!J122="","",Trabajos!J122)</f>
        <v>436050</v>
      </c>
      <c r="I122" s="107">
        <f>IF(Trabajos!M122="","",Trabajos!M122)</f>
        <v>185</v>
      </c>
      <c r="J122" s="84">
        <f>IF(Trabajos!N122="","",Trabajos!N122)</f>
        <v>633.85</v>
      </c>
      <c r="K122" s="84">
        <f>IF(Trabajos!O122="","",Trabajos!O122)</f>
        <v>117262.25</v>
      </c>
      <c r="L122" s="84">
        <f>IF(Trabajos!P122="","",Trabajos!P122)</f>
        <v>553312.25</v>
      </c>
    </row>
    <row r="123" spans="2:12" x14ac:dyDescent="0.25">
      <c r="B123" s="106">
        <f>IF(Trabajos!B123="","",Trabajos!B123)</f>
        <v>45949</v>
      </c>
      <c r="C123" s="70" t="str">
        <f>IF(Trabajos!F123="","",Trabajos!F123)</f>
        <v>Espartina S.A.</v>
      </c>
      <c r="D123" s="70" t="str">
        <f>IF(Trabajos!D123="","",Trabajos!D123)</f>
        <v>Aplicación de cebos</v>
      </c>
      <c r="E123" s="70" t="str">
        <f>IF(Trabajos!G123="","",Trabajos!G123)</f>
        <v>El Moro Viejo</v>
      </c>
      <c r="F123" s="108">
        <f>IF(Trabajos!H123="","",Trabajos!H123)</f>
        <v>45</v>
      </c>
      <c r="G123" s="84">
        <f>IF(Trabajos!I123="","",Trabajos!I123)</f>
        <v>7267.5</v>
      </c>
      <c r="H123" s="84">
        <f>IF(Trabajos!J123="","",Trabajos!J123)</f>
        <v>327037.5</v>
      </c>
      <c r="I123" s="107">
        <f>IF(Trabajos!M123="","",Trabajos!M123)</f>
        <v>156</v>
      </c>
      <c r="J123" s="84">
        <f>IF(Trabajos!N123="","",Trabajos!N123)</f>
        <v>633.85</v>
      </c>
      <c r="K123" s="84">
        <f>IF(Trabajos!O123="","",Trabajos!O123)</f>
        <v>98880.6</v>
      </c>
      <c r="L123" s="84">
        <f>IF(Trabajos!P123="","",Trabajos!P123)</f>
        <v>425918.1</v>
      </c>
    </row>
    <row r="124" spans="2:12" x14ac:dyDescent="0.25">
      <c r="B124" s="106">
        <f>IF(Trabajos!B124="","",Trabajos!B124)</f>
        <v>45949</v>
      </c>
      <c r="C124" s="70" t="str">
        <f>IF(Trabajos!F124="","",Trabajos!F124)</f>
        <v>Espartina S.A.</v>
      </c>
      <c r="D124" s="70" t="str">
        <f>IF(Trabajos!D124="","",Trabajos!D124)</f>
        <v>Monitoreo de bb y bab</v>
      </c>
      <c r="E124" s="70" t="str">
        <f>IF(Trabajos!G124="","",Trabajos!G124)</f>
        <v>Cerro Destino</v>
      </c>
      <c r="F124" s="108">
        <f>IF(Trabajos!H124="","",Trabajos!H124)</f>
        <v>74</v>
      </c>
      <c r="G124" s="84">
        <f>IF(Trabajos!I124="","",Trabajos!I124)</f>
        <v>3262.5</v>
      </c>
      <c r="H124" s="84">
        <f>IF(Trabajos!J124="","",Trabajos!J124)</f>
        <v>241425</v>
      </c>
      <c r="I124" s="107">
        <f>IF(Trabajos!M124="","",Trabajos!M124)</f>
        <v>294</v>
      </c>
      <c r="J124" s="84">
        <f>IF(Trabajos!N124="","",Trabajos!N124)</f>
        <v>633.85</v>
      </c>
      <c r="K124" s="84">
        <f>IF(Trabajos!O124="","",Trabajos!O124)</f>
        <v>186351.9</v>
      </c>
      <c r="L124" s="84">
        <f>IF(Trabajos!P124="","",Trabajos!P124)</f>
        <v>427776.9</v>
      </c>
    </row>
    <row r="125" spans="2:12" x14ac:dyDescent="0.25">
      <c r="B125" s="106">
        <f>IF(Trabajos!B125="","",Trabajos!B125)</f>
        <v>45950</v>
      </c>
      <c r="C125" s="70" t="str">
        <f>IF(Trabajos!F125="","",Trabajos!F125)</f>
        <v>Espartina S.A.</v>
      </c>
      <c r="D125" s="70" t="str">
        <f>IF(Trabajos!D125="","",Trabajos!D125)</f>
        <v>Monitoreo de bb y bab</v>
      </c>
      <c r="E125" s="70" t="str">
        <f>IF(Trabajos!G125="","",Trabajos!G125)</f>
        <v>La Florida</v>
      </c>
      <c r="F125" s="108">
        <f>IF(Trabajos!H125="","",Trabajos!H125)</f>
        <v>169</v>
      </c>
      <c r="G125" s="84">
        <f>IF(Trabajos!I125="","",Trabajos!I125)</f>
        <v>3270.37</v>
      </c>
      <c r="H125" s="84">
        <f>IF(Trabajos!J125="","",Trabajos!J125)</f>
        <v>552692.53</v>
      </c>
      <c r="I125" s="107">
        <f>IF(Trabajos!M125="","",Trabajos!M125)</f>
        <v>0</v>
      </c>
      <c r="J125" s="84">
        <f>IF(Trabajos!N125="","",Trabajos!N125)</f>
        <v>633.85</v>
      </c>
      <c r="K125" s="84">
        <f>IF(Trabajos!O125="","",Trabajos!O125)</f>
        <v>0</v>
      </c>
      <c r="L125" s="84">
        <f>IF(Trabajos!P125="","",Trabajos!P125)</f>
        <v>552692.53</v>
      </c>
    </row>
    <row r="126" spans="2:12" x14ac:dyDescent="0.25">
      <c r="B126" s="106">
        <f>IF(Trabajos!B126="","",Trabajos!B126)</f>
        <v>45950</v>
      </c>
      <c r="C126" s="70" t="str">
        <f>IF(Trabajos!F126="","",Trabajos!F126)</f>
        <v>Espartina S.A.</v>
      </c>
      <c r="D126" s="70" t="str">
        <f>IF(Trabajos!D126="","",Trabajos!D126)</f>
        <v>Monitoreo de bb y bab</v>
      </c>
      <c r="E126" s="70" t="str">
        <f>IF(Trabajos!G126="","",Trabajos!G126)</f>
        <v>Los Charitos</v>
      </c>
      <c r="F126" s="108">
        <f>IF(Trabajos!H126="","",Trabajos!H126)</f>
        <v>132</v>
      </c>
      <c r="G126" s="84">
        <f>IF(Trabajos!I126="","",Trabajos!I126)</f>
        <v>3262.5</v>
      </c>
      <c r="H126" s="84">
        <f>IF(Trabajos!J126="","",Trabajos!J126)</f>
        <v>430650</v>
      </c>
      <c r="I126" s="107">
        <f>IF(Trabajos!M126="","",Trabajos!M126)</f>
        <v>294</v>
      </c>
      <c r="J126" s="84">
        <f>IF(Trabajos!N126="","",Trabajos!N126)</f>
        <v>633.85</v>
      </c>
      <c r="K126" s="84">
        <f>IF(Trabajos!O126="","",Trabajos!O126)</f>
        <v>186351.9</v>
      </c>
      <c r="L126" s="84">
        <f>IF(Trabajos!P126="","",Trabajos!P126)</f>
        <v>617001.9</v>
      </c>
    </row>
    <row r="127" spans="2:12" x14ac:dyDescent="0.25">
      <c r="B127" s="106">
        <f>IF(Trabajos!B127="","",Trabajos!B127)</f>
        <v>45950</v>
      </c>
      <c r="C127" s="70" t="str">
        <f>IF(Trabajos!F127="","",Trabajos!F127)</f>
        <v>Espartina S.A.</v>
      </c>
      <c r="D127" s="70" t="str">
        <f>IF(Trabajos!D127="","",Trabajos!D127)</f>
        <v>Aplicación de cebos</v>
      </c>
      <c r="E127" s="70" t="str">
        <f>IF(Trabajos!G127="","",Trabajos!G127)</f>
        <v>Los Charitos</v>
      </c>
      <c r="F127" s="108">
        <f>IF(Trabajos!H127="","",Trabajos!H127)</f>
        <v>240</v>
      </c>
      <c r="G127" s="84">
        <f>IF(Trabajos!I127="","",Trabajos!I127)</f>
        <v>7250</v>
      </c>
      <c r="H127" s="84">
        <f>IF(Trabajos!J127="","",Trabajos!J127)</f>
        <v>1740000</v>
      </c>
      <c r="I127" s="107">
        <f>IF(Trabajos!M127="","",Trabajos!M127)</f>
        <v>294</v>
      </c>
      <c r="J127" s="84">
        <f>IF(Trabajos!N127="","",Trabajos!N127)</f>
        <v>633.85</v>
      </c>
      <c r="K127" s="84">
        <f>IF(Trabajos!O127="","",Trabajos!O127)</f>
        <v>186351.9</v>
      </c>
      <c r="L127" s="84">
        <f>IF(Trabajos!P127="","",Trabajos!P127)</f>
        <v>1926351.9</v>
      </c>
    </row>
    <row r="128" spans="2:12" x14ac:dyDescent="0.25">
      <c r="B128" s="106">
        <f>IF(Trabajos!B128="","",Trabajos!B128)</f>
        <v>45950</v>
      </c>
      <c r="C128" s="70" t="str">
        <f>IF(Trabajos!F128="","",Trabajos!F128)</f>
        <v>Juan Rodriguez Rivas</v>
      </c>
      <c r="D128" s="70" t="str">
        <f>IF(Trabajos!D128="","",Trabajos!D128)</f>
        <v>Aplicación de cebos</v>
      </c>
      <c r="E128" s="150" t="str">
        <f>IF(Trabajos!G128="","",Trabajos!G128)</f>
        <v>Cerro Guacho</v>
      </c>
      <c r="F128" s="108">
        <f>IF(Trabajos!H128="","",Trabajos!H128)</f>
        <v>19</v>
      </c>
      <c r="G128" s="84">
        <f>IF(Trabajos!I128="","",Trabajos!I128)</f>
        <v>7032.5</v>
      </c>
      <c r="H128" s="84">
        <f>IF(Trabajos!J128="","",Trabajos!J128)</f>
        <v>133617.5</v>
      </c>
      <c r="I128" s="158">
        <f>IF(Trabajos!M128="","",Trabajos!M128)</f>
        <v>262</v>
      </c>
      <c r="J128" s="84">
        <f>IF(Trabajos!N128="","",Trabajos!N128)</f>
        <v>650</v>
      </c>
      <c r="K128" s="84">
        <f>IF(Trabajos!O128="","",Trabajos!O128)</f>
        <v>170300</v>
      </c>
      <c r="L128" s="84">
        <f>IF(Trabajos!P128="","",Trabajos!P128)</f>
        <v>303917.5</v>
      </c>
    </row>
    <row r="129" spans="2:12" x14ac:dyDescent="0.25">
      <c r="B129" s="106">
        <f>IF(Trabajos!B129="","",Trabajos!B129)</f>
        <v>45951</v>
      </c>
      <c r="C129" s="70" t="str">
        <f>IF(Trabajos!F129="","",Trabajos!F129)</f>
        <v>Espartina S.A.</v>
      </c>
      <c r="D129" s="70" t="str">
        <f>IF(Trabajos!D129="","",Trabajos!D129)</f>
        <v>Aplicación de cebos</v>
      </c>
      <c r="E129" s="70" t="str">
        <f>IF(Trabajos!G129="","",Trabajos!G129)</f>
        <v>El Montiel</v>
      </c>
      <c r="F129" s="108">
        <f>IF(Trabajos!H129="","",Trabajos!H129)</f>
        <v>171</v>
      </c>
      <c r="G129" s="84">
        <f>IF(Trabajos!I129="","",Trabajos!I129)</f>
        <v>7250</v>
      </c>
      <c r="H129" s="84">
        <f>IF(Trabajos!J129="","",Trabajos!J129)</f>
        <v>1239750</v>
      </c>
      <c r="I129" s="107">
        <f>IF(Trabajos!M129="","",Trabajos!M129)</f>
        <v>137</v>
      </c>
      <c r="J129" s="84">
        <f>IF(Trabajos!N129="","",Trabajos!N129)</f>
        <v>633.85</v>
      </c>
      <c r="K129" s="84">
        <f>IF(Trabajos!O129="","",Trabajos!O129)</f>
        <v>86837.45</v>
      </c>
      <c r="L129" s="84">
        <f>IF(Trabajos!P129="","",Trabajos!P129)</f>
        <v>1326587.45</v>
      </c>
    </row>
    <row r="130" spans="2:12" x14ac:dyDescent="0.25">
      <c r="B130" s="106">
        <f>IF(Trabajos!B130="","",Trabajos!B130)</f>
        <v>45951</v>
      </c>
      <c r="C130" s="70" t="str">
        <f>IF(Trabajos!F130="","",Trabajos!F130)</f>
        <v>Espartina S.A.</v>
      </c>
      <c r="D130" s="70" t="str">
        <f>IF(Trabajos!D130="","",Trabajos!D130)</f>
        <v>Aplicación de cebos</v>
      </c>
      <c r="E130" s="70" t="str">
        <f>IF(Trabajos!G130="","",Trabajos!G130)</f>
        <v>La Azucena</v>
      </c>
      <c r="F130" s="108">
        <f>IF(Trabajos!H130="","",Trabajos!H130)</f>
        <v>85</v>
      </c>
      <c r="G130" s="84">
        <f>IF(Trabajos!I130="","",Trabajos!I130)</f>
        <v>7250</v>
      </c>
      <c r="H130" s="84">
        <f>IF(Trabajos!J130="","",Trabajos!J130)</f>
        <v>616250</v>
      </c>
      <c r="I130" s="107">
        <f>IF(Trabajos!M130="","",Trabajos!M130)</f>
        <v>137</v>
      </c>
      <c r="J130" s="84">
        <f>IF(Trabajos!N130="","",Trabajos!N130)</f>
        <v>633.85</v>
      </c>
      <c r="K130" s="84">
        <f>IF(Trabajos!O130="","",Trabajos!O130)</f>
        <v>86837.45</v>
      </c>
      <c r="L130" s="84">
        <f>IF(Trabajos!P130="","",Trabajos!P130)</f>
        <v>703087.45</v>
      </c>
    </row>
    <row r="131" spans="2:12" x14ac:dyDescent="0.25">
      <c r="B131" s="106">
        <f>IF(Trabajos!B131="","",Trabajos!B131)</f>
        <v>45951</v>
      </c>
      <c r="C131" s="70" t="str">
        <f>IF(Trabajos!F131="","",Trabajos!F131)</f>
        <v>Cía. de Tierras Sud Argentino S.A.</v>
      </c>
      <c r="D131" s="70" t="str">
        <f>IF(Trabajos!D131="","",Trabajos!D131)</f>
        <v>Aplicación de cebos</v>
      </c>
      <c r="E131" s="70" t="str">
        <f>IF(Trabajos!G131="","",Trabajos!G131)</f>
        <v>Santa Marta</v>
      </c>
      <c r="F131" s="108">
        <f>IF(Trabajos!H131="","",Trabajos!H131)</f>
        <v>221</v>
      </c>
      <c r="G131" s="84">
        <f>IF(Trabajos!I131="","",Trabajos!I131)</f>
        <v>7267.5</v>
      </c>
      <c r="H131" s="84">
        <f>IF(Trabajos!J131="","",Trabajos!J131)</f>
        <v>1606117.5</v>
      </c>
      <c r="I131" s="107">
        <f>IF(Trabajos!M131="","",Trabajos!M131)</f>
        <v>50</v>
      </c>
      <c r="J131" s="84">
        <f>IF(Trabajos!N131="","",Trabajos!N131)</f>
        <v>650</v>
      </c>
      <c r="K131" s="84">
        <f>IF(Trabajos!O131="","",Trabajos!O131)</f>
        <v>32500</v>
      </c>
      <c r="L131" s="84">
        <f>IF(Trabajos!P131="","",Trabajos!P131)</f>
        <v>1638617.5</v>
      </c>
    </row>
    <row r="132" spans="2:12" x14ac:dyDescent="0.25">
      <c r="B132" s="106">
        <f>IF(Trabajos!B132="","",Trabajos!B132)</f>
        <v>45951</v>
      </c>
      <c r="C132" s="70" t="str">
        <f>IF(Trabajos!F132="","",Trabajos!F132)</f>
        <v>Espartina S.A.</v>
      </c>
      <c r="D132" s="70" t="str">
        <f>IF(Trabajos!D132="","",Trabajos!D132)</f>
        <v>Aplicación de cebos</v>
      </c>
      <c r="E132" s="70" t="str">
        <f>IF(Trabajos!G132="","",Trabajos!G132)</f>
        <v>La Paulina</v>
      </c>
      <c r="F132" s="108">
        <f>IF(Trabajos!H132="","",Trabajos!H132)</f>
        <v>107</v>
      </c>
      <c r="G132" s="84">
        <f>IF(Trabajos!I132="","",Trabajos!I132)</f>
        <v>7250</v>
      </c>
      <c r="H132" s="84">
        <f>IF(Trabajos!J132="","",Trabajos!J132)</f>
        <v>775750</v>
      </c>
      <c r="I132" s="107">
        <f>IF(Trabajos!M132="","",Trabajos!M132)</f>
        <v>260</v>
      </c>
      <c r="J132" s="84">
        <f>IF(Trabajos!N132="","",Trabajos!N132)</f>
        <v>633.85</v>
      </c>
      <c r="K132" s="84">
        <f>IF(Trabajos!O132="","",Trabajos!O132)</f>
        <v>164801</v>
      </c>
      <c r="L132" s="84">
        <f>IF(Trabajos!P132="","",Trabajos!P132)</f>
        <v>940551</v>
      </c>
    </row>
    <row r="133" spans="2:12" x14ac:dyDescent="0.25">
      <c r="B133" s="106">
        <f>IF(Trabajos!B133="","",Trabajos!B133)</f>
        <v>45951</v>
      </c>
      <c r="C133" s="70" t="str">
        <f>IF(Trabajos!F133="","",Trabajos!F133)</f>
        <v>Espartina S.A.</v>
      </c>
      <c r="D133" s="70" t="str">
        <f>IF(Trabajos!D133="","",Trabajos!D133)</f>
        <v>Monitoreo de bb y bab</v>
      </c>
      <c r="E133" s="70" t="str">
        <f>IF(Trabajos!G133="","",Trabajos!G133)</f>
        <v>El Pehuen</v>
      </c>
      <c r="F133" s="108">
        <f>IF(Trabajos!H133="","",Trabajos!H133)</f>
        <v>108</v>
      </c>
      <c r="G133" s="84">
        <f>IF(Trabajos!I133="","",Trabajos!I133)</f>
        <v>3262.5</v>
      </c>
      <c r="H133" s="84">
        <f>IF(Trabajos!J133="","",Trabajos!J133)</f>
        <v>352350</v>
      </c>
      <c r="I133" s="107">
        <f>IF(Trabajos!M133="","",Trabajos!M133)</f>
        <v>92</v>
      </c>
      <c r="J133" s="84">
        <f>IF(Trabajos!N133="","",Trabajos!N133)</f>
        <v>633.85</v>
      </c>
      <c r="K133" s="84">
        <f>IF(Trabajos!O133="","",Trabajos!O133)</f>
        <v>58314.200000000004</v>
      </c>
      <c r="L133" s="84">
        <f>IF(Trabajos!P133="","",Trabajos!P133)</f>
        <v>410664.2</v>
      </c>
    </row>
    <row r="134" spans="2:12" x14ac:dyDescent="0.25">
      <c r="B134" s="106">
        <f>IF(Trabajos!B134="","",Trabajos!B134)</f>
        <v>45951</v>
      </c>
      <c r="C134" s="70" t="str">
        <f>IF(Trabajos!F134="","",Trabajos!F134)</f>
        <v>Espartina S.A.</v>
      </c>
      <c r="D134" s="70" t="str">
        <f>IF(Trabajos!D134="","",Trabajos!D134)</f>
        <v>Monitoreo de bb y bab</v>
      </c>
      <c r="E134" s="70" t="str">
        <f>IF(Trabajos!G134="","",Trabajos!G134)</f>
        <v>La Reconquista</v>
      </c>
      <c r="F134" s="108">
        <f>IF(Trabajos!H134="","",Trabajos!H134)</f>
        <v>88</v>
      </c>
      <c r="G134" s="84">
        <f>IF(Trabajos!I134="","",Trabajos!I134)</f>
        <v>3262.5</v>
      </c>
      <c r="H134" s="84">
        <f>IF(Trabajos!J134="","",Trabajos!J134)</f>
        <v>287100</v>
      </c>
      <c r="I134" s="107">
        <f>IF(Trabajos!M134="","",Trabajos!M134)</f>
        <v>92</v>
      </c>
      <c r="J134" s="84">
        <f>IF(Trabajos!N134="","",Trabajos!N134)</f>
        <v>633.85</v>
      </c>
      <c r="K134" s="84">
        <f>IF(Trabajos!O134="","",Trabajos!O134)</f>
        <v>58314.200000000004</v>
      </c>
      <c r="L134" s="84">
        <f>IF(Trabajos!P134="","",Trabajos!P134)</f>
        <v>345414.2</v>
      </c>
    </row>
    <row r="135" spans="2:12" x14ac:dyDescent="0.25">
      <c r="B135" s="106">
        <f>IF(Trabajos!B135="","",Trabajos!B135)</f>
        <v>45951</v>
      </c>
      <c r="C135" s="70" t="str">
        <f>IF(Trabajos!F135="","",Trabajos!F135)</f>
        <v>Espartina S.A.</v>
      </c>
      <c r="D135" s="70" t="str">
        <f>IF(Trabajos!D135="","",Trabajos!D135)</f>
        <v>Monitoreo de bb y bab</v>
      </c>
      <c r="E135" s="70" t="str">
        <f>IF(Trabajos!G135="","",Trabajos!G135)</f>
        <v>Cupalen II</v>
      </c>
      <c r="F135" s="108">
        <f>IF(Trabajos!H135="","",Trabajos!H135)</f>
        <v>73</v>
      </c>
      <c r="G135" s="84">
        <f>IF(Trabajos!I135="","",Trabajos!I135)</f>
        <v>3262.5</v>
      </c>
      <c r="H135" s="84">
        <f>IF(Trabajos!J135="","",Trabajos!J135)</f>
        <v>238162.5</v>
      </c>
      <c r="I135" s="107">
        <f>IF(Trabajos!M135="","",Trabajos!M135)</f>
        <v>82</v>
      </c>
      <c r="J135" s="84">
        <f>IF(Trabajos!N135="","",Trabajos!N135)</f>
        <v>633.85</v>
      </c>
      <c r="K135" s="84">
        <f>IF(Trabajos!O135="","",Trabajos!O135)</f>
        <v>51975.700000000004</v>
      </c>
      <c r="L135" s="84">
        <f>IF(Trabajos!P135="","",Trabajos!P135)</f>
        <v>290138.2</v>
      </c>
    </row>
    <row r="136" spans="2:12" x14ac:dyDescent="0.25">
      <c r="B136" s="106">
        <f>IF(Trabajos!B136="","",Trabajos!B136)</f>
        <v>45951</v>
      </c>
      <c r="C136" s="70" t="str">
        <f>IF(Trabajos!F136="","",Trabajos!F136)</f>
        <v>Espartina S.A.</v>
      </c>
      <c r="D136" s="70" t="str">
        <f>IF(Trabajos!D136="","",Trabajos!D136)</f>
        <v>Monitoreo de bb y bab</v>
      </c>
      <c r="E136" s="70" t="str">
        <f>IF(Trabajos!G136="","",Trabajos!G136)</f>
        <v>Cupalen I</v>
      </c>
      <c r="F136" s="108">
        <f>IF(Trabajos!H136="","",Trabajos!H136)</f>
        <v>184</v>
      </c>
      <c r="G136" s="84">
        <f>IF(Trabajos!I136="","",Trabajos!I136)</f>
        <v>3262.5</v>
      </c>
      <c r="H136" s="84">
        <f>IF(Trabajos!J136="","",Trabajos!J136)</f>
        <v>600300</v>
      </c>
      <c r="I136" s="107">
        <f>IF(Trabajos!M136="","",Trabajos!M136)</f>
        <v>82</v>
      </c>
      <c r="J136" s="84">
        <f>IF(Trabajos!N136="","",Trabajos!N136)</f>
        <v>633.85</v>
      </c>
      <c r="K136" s="84">
        <f>IF(Trabajos!O136="","",Trabajos!O136)</f>
        <v>51975.700000000004</v>
      </c>
      <c r="L136" s="84">
        <f>IF(Trabajos!P136="","",Trabajos!P136)</f>
        <v>652275.69999999995</v>
      </c>
    </row>
    <row r="137" spans="2:12" x14ac:dyDescent="0.25">
      <c r="B137" s="106">
        <f>IF(Trabajos!B137="","",Trabajos!B137)</f>
        <v>45953</v>
      </c>
      <c r="C137" s="70" t="str">
        <f>IF(Trabajos!F137="","",Trabajos!F137)</f>
        <v>Juan Ignacio Franco</v>
      </c>
      <c r="D137" s="70" t="str">
        <f>IF(Trabajos!D137="","",Trabajos!D137)</f>
        <v>Monitoreo de bb y bab</v>
      </c>
      <c r="E137" s="70" t="str">
        <f>IF(Trabajos!G137="","",Trabajos!G137)</f>
        <v>Los Cardos</v>
      </c>
      <c r="F137" s="108">
        <f>IF(Trabajos!H137="","",Trabajos!H137)</f>
        <v>59</v>
      </c>
      <c r="G137" s="84">
        <f>IF(Trabajos!I137="","",Trabajos!I137)</f>
        <v>3467.5</v>
      </c>
      <c r="H137" s="84">
        <f>IF(Trabajos!J137="","",Trabajos!J137)</f>
        <v>204582.5</v>
      </c>
      <c r="I137" s="107">
        <f>IF(Trabajos!M137="","",Trabajos!M137)</f>
        <v>42</v>
      </c>
      <c r="J137" s="84">
        <f>IF(Trabajos!N137="","",Trabajos!N137)</f>
        <v>650</v>
      </c>
      <c r="K137" s="84">
        <f>IF(Trabajos!O137="","",Trabajos!O137)</f>
        <v>27300</v>
      </c>
      <c r="L137" s="84">
        <f>IF(Trabajos!P137="","",Trabajos!P137)</f>
        <v>231882.5</v>
      </c>
    </row>
    <row r="138" spans="2:12" x14ac:dyDescent="0.25">
      <c r="B138" s="106">
        <f>IF(Trabajos!B138="","",Trabajos!B138)</f>
        <v>45953</v>
      </c>
      <c r="C138" s="70" t="str">
        <f>IF(Trabajos!F138="","",Trabajos!F138)</f>
        <v>La Mylucha</v>
      </c>
      <c r="D138" s="70" t="str">
        <f>IF(Trabajos!D138="","",Trabajos!D138)</f>
        <v>Monitoreo de bb y bab</v>
      </c>
      <c r="E138" s="70" t="str">
        <f>IF(Trabajos!G138="","",Trabajos!G138)</f>
        <v>La Mylucha</v>
      </c>
      <c r="F138" s="108">
        <f>IF(Trabajos!H138="","",Trabajos!H138)</f>
        <v>75</v>
      </c>
      <c r="G138" s="84">
        <f>IF(Trabajos!I138="","",Trabajos!I138)</f>
        <v>3628.75</v>
      </c>
      <c r="H138" s="84">
        <f>IF(Trabajos!J138="","",Trabajos!J138)</f>
        <v>272156.25</v>
      </c>
      <c r="I138" s="107">
        <f>IF(Trabajos!M138="","",Trabajos!M138)</f>
        <v>40</v>
      </c>
      <c r="J138" s="84">
        <f>IF(Trabajos!N138="","",Trabajos!N138)</f>
        <v>650</v>
      </c>
      <c r="K138" s="84">
        <f>IF(Trabajos!O138="","",Trabajos!O138)</f>
        <v>26000</v>
      </c>
      <c r="L138" s="84">
        <f>IF(Trabajos!P138="","",Trabajos!P138)</f>
        <v>298156.25</v>
      </c>
    </row>
    <row r="139" spans="2:12" x14ac:dyDescent="0.25">
      <c r="B139" s="106">
        <f>IF(Trabajos!B139="","",Trabajos!B139)</f>
        <v>45953</v>
      </c>
      <c r="C139" s="70" t="str">
        <f>IF(Trabajos!F139="","",Trabajos!F139)</f>
        <v>Espartina S.A.</v>
      </c>
      <c r="D139" s="70" t="str">
        <f>IF(Trabajos!D139="","",Trabajos!D139)</f>
        <v>Aplicación de cebos</v>
      </c>
      <c r="E139" s="70" t="str">
        <f>IF(Trabajos!G139="","",Trabajos!G139)</f>
        <v>Aitona</v>
      </c>
      <c r="F139" s="108">
        <f>IF(Trabajos!H139="","",Trabajos!H139)</f>
        <v>113</v>
      </c>
      <c r="G139" s="84">
        <f>IF(Trabajos!I139="","",Trabajos!I139)</f>
        <v>7267.5</v>
      </c>
      <c r="H139" s="84">
        <f>IF(Trabajos!J139="","",Trabajos!J139)</f>
        <v>821227.5</v>
      </c>
      <c r="I139" s="158">
        <f>IF(Trabajos!M139="","",Trabajos!M139)</f>
        <v>176</v>
      </c>
      <c r="J139" s="84">
        <f>IF(Trabajos!N139="","",Trabajos!N139)</f>
        <v>633.85</v>
      </c>
      <c r="K139" s="84">
        <f>IF(Trabajos!O139="","",Trabajos!O139)</f>
        <v>111557.6</v>
      </c>
      <c r="L139" s="84">
        <f>IF(Trabajos!P139="","",Trabajos!P139)</f>
        <v>932785.1</v>
      </c>
    </row>
    <row r="140" spans="2:12" x14ac:dyDescent="0.25">
      <c r="B140" s="106">
        <f>IF(Trabajos!B140="","",Trabajos!B140)</f>
        <v>45956</v>
      </c>
      <c r="C140" s="70" t="str">
        <f>IF(Trabajos!F140="","",Trabajos!F140)</f>
        <v>Espartina S.A.</v>
      </c>
      <c r="D140" s="70" t="str">
        <f>IF(Trabajos!D140="","",Trabajos!D140)</f>
        <v>Monitoreo de bb y bab</v>
      </c>
      <c r="E140" s="70" t="str">
        <f>IF(Trabajos!G140="","",Trabajos!G140)</f>
        <v>La Cantera</v>
      </c>
      <c r="F140" s="108">
        <f>IF(Trabajos!H140="","",Trabajos!H140)</f>
        <v>155</v>
      </c>
      <c r="G140" s="84">
        <f>IF(Trabajos!I140="","",Trabajos!I140)</f>
        <v>3270.37</v>
      </c>
      <c r="H140" s="84">
        <f>IF(Trabajos!J140="","",Trabajos!J140)</f>
        <v>506907.35</v>
      </c>
      <c r="I140" s="107">
        <f>IF(Trabajos!M140="","",Trabajos!M140)</f>
        <v>50</v>
      </c>
      <c r="J140" s="84">
        <f>IF(Trabajos!N140="","",Trabajos!N140)</f>
        <v>633.85</v>
      </c>
      <c r="K140" s="84">
        <f>IF(Trabajos!O140="","",Trabajos!O140)</f>
        <v>31692.5</v>
      </c>
      <c r="L140" s="84">
        <f>IF(Trabajos!P140="","",Trabajos!P140)</f>
        <v>538599.85</v>
      </c>
    </row>
    <row r="141" spans="2:12" x14ac:dyDescent="0.25">
      <c r="B141" s="106">
        <f>IF(Trabajos!B141="","",Trabajos!B141)</f>
        <v>45957</v>
      </c>
      <c r="C141" s="70" t="str">
        <f>IF(Trabajos!F141="","",Trabajos!F141)</f>
        <v>Juan Rodriguez Rivas</v>
      </c>
      <c r="D141" s="70" t="str">
        <f>IF(Trabajos!D141="","",Trabajos!D141)</f>
        <v>Aplicación de cebos</v>
      </c>
      <c r="E141" s="70" t="str">
        <f>IF(Trabajos!G141="","",Trabajos!G141)</f>
        <v>Cerro Guacho</v>
      </c>
      <c r="F141" s="108">
        <f>IF(Trabajos!H141="","",Trabajos!H141)</f>
        <v>100</v>
      </c>
      <c r="G141" s="84">
        <f>IF(Trabajos!I141="","",Trabajos!I141)</f>
        <v>7032.5</v>
      </c>
      <c r="H141" s="84">
        <f>IF(Trabajos!J141="","",Trabajos!J141)</f>
        <v>703250</v>
      </c>
      <c r="I141" s="107">
        <f>IF(Trabajos!M141="","",Trabajos!M141)</f>
        <v>262</v>
      </c>
      <c r="J141" s="84">
        <f>IF(Trabajos!N141="","",Trabajos!N141)</f>
        <v>650</v>
      </c>
      <c r="K141" s="84">
        <f>IF(Trabajos!O141="","",Trabajos!O141)</f>
        <v>170300</v>
      </c>
      <c r="L141" s="84">
        <f>IF(Trabajos!P141="","",Trabajos!P141)</f>
        <v>873550</v>
      </c>
    </row>
    <row r="142" spans="2:12" x14ac:dyDescent="0.25">
      <c r="B142" s="106">
        <f>IF(Trabajos!B142="","",Trabajos!B142)</f>
        <v>45957</v>
      </c>
      <c r="C142" s="70" t="str">
        <f>IF(Trabajos!F142="","",Trabajos!F142)</f>
        <v>La Nany S.A.</v>
      </c>
      <c r="D142" s="70" t="str">
        <f>IF(Trabajos!D142="","",Trabajos!D142)</f>
        <v>Aplicación de cebos</v>
      </c>
      <c r="E142" s="70" t="str">
        <f>IF(Trabajos!G142="","",Trabajos!G142)</f>
        <v>La Adelia</v>
      </c>
      <c r="F142" s="108">
        <f>IF(Trabajos!H142="","",Trabajos!H142)</f>
        <v>195</v>
      </c>
      <c r="G142" s="84">
        <f>IF(Trabajos!I142="","",Trabajos!I142)</f>
        <v>7237.5</v>
      </c>
      <c r="H142" s="84">
        <f>IF(Trabajos!J142="","",Trabajos!J142)</f>
        <v>1411312.5</v>
      </c>
      <c r="I142" s="158">
        <f>IF(Trabajos!M142="","",Trabajos!M142)</f>
        <v>104</v>
      </c>
      <c r="J142" s="84">
        <f>IF(Trabajos!N142="","",Trabajos!N142)</f>
        <v>650</v>
      </c>
      <c r="K142" s="84">
        <f>IF(Trabajos!O142="","",Trabajos!O142)</f>
        <v>67600</v>
      </c>
      <c r="L142" s="84">
        <f>IF(Trabajos!P142="","",Trabajos!P142)</f>
        <v>1478912.5</v>
      </c>
    </row>
    <row r="143" spans="2:12" x14ac:dyDescent="0.25">
      <c r="B143" s="106">
        <f>IF(Trabajos!B143="","",Trabajos!B143)</f>
        <v>45957</v>
      </c>
      <c r="C143" s="70" t="str">
        <f>IF(Trabajos!F143="","",Trabajos!F143)</f>
        <v>Juan Rodriguez Rivas</v>
      </c>
      <c r="D143" s="70" t="str">
        <f>IF(Trabajos!D143="","",Trabajos!D143)</f>
        <v>Monitoreo de bb y bab</v>
      </c>
      <c r="E143" s="70" t="str">
        <f>IF(Trabajos!G143="","",Trabajos!G143)</f>
        <v>San Agustin</v>
      </c>
      <c r="F143" s="108">
        <f>IF(Trabajos!H143="","",Trabajos!H143)</f>
        <v>365</v>
      </c>
      <c r="G143" s="84">
        <f>IF(Trabajos!I143="","",Trabajos!I143)</f>
        <v>3516.25</v>
      </c>
      <c r="H143" s="84">
        <f>IF(Trabajos!J143="","",Trabajos!J143)</f>
        <v>1283431.25</v>
      </c>
      <c r="I143" s="107">
        <f>IF(Trabajos!M143="","",Trabajos!M143)</f>
        <v>246</v>
      </c>
      <c r="J143" s="84">
        <f>IF(Trabajos!N143="","",Trabajos!N143)</f>
        <v>650</v>
      </c>
      <c r="K143" s="84">
        <f>IF(Trabajos!O143="","",Trabajos!O143)</f>
        <v>159900</v>
      </c>
      <c r="L143" s="84">
        <f>IF(Trabajos!P143="","",Trabajos!P143)</f>
        <v>1443331.25</v>
      </c>
    </row>
    <row r="144" spans="2:12" x14ac:dyDescent="0.25">
      <c r="B144" s="106">
        <f>IF(Trabajos!B144="","",Trabajos!B144)</f>
        <v>45957</v>
      </c>
      <c r="C144" s="70" t="str">
        <f>IF(Trabajos!F144="","",Trabajos!F144)</f>
        <v>Espartina S.A.</v>
      </c>
      <c r="D144" s="70" t="str">
        <f>IF(Trabajos!D144="","",Trabajos!D144)</f>
        <v>Aplicación de cebos</v>
      </c>
      <c r="E144" s="70" t="str">
        <f>IF(Trabajos!G144="","",Trabajos!G144)</f>
        <v>El Basural</v>
      </c>
      <c r="F144" s="108">
        <f>IF(Trabajos!H144="","",Trabajos!H144)</f>
        <v>65</v>
      </c>
      <c r="G144" s="84">
        <f>IF(Trabajos!I144="","",Trabajos!I144)</f>
        <v>7250</v>
      </c>
      <c r="H144" s="84">
        <f>IF(Trabajos!J144="","",Trabajos!J144)</f>
        <v>471250</v>
      </c>
      <c r="I144" s="107">
        <f>IF(Trabajos!M144="","",Trabajos!M144)</f>
        <v>212</v>
      </c>
      <c r="J144" s="84">
        <f>IF(Trabajos!N144="","",Trabajos!N144)</f>
        <v>633.85</v>
      </c>
      <c r="K144" s="84">
        <f>IF(Trabajos!O144="","",Trabajos!O144)</f>
        <v>134376.20000000001</v>
      </c>
      <c r="L144" s="84">
        <f>IF(Trabajos!P144="","",Trabajos!P144)</f>
        <v>605626.19999999995</v>
      </c>
    </row>
    <row r="145" spans="2:12" x14ac:dyDescent="0.25">
      <c r="B145" s="106">
        <f>IF(Trabajos!B145="","",Trabajos!B145)</f>
        <v>45958</v>
      </c>
      <c r="C145" s="70" t="str">
        <f>IF(Trabajos!F145="","",Trabajos!F145)</f>
        <v>Espartina S.A.</v>
      </c>
      <c r="D145" s="70" t="str">
        <f>IF(Trabajos!D145="","",Trabajos!D145)</f>
        <v>Aplicación de cebos</v>
      </c>
      <c r="E145" s="70" t="str">
        <f>IF(Trabajos!G145="","",Trabajos!G145)</f>
        <v>El Ceibo II</v>
      </c>
      <c r="F145" s="108">
        <f>IF(Trabajos!H145="","",Trabajos!H145)</f>
        <v>126</v>
      </c>
      <c r="G145" s="84">
        <f>IF(Trabajos!I145="","",Trabajos!I145)</f>
        <v>7250</v>
      </c>
      <c r="H145" s="84">
        <f>IF(Trabajos!J145="","",Trabajos!J145)</f>
        <v>913500</v>
      </c>
      <c r="I145" s="158">
        <f>IF(Trabajos!M145="","",Trabajos!M145)</f>
        <v>208</v>
      </c>
      <c r="J145" s="84">
        <f>IF(Trabajos!N145="","",Trabajos!N145)</f>
        <v>633.85</v>
      </c>
      <c r="K145" s="84">
        <f>IF(Trabajos!O145="","",Trabajos!O145)</f>
        <v>131840.80000000002</v>
      </c>
      <c r="L145" s="84">
        <f>IF(Trabajos!P145="","",Trabajos!P145)</f>
        <v>1045340.8</v>
      </c>
    </row>
    <row r="146" spans="2:12" x14ac:dyDescent="0.25">
      <c r="B146" s="106">
        <f>IF(Trabajos!B146="","",Trabajos!B146)</f>
        <v>45958</v>
      </c>
      <c r="C146" s="70" t="str">
        <f>IF(Trabajos!F146="","",Trabajos!F146)</f>
        <v>Espartina S.A.</v>
      </c>
      <c r="D146" s="70" t="str">
        <f>IF(Trabajos!D146="","",Trabajos!D146)</f>
        <v>Aplicación de cebos</v>
      </c>
      <c r="E146" s="70" t="str">
        <f>IF(Trabajos!G146="","",Trabajos!G146)</f>
        <v>Santa Maria del Moro</v>
      </c>
      <c r="F146" s="108">
        <f>IF(Trabajos!H146="","",Trabajos!H146)</f>
        <v>112</v>
      </c>
      <c r="G146" s="84">
        <f>IF(Trabajos!I146="","",Trabajos!I146)</f>
        <v>7267.5</v>
      </c>
      <c r="H146" s="84">
        <f>IF(Trabajos!J146="","",Trabajos!J146)</f>
        <v>813960</v>
      </c>
      <c r="I146" s="158">
        <f>IF(Trabajos!M146="","",Trabajos!M146)</f>
        <v>164</v>
      </c>
      <c r="J146" s="84">
        <f>IF(Trabajos!N146="","",Trabajos!N146)</f>
        <v>633.85</v>
      </c>
      <c r="K146" s="84">
        <f>IF(Trabajos!O146="","",Trabajos!O146)</f>
        <v>103951.40000000001</v>
      </c>
      <c r="L146" s="84">
        <f>IF(Trabajos!P146="","",Trabajos!P146)</f>
        <v>917911.4</v>
      </c>
    </row>
    <row r="147" spans="2:12" x14ac:dyDescent="0.25">
      <c r="B147" s="106">
        <f>IF(Trabajos!B147="","",Trabajos!B147)</f>
        <v>45957</v>
      </c>
      <c r="C147" s="70" t="str">
        <f>IF(Trabajos!F147="","",Trabajos!F147)</f>
        <v>Espartina S.A.</v>
      </c>
      <c r="D147" s="70" t="str">
        <f>IF(Trabajos!D147="","",Trabajos!D147)</f>
        <v>Monitoreo de bb y bab</v>
      </c>
      <c r="E147" s="70" t="str">
        <f>IF(Trabajos!G147="","",Trabajos!G147)</f>
        <v>La Cantera</v>
      </c>
      <c r="F147" s="108">
        <f>IF(Trabajos!H147="","",Trabajos!H147)</f>
        <v>204</v>
      </c>
      <c r="G147" s="84">
        <f>IF(Trabajos!I147="","",Trabajos!I147)</f>
        <v>3270.37</v>
      </c>
      <c r="H147" s="84">
        <f>IF(Trabajos!J147="","",Trabajos!J147)</f>
        <v>667155.48</v>
      </c>
      <c r="I147" s="158">
        <f>IF(Trabajos!M147="","",Trabajos!M147)</f>
        <v>50</v>
      </c>
      <c r="J147" s="84">
        <f>IF(Trabajos!N147="","",Trabajos!N147)</f>
        <v>633.85</v>
      </c>
      <c r="K147" s="84">
        <f>IF(Trabajos!O147="","",Trabajos!O147)</f>
        <v>31692.5</v>
      </c>
      <c r="L147" s="84">
        <f>IF(Trabajos!P147="","",Trabajos!P147)</f>
        <v>698847.98</v>
      </c>
    </row>
    <row r="148" spans="2:12" x14ac:dyDescent="0.25">
      <c r="B148" s="106">
        <f>IF(Trabajos!B148="","",Trabajos!B148)</f>
        <v>45958</v>
      </c>
      <c r="C148" s="70" t="str">
        <f>IF(Trabajos!F148="","",Trabajos!F148)</f>
        <v>Espartina S.A.</v>
      </c>
      <c r="D148" s="70" t="str">
        <f>IF(Trabajos!D148="","",Trabajos!D148)</f>
        <v>Monitoreo de bb y bab</v>
      </c>
      <c r="E148" s="70" t="str">
        <f>IF(Trabajos!G148="","",Trabajos!G148)</f>
        <v>La Juanita</v>
      </c>
      <c r="F148" s="108">
        <f>IF(Trabajos!H148="","",Trabajos!H148)</f>
        <v>170</v>
      </c>
      <c r="G148" s="84">
        <f>IF(Trabajos!I148="","",Trabajos!I148)</f>
        <v>3270.37</v>
      </c>
      <c r="H148" s="84">
        <f>IF(Trabajos!J148="","",Trabajos!J148)</f>
        <v>555962.9</v>
      </c>
      <c r="I148" s="158">
        <f>IF(Trabajos!M148="","",Trabajos!M148)</f>
        <v>60</v>
      </c>
      <c r="J148" s="84">
        <f>IF(Trabajos!N148="","",Trabajos!N148)</f>
        <v>633.85</v>
      </c>
      <c r="K148" s="84">
        <f>IF(Trabajos!O148="","",Trabajos!O148)</f>
        <v>38031</v>
      </c>
      <c r="L148" s="84">
        <f>IF(Trabajos!P148="","",Trabajos!P148)</f>
        <v>593993.9</v>
      </c>
    </row>
    <row r="149" spans="2:12" x14ac:dyDescent="0.25">
      <c r="B149" s="106">
        <f>IF(Trabajos!B149="","",Trabajos!B149)</f>
        <v>45958</v>
      </c>
      <c r="C149" s="70" t="str">
        <f>IF(Trabajos!F149="","",Trabajos!F149)</f>
        <v>Espartina S.A.</v>
      </c>
      <c r="D149" s="70" t="str">
        <f>IF(Trabajos!D149="","",Trabajos!D149)</f>
        <v>Aplicación de cebos</v>
      </c>
      <c r="E149" s="70" t="str">
        <f>IF(Trabajos!G149="","",Trabajos!G149)</f>
        <v>El Moro Viejo</v>
      </c>
      <c r="F149" s="108">
        <f>IF(Trabajos!H149="","",Trabajos!H149)</f>
        <v>57</v>
      </c>
      <c r="G149" s="84">
        <f>IF(Trabajos!I149="","",Trabajos!I149)</f>
        <v>7267.5</v>
      </c>
      <c r="H149" s="84">
        <f>IF(Trabajos!J149="","",Trabajos!J149)</f>
        <v>414247.5</v>
      </c>
      <c r="I149" s="158">
        <f>IF(Trabajos!M149="","",Trabajos!M149)</f>
        <v>156</v>
      </c>
      <c r="J149" s="84">
        <f>IF(Trabajos!N149="","",Trabajos!N149)</f>
        <v>633.85</v>
      </c>
      <c r="K149" s="84">
        <f>IF(Trabajos!O149="","",Trabajos!O149)</f>
        <v>98880.6</v>
      </c>
      <c r="L149" s="84">
        <f>IF(Trabajos!P149="","",Trabajos!P149)</f>
        <v>513128.1</v>
      </c>
    </row>
    <row r="150" spans="2:12" x14ac:dyDescent="0.25">
      <c r="B150" s="106">
        <f>IF(Trabajos!B150="","",Trabajos!B150)</f>
        <v>45959</v>
      </c>
      <c r="C150" s="70" t="str">
        <f>IF(Trabajos!F150="","",Trabajos!F150)</f>
        <v>Espartina S.A.</v>
      </c>
      <c r="D150" s="70" t="str">
        <f>IF(Trabajos!D150="","",Trabajos!D150)</f>
        <v>Monitoreo de bb y bab</v>
      </c>
      <c r="E150" s="70" t="str">
        <f>IF(Trabajos!G150="","",Trabajos!G150)</f>
        <v>El Alivio</v>
      </c>
      <c r="F150" s="108">
        <f>IF(Trabajos!H150="","",Trabajos!H150)</f>
        <v>174</v>
      </c>
      <c r="G150" s="84">
        <f>IF(Trabajos!I150="","",Trabajos!I150)</f>
        <v>3262.5</v>
      </c>
      <c r="H150" s="84">
        <f>IF(Trabajos!J150="","",Trabajos!J150)</f>
        <v>567675</v>
      </c>
      <c r="I150" s="107">
        <f>IF(Trabajos!M150="","",Trabajos!M150)</f>
        <v>208</v>
      </c>
      <c r="J150" s="84">
        <f>IF(Trabajos!N150="","",Trabajos!N150)</f>
        <v>633.85</v>
      </c>
      <c r="K150" s="84">
        <f>IF(Trabajos!O150="","",Trabajos!O150)</f>
        <v>131840.80000000002</v>
      </c>
      <c r="L150" s="84">
        <f>IF(Trabajos!P150="","",Trabajos!P150)</f>
        <v>699515.8</v>
      </c>
    </row>
    <row r="151" spans="2:12" x14ac:dyDescent="0.25">
      <c r="B151" s="106">
        <f>IF(Trabajos!B151="","",Trabajos!B151)</f>
        <v>45959</v>
      </c>
      <c r="C151" s="70" t="str">
        <f>IF(Trabajos!F151="","",Trabajos!F151)</f>
        <v>Espartina S.A.</v>
      </c>
      <c r="D151" s="70" t="str">
        <f>IF(Trabajos!D151="","",Trabajos!D151)</f>
        <v>Aplicación de cebos</v>
      </c>
      <c r="E151" s="70" t="str">
        <f>IF(Trabajos!G151="","",Trabajos!G151)</f>
        <v>Santa Isabel Cozumel</v>
      </c>
      <c r="F151" s="108">
        <f>IF(Trabajos!H151="","",Trabajos!H151)</f>
        <v>110</v>
      </c>
      <c r="G151" s="84">
        <f>IF(Trabajos!I151="","",Trabajos!I151)</f>
        <v>7250</v>
      </c>
      <c r="H151" s="84">
        <f>IF(Trabajos!J151="","",Trabajos!J151)</f>
        <v>797500</v>
      </c>
      <c r="I151" s="158">
        <f>IF(Trabajos!M151="","",Trabajos!M151)</f>
        <v>186</v>
      </c>
      <c r="J151" s="84">
        <f>IF(Trabajos!N151="","",Trabajos!N151)</f>
        <v>633.85</v>
      </c>
      <c r="K151" s="84">
        <f>IF(Trabajos!O151="","",Trabajos!O151)</f>
        <v>117896.1</v>
      </c>
      <c r="L151" s="84">
        <f>IF(Trabajos!P151="","",Trabajos!P151)</f>
        <v>915396.1</v>
      </c>
    </row>
    <row r="152" spans="2:12" x14ac:dyDescent="0.25">
      <c r="B152" s="106">
        <f>IF(Trabajos!B152="","",Trabajos!B152)</f>
        <v>45959</v>
      </c>
      <c r="C152" s="70" t="str">
        <f>IF(Trabajos!F152="","",Trabajos!F152)</f>
        <v xml:space="preserve">EDM </v>
      </c>
      <c r="D152" s="70" t="str">
        <f>IF(Trabajos!D152="","",Trabajos!D152)</f>
        <v>Aplicación de cebos</v>
      </c>
      <c r="E152" s="70" t="str">
        <f>IF(Trabajos!G152="","",Trabajos!G152)</f>
        <v>Villa Laura</v>
      </c>
      <c r="F152" s="108">
        <f>IF(Trabajos!H152="","",Trabajos!H152)</f>
        <v>4</v>
      </c>
      <c r="G152" s="84">
        <f>IF(Trabajos!I152="","",Trabajos!I152)</f>
        <v>7250</v>
      </c>
      <c r="H152" s="84">
        <f>IF(Trabajos!J152="","",Trabajos!J152)</f>
        <v>29000</v>
      </c>
      <c r="I152" s="158">
        <f>IF(Trabajos!M152="","",Trabajos!M152)</f>
        <v>10</v>
      </c>
      <c r="J152" s="84">
        <f>IF(Trabajos!N152="","",Trabajos!N152)</f>
        <v>650</v>
      </c>
      <c r="K152" s="84">
        <f>IF(Trabajos!O152="","",Trabajos!O152)</f>
        <v>6500</v>
      </c>
      <c r="L152" s="84">
        <f>IF(Trabajos!P152="","",Trabajos!P152)</f>
        <v>35500</v>
      </c>
    </row>
    <row r="153" spans="2:12" x14ac:dyDescent="0.25">
      <c r="B153" s="106">
        <f>IF(Trabajos!B153="","",Trabajos!B153)</f>
        <v>45959</v>
      </c>
      <c r="C153" s="70" t="str">
        <f>IF(Trabajos!F153="","",Trabajos!F153)</f>
        <v>Ignacio Loscalzo</v>
      </c>
      <c r="D153" s="70" t="str">
        <f>IF(Trabajos!D153="","",Trabajos!D153)</f>
        <v>Aplicación de cebos</v>
      </c>
      <c r="E153" s="70" t="str">
        <f>IF(Trabajos!G153="","",Trabajos!G153)</f>
        <v>Villa Laura</v>
      </c>
      <c r="F153" s="108">
        <f>IF(Trabajos!H153="","",Trabajos!H153)</f>
        <v>35</v>
      </c>
      <c r="G153" s="84">
        <f>IF(Trabajos!I153="","",Trabajos!I153)</f>
        <v>6935</v>
      </c>
      <c r="H153" s="84">
        <f>IF(Trabajos!J153="","",Trabajos!J153)</f>
        <v>242725</v>
      </c>
      <c r="I153" s="158">
        <f>IF(Trabajos!M153="","",Trabajos!M153)</f>
        <v>0</v>
      </c>
      <c r="J153" s="84">
        <f>IF(Trabajos!N153="","",Trabajos!N153)</f>
        <v>650</v>
      </c>
      <c r="K153" s="84">
        <f>IF(Trabajos!O153="","",Trabajos!O153)</f>
        <v>0</v>
      </c>
      <c r="L153" s="84">
        <f>IF(Trabajos!P153="","",Trabajos!P153)</f>
        <v>242725</v>
      </c>
    </row>
    <row r="154" spans="2:12" x14ac:dyDescent="0.25">
      <c r="B154" s="106">
        <f>IF(Trabajos!B154="","",Trabajos!B154)</f>
        <v>45959</v>
      </c>
      <c r="C154" s="70" t="str">
        <f>IF(Trabajos!F154="","",Trabajos!F154)</f>
        <v>Juan Ignacio Franco</v>
      </c>
      <c r="D154" s="70" t="str">
        <f>IF(Trabajos!D154="","",Trabajos!D154)</f>
        <v>Aplicación de cebos</v>
      </c>
      <c r="E154" s="70" t="str">
        <f>IF(Trabajos!G154="","",Trabajos!G154)</f>
        <v>Los Cardos</v>
      </c>
      <c r="F154" s="108">
        <f>IF(Trabajos!H154="","",Trabajos!H154)</f>
        <v>59</v>
      </c>
      <c r="G154" s="84">
        <f>IF(Trabajos!I154="","",Trabajos!I154)</f>
        <v>6935</v>
      </c>
      <c r="H154" s="84">
        <f>IF(Trabajos!J154="","",Trabajos!J154)</f>
        <v>409165</v>
      </c>
      <c r="I154" s="107">
        <f>IF(Trabajos!M154="","",Trabajos!M154)</f>
        <v>42</v>
      </c>
      <c r="J154" s="84">
        <f>IF(Trabajos!N154="","",Trabajos!N154)</f>
        <v>650</v>
      </c>
      <c r="K154" s="84">
        <f>IF(Trabajos!O154="","",Trabajos!O154)</f>
        <v>27300</v>
      </c>
      <c r="L154" s="84">
        <f>IF(Trabajos!P154="","",Trabajos!P154)</f>
        <v>436465</v>
      </c>
    </row>
    <row r="155" spans="2:12" x14ac:dyDescent="0.25">
      <c r="B155" s="106">
        <f>IF(Trabajos!B155="","",Trabajos!B155)</f>
        <v>45959</v>
      </c>
      <c r="C155" s="70" t="str">
        <f>IF(Trabajos!F155="","",Trabajos!F155)</f>
        <v>Espartina S.A.</v>
      </c>
      <c r="D155" s="70" t="str">
        <f>IF(Trabajos!D155="","",Trabajos!D155)</f>
        <v>Monitoreo de bb y bab</v>
      </c>
      <c r="E155" s="70" t="str">
        <f>IF(Trabajos!G155="","",Trabajos!G155)</f>
        <v>La Azucena</v>
      </c>
      <c r="F155" s="108">
        <f>IF(Trabajos!H155="","",Trabajos!H155)</f>
        <v>111</v>
      </c>
      <c r="G155" s="84">
        <f>IF(Trabajos!I155="","",Trabajos!I155)</f>
        <v>3262.5</v>
      </c>
      <c r="H155" s="84">
        <f>IF(Trabajos!J155="","",Trabajos!J155)</f>
        <v>362137.5</v>
      </c>
      <c r="I155" s="107">
        <f>IF(Trabajos!M155="","",Trabajos!M155)</f>
        <v>137</v>
      </c>
      <c r="J155" s="84">
        <f>IF(Trabajos!N155="","",Trabajos!N155)</f>
        <v>633.85</v>
      </c>
      <c r="K155" s="84">
        <f>IF(Trabajos!O155="","",Trabajos!O155)</f>
        <v>86837.45</v>
      </c>
      <c r="L155" s="84">
        <f>IF(Trabajos!P155="","",Trabajos!P155)</f>
        <v>448974.95</v>
      </c>
    </row>
    <row r="156" spans="2:12" x14ac:dyDescent="0.25">
      <c r="B156" s="106">
        <f>IF(Trabajos!B156="","",Trabajos!B156)</f>
        <v>45959</v>
      </c>
      <c r="C156" s="70" t="str">
        <f>IF(Trabajos!F156="","",Trabajos!F156)</f>
        <v>Espartina S.A.</v>
      </c>
      <c r="D156" s="70" t="str">
        <f>IF(Trabajos!D156="","",Trabajos!D156)</f>
        <v>Monitoreo de bb y bab</v>
      </c>
      <c r="E156" s="70" t="str">
        <f>IF(Trabajos!G156="","",Trabajos!G156)</f>
        <v>Sejor</v>
      </c>
      <c r="F156" s="108">
        <f>IF(Trabajos!H156="","",Trabajos!H156)</f>
        <v>98</v>
      </c>
      <c r="G156" s="84">
        <f>IF(Trabajos!I156="","",Trabajos!I156)</f>
        <v>3262.5</v>
      </c>
      <c r="H156" s="84">
        <f>IF(Trabajos!J156="","",Trabajos!J156)</f>
        <v>319725</v>
      </c>
      <c r="I156" s="158">
        <f>IF(Trabajos!M156="","",Trabajos!M156)</f>
        <v>137</v>
      </c>
      <c r="J156" s="84">
        <f>IF(Trabajos!N156="","",Trabajos!N156)</f>
        <v>633.85</v>
      </c>
      <c r="K156" s="84">
        <f>IF(Trabajos!O156="","",Trabajos!O156)</f>
        <v>86837.45</v>
      </c>
      <c r="L156" s="84">
        <f>IF(Trabajos!P156="","",Trabajos!P156)</f>
        <v>406562.45</v>
      </c>
    </row>
    <row r="157" spans="2:12" x14ac:dyDescent="0.25">
      <c r="B157" s="106">
        <f>IF(Trabajos!B157="","",Trabajos!B157)</f>
        <v>45959</v>
      </c>
      <c r="C157" s="70" t="str">
        <f>IF(Trabajos!F157="","",Trabajos!F157)</f>
        <v>Espartina S.A.</v>
      </c>
      <c r="D157" s="70" t="str">
        <f>IF(Trabajos!D157="","",Trabajos!D157)</f>
        <v>Monitoreo de bb y bab</v>
      </c>
      <c r="E157" s="70" t="str">
        <f>IF(Trabajos!G157="","",Trabajos!G157)</f>
        <v>La Paulina</v>
      </c>
      <c r="F157" s="108">
        <f>IF(Trabajos!H157="","",Trabajos!H157)</f>
        <v>133</v>
      </c>
      <c r="G157" s="84">
        <f>IF(Trabajos!I157="","",Trabajos!I157)</f>
        <v>3262.5</v>
      </c>
      <c r="H157" s="84">
        <f>IF(Trabajos!J157="","",Trabajos!J157)</f>
        <v>433912.5</v>
      </c>
      <c r="I157" s="158">
        <f>IF(Trabajos!M157="","",Trabajos!M157)</f>
        <v>260</v>
      </c>
      <c r="J157" s="84">
        <f>IF(Trabajos!N157="","",Trabajos!N157)</f>
        <v>633.85</v>
      </c>
      <c r="K157" s="84">
        <f>IF(Trabajos!O157="","",Trabajos!O157)</f>
        <v>164801</v>
      </c>
      <c r="L157" s="84">
        <f>IF(Trabajos!P157="","",Trabajos!P157)</f>
        <v>598713.5</v>
      </c>
    </row>
    <row r="158" spans="2:12" x14ac:dyDescent="0.25">
      <c r="B158" s="106">
        <f>IF(Trabajos!B158="","",Trabajos!B158)</f>
        <v>45959</v>
      </c>
      <c r="C158" s="70" t="str">
        <f>IF(Trabajos!F158="","",Trabajos!F158)</f>
        <v>Espartina S.A.</v>
      </c>
      <c r="D158" s="70" t="str">
        <f>IF(Trabajos!D158="","",Trabajos!D158)</f>
        <v>Aplicación de cebos</v>
      </c>
      <c r="E158" s="70" t="str">
        <f>IF(Trabajos!G158="","",Trabajos!G158)</f>
        <v>La Paulina</v>
      </c>
      <c r="F158" s="108">
        <f>IF(Trabajos!H158="","",Trabajos!H158)</f>
        <v>137</v>
      </c>
      <c r="G158" s="84">
        <f>IF(Trabajos!I158="","",Trabajos!I158)</f>
        <v>7250</v>
      </c>
      <c r="H158" s="84">
        <f>IF(Trabajos!J158="","",Trabajos!J158)</f>
        <v>993250</v>
      </c>
      <c r="I158" s="107">
        <f>IF(Trabajos!M158="","",Trabajos!M158)</f>
        <v>260</v>
      </c>
      <c r="J158" s="84">
        <f>IF(Trabajos!N158="","",Trabajos!N158)</f>
        <v>633.85</v>
      </c>
      <c r="K158" s="84">
        <f>IF(Trabajos!O158="","",Trabajos!O158)</f>
        <v>164801</v>
      </c>
      <c r="L158" s="84">
        <f>IF(Trabajos!P158="","",Trabajos!P158)</f>
        <v>1158051</v>
      </c>
    </row>
    <row r="159" spans="2:12" x14ac:dyDescent="0.25">
      <c r="B159" s="106">
        <f>IF(Trabajos!B159="","",Trabajos!B159)</f>
        <v>45960</v>
      </c>
      <c r="C159" s="70" t="str">
        <f>IF(Trabajos!F159="","",Trabajos!F159)</f>
        <v>Espartina S.A.</v>
      </c>
      <c r="D159" s="70" t="str">
        <f>IF(Trabajos!D159="","",Trabajos!D159)</f>
        <v>Aplicación de cebos</v>
      </c>
      <c r="E159" s="70" t="str">
        <f>IF(Trabajos!G159="","",Trabajos!G159)</f>
        <v>La Azucena</v>
      </c>
      <c r="F159" s="108">
        <f>IF(Trabajos!H159="","",Trabajos!H159)</f>
        <v>113</v>
      </c>
      <c r="G159" s="84">
        <f>IF(Trabajos!I159="","",Trabajos!I159)</f>
        <v>7250</v>
      </c>
      <c r="H159" s="84">
        <f>IF(Trabajos!J159="","",Trabajos!J159)</f>
        <v>819250</v>
      </c>
      <c r="I159" s="107">
        <f>IF(Trabajos!M159="","",Trabajos!M159)</f>
        <v>274</v>
      </c>
      <c r="J159" s="84">
        <f>IF(Trabajos!N159="","",Trabajos!N159)</f>
        <v>633.85</v>
      </c>
      <c r="K159" s="84">
        <f>IF(Trabajos!O159="","",Trabajos!O159)</f>
        <v>173674.9</v>
      </c>
      <c r="L159" s="84">
        <f>IF(Trabajos!P159="","",Trabajos!P159)</f>
        <v>992924.9</v>
      </c>
    </row>
    <row r="160" spans="2:12" x14ac:dyDescent="0.25">
      <c r="B160" s="106">
        <f>IF(Trabajos!B160="","",Trabajos!B160)</f>
        <v>45960</v>
      </c>
      <c r="C160" s="70" t="str">
        <f>IF(Trabajos!F160="","",Trabajos!F160)</f>
        <v>Cía. de Tierras Sud Argentino S.A.</v>
      </c>
      <c r="D160" s="70" t="str">
        <f>IF(Trabajos!D160="","",Trabajos!D160)</f>
        <v>Aplicación de cebos</v>
      </c>
      <c r="E160" s="70" t="str">
        <f>IF(Trabajos!G160="","",Trabajos!G160)</f>
        <v>Santa Marta</v>
      </c>
      <c r="F160" s="108">
        <f>IF(Trabajos!H160="","",Trabajos!H160)</f>
        <v>72</v>
      </c>
      <c r="G160" s="84">
        <f>IF(Trabajos!I160="","",Trabajos!I160)</f>
        <v>7267.5</v>
      </c>
      <c r="H160" s="84">
        <f>IF(Trabajos!J160="","",Trabajos!J160)</f>
        <v>523260</v>
      </c>
      <c r="I160" s="107">
        <f>IF(Trabajos!M160="","",Trabajos!M160)</f>
        <v>50</v>
      </c>
      <c r="J160" s="84">
        <f>IF(Trabajos!N160="","",Trabajos!N160)</f>
        <v>650</v>
      </c>
      <c r="K160" s="84">
        <f>IF(Trabajos!O160="","",Trabajos!O160)</f>
        <v>32500</v>
      </c>
      <c r="L160" s="84">
        <f>IF(Trabajos!P160="","",Trabajos!P160)</f>
        <v>555760</v>
      </c>
    </row>
    <row r="161" spans="2:12" x14ac:dyDescent="0.25">
      <c r="B161" s="106">
        <f>IF(Trabajos!B161="","",Trabajos!B161)</f>
        <v>45960</v>
      </c>
      <c r="C161" s="70" t="str">
        <f>IF(Trabajos!F161="","",Trabajos!F161)</f>
        <v>Espartina S.A.</v>
      </c>
      <c r="D161" s="70" t="str">
        <f>IF(Trabajos!D161="","",Trabajos!D161)</f>
        <v>Aplicación de cebos</v>
      </c>
      <c r="E161" s="70" t="str">
        <f>IF(Trabajos!G161="","",Trabajos!G161)</f>
        <v>Los Tulipanes</v>
      </c>
      <c r="F161" s="108">
        <f>IF(Trabajos!H161="","",Trabajos!H161)</f>
        <v>91</v>
      </c>
      <c r="G161" s="84">
        <f>IF(Trabajos!I161="","",Trabajos!I161)</f>
        <v>7267.5</v>
      </c>
      <c r="H161" s="84">
        <f>IF(Trabajos!J161="","",Trabajos!J161)</f>
        <v>661342.5</v>
      </c>
      <c r="I161" s="107">
        <f>IF(Trabajos!M161="","",Trabajos!M161)</f>
        <v>184</v>
      </c>
      <c r="J161" s="84">
        <f>IF(Trabajos!N161="","",Trabajos!N161)</f>
        <v>633.85</v>
      </c>
      <c r="K161" s="84">
        <f>IF(Trabajos!O161="","",Trabajos!O161)</f>
        <v>116628.40000000001</v>
      </c>
      <c r="L161" s="84">
        <f>IF(Trabajos!P161="","",Trabajos!P161)</f>
        <v>777970.9</v>
      </c>
    </row>
    <row r="162" spans="2:12" x14ac:dyDescent="0.25">
      <c r="B162" s="106">
        <f>IF(Trabajos!B162="","",Trabajos!B162)</f>
        <v>45960</v>
      </c>
      <c r="C162" s="70" t="str">
        <f>IF(Trabajos!F162="","",Trabajos!F162)</f>
        <v>La Mylucha</v>
      </c>
      <c r="D162" s="70" t="str">
        <f>IF(Trabajos!D162="","",Trabajos!D162)</f>
        <v>Aplicación de cebos</v>
      </c>
      <c r="E162" s="70" t="str">
        <f>IF(Trabajos!G162="","",Trabajos!G162)</f>
        <v>La Mylucha</v>
      </c>
      <c r="F162" s="108">
        <f>IF(Trabajos!H162="","",Trabajos!H162)</f>
        <v>75</v>
      </c>
      <c r="G162" s="84">
        <f>IF(Trabajos!I162="","",Trabajos!I162)</f>
        <v>7257.5</v>
      </c>
      <c r="H162" s="84">
        <f>IF(Trabajos!J162="","",Trabajos!J162)</f>
        <v>544312.5</v>
      </c>
      <c r="I162" s="107">
        <f>IF(Trabajos!M162="","",Trabajos!M162)</f>
        <v>40</v>
      </c>
      <c r="J162" s="84">
        <f>IF(Trabajos!N162="","",Trabajos!N162)</f>
        <v>650</v>
      </c>
      <c r="K162" s="84">
        <f>IF(Trabajos!O162="","",Trabajos!O162)</f>
        <v>26000</v>
      </c>
      <c r="L162" s="84">
        <f>IF(Trabajos!P162="","",Trabajos!P162)</f>
        <v>570312.5</v>
      </c>
    </row>
    <row r="163" spans="2:12" x14ac:dyDescent="0.25">
      <c r="B163" s="106">
        <f>IF(Trabajos!B163="","",Trabajos!B163)</f>
        <v>45960</v>
      </c>
      <c r="C163" s="70" t="str">
        <f>IF(Trabajos!F163="","",Trabajos!F163)</f>
        <v>Cía. de Tierras Sud Argentino S.A.</v>
      </c>
      <c r="D163" s="70" t="str">
        <f>IF(Trabajos!D163="","",Trabajos!D163)</f>
        <v>Monitoreo de bb y bab</v>
      </c>
      <c r="E163" s="70" t="str">
        <f>IF(Trabajos!G163="","",Trabajos!G163)</f>
        <v>Santa Marta</v>
      </c>
      <c r="F163" s="108">
        <f>IF(Trabajos!H163="","",Trabajos!H163)</f>
        <v>168</v>
      </c>
      <c r="G163" s="84">
        <f>IF(Trabajos!I163="","",Trabajos!I163)</f>
        <v>3633.75</v>
      </c>
      <c r="H163" s="84">
        <f>IF(Trabajos!J163="","",Trabajos!J163)</f>
        <v>610470</v>
      </c>
      <c r="I163" s="107">
        <f>IF(Trabajos!M163="","",Trabajos!M163)</f>
        <v>50</v>
      </c>
      <c r="J163" s="84">
        <f>IF(Trabajos!N163="","",Trabajos!N163)</f>
        <v>650</v>
      </c>
      <c r="K163" s="84">
        <f>IF(Trabajos!O163="","",Trabajos!O163)</f>
        <v>32500</v>
      </c>
      <c r="L163" s="84">
        <f>IF(Trabajos!P163="","",Trabajos!P163)</f>
        <v>642970</v>
      </c>
    </row>
    <row r="164" spans="2:12" x14ac:dyDescent="0.25">
      <c r="B164" s="106">
        <f>IF(Trabajos!B164="","",Trabajos!B164)</f>
        <v>45960</v>
      </c>
      <c r="C164" s="70" t="str">
        <f>IF(Trabajos!F164="","",Trabajos!F164)</f>
        <v>Baltan Agropecuaria</v>
      </c>
      <c r="D164" s="70" t="str">
        <f>IF(Trabajos!D164="","",Trabajos!D164)</f>
        <v>Monitoreo de bb y bab</v>
      </c>
      <c r="E164" s="70" t="str">
        <f>IF(Trabajos!G164="","",Trabajos!G164)</f>
        <v>Tres Esquinas</v>
      </c>
      <c r="F164" s="108">
        <f>IF(Trabajos!H164="","",Trabajos!H164)</f>
        <v>39</v>
      </c>
      <c r="G164" s="84">
        <f>IF(Trabajos!I164="","",Trabajos!I164)</f>
        <v>3618.75</v>
      </c>
      <c r="H164" s="84">
        <f>IF(Trabajos!J164="","",Trabajos!J164)</f>
        <v>141131.25</v>
      </c>
      <c r="I164" s="107">
        <f>IF(Trabajos!M164="","",Trabajos!M164)</f>
        <v>36</v>
      </c>
      <c r="J164" s="84">
        <f>IF(Trabajos!N164="","",Trabajos!N164)</f>
        <v>650</v>
      </c>
      <c r="K164" s="84">
        <f>IF(Trabajos!O164="","",Trabajos!O164)</f>
        <v>23400</v>
      </c>
      <c r="L164" s="84">
        <f>IF(Trabajos!P164="","",Trabajos!P164)</f>
        <v>164531.25</v>
      </c>
    </row>
    <row r="165" spans="2:12" x14ac:dyDescent="0.25">
      <c r="B165" s="106">
        <f>IF(Trabajos!B165="","",Trabajos!B165)</f>
        <v>45960</v>
      </c>
      <c r="C165" s="70" t="str">
        <f>IF(Trabajos!F165="","",Trabajos!F165)</f>
        <v>Cofina Agro</v>
      </c>
      <c r="D165" s="70" t="str">
        <f>IF(Trabajos!D165="","",Trabajos!D165)</f>
        <v>Monitoreo de bb y bab</v>
      </c>
      <c r="E165" s="70" t="str">
        <f>IF(Trabajos!G165="","",Trabajos!G165)</f>
        <v>Tres Lagunas</v>
      </c>
      <c r="F165" s="108">
        <f>IF(Trabajos!H165="","",Trabajos!H165)</f>
        <v>89</v>
      </c>
      <c r="G165" s="84">
        <f>IF(Trabajos!I165="","",Trabajos!I165)</f>
        <v>3631.25</v>
      </c>
      <c r="H165" s="84">
        <f>IF(Trabajos!J165="","",Trabajos!J165)</f>
        <v>323181.25</v>
      </c>
      <c r="I165" s="107">
        <f>IF(Trabajos!M165="","",Trabajos!M165)</f>
        <v>110</v>
      </c>
      <c r="J165" s="84">
        <f>IF(Trabajos!N165="","",Trabajos!N165)</f>
        <v>650</v>
      </c>
      <c r="K165" s="84">
        <f>IF(Trabajos!O165="","",Trabajos!O165)</f>
        <v>71500</v>
      </c>
      <c r="L165" s="84">
        <f>IF(Trabajos!P165="","",Trabajos!P165)</f>
        <v>394681.25</v>
      </c>
    </row>
    <row r="166" spans="2:12" x14ac:dyDescent="0.25">
      <c r="B166" s="106">
        <f>IF(Trabajos!B166="","",Trabajos!B166)</f>
        <v>45960</v>
      </c>
      <c r="C166" s="70" t="str">
        <f>IF(Trabajos!F166="","",Trabajos!F166)</f>
        <v>Martin Juarez</v>
      </c>
      <c r="D166" s="70" t="str">
        <f>IF(Trabajos!D166="","",Trabajos!D166)</f>
        <v>Monitoreo de bb y bab</v>
      </c>
      <c r="E166" s="70" t="str">
        <f>IF(Trabajos!G166="","",Trabajos!G166)</f>
        <v>El Volcan</v>
      </c>
      <c r="F166" s="108">
        <f>IF(Trabajos!H166="","",Trabajos!H166)</f>
        <v>69</v>
      </c>
      <c r="G166" s="84">
        <f>IF(Trabajos!I166="","",Trabajos!I166)</f>
        <v>3633.75</v>
      </c>
      <c r="H166" s="84">
        <f>IF(Trabajos!J166="","",Trabajos!J166)</f>
        <v>250728.75</v>
      </c>
      <c r="I166" s="158">
        <f>IF(Trabajos!M166="","",Trabajos!M166)</f>
        <v>54</v>
      </c>
      <c r="J166" s="84">
        <f>IF(Trabajos!N166="","",Trabajos!N166)</f>
        <v>650</v>
      </c>
      <c r="K166" s="84">
        <f>IF(Trabajos!O166="","",Trabajos!O166)</f>
        <v>35100</v>
      </c>
      <c r="L166" s="84">
        <f>IF(Trabajos!P166="","",Trabajos!P166)</f>
        <v>285828.75</v>
      </c>
    </row>
    <row r="167" spans="2:12" x14ac:dyDescent="0.25">
      <c r="B167" s="106">
        <f>IF(Trabajos!B167="","",Trabajos!B167)</f>
        <v>45961</v>
      </c>
      <c r="C167" s="70" t="str">
        <f>IF(Trabajos!F167="","",Trabajos!F167)</f>
        <v>Espartina S.A.</v>
      </c>
      <c r="D167" s="70" t="str">
        <f>IF(Trabajos!D167="","",Trabajos!D167)</f>
        <v>Aplicación de cebos</v>
      </c>
      <c r="E167" s="70" t="str">
        <f>IF(Trabajos!G167="","",Trabajos!G167)</f>
        <v>La Azucena</v>
      </c>
      <c r="F167" s="108">
        <f>IF(Trabajos!H167="","",Trabajos!H167)</f>
        <v>96</v>
      </c>
      <c r="G167" s="84">
        <f>IF(Trabajos!I167="","",Trabajos!I167)</f>
        <v>7250</v>
      </c>
      <c r="H167" s="84">
        <f>IF(Trabajos!J167="","",Trabajos!J167)</f>
        <v>696000</v>
      </c>
      <c r="I167" s="107">
        <f>IF(Trabajos!M167="","",Trabajos!M167)</f>
        <v>274</v>
      </c>
      <c r="J167" s="84">
        <f>IF(Trabajos!N167="","",Trabajos!N167)</f>
        <v>633.85</v>
      </c>
      <c r="K167" s="84">
        <f>IF(Trabajos!O167="","",Trabajos!O167)</f>
        <v>173674.9</v>
      </c>
      <c r="L167" s="84">
        <f>IF(Trabajos!P167="","",Trabajos!P167)</f>
        <v>869674.9</v>
      </c>
    </row>
    <row r="168" spans="2:12" x14ac:dyDescent="0.25">
      <c r="B168" s="106">
        <f>IF(Trabajos!B168="","",Trabajos!B168)</f>
        <v>45961</v>
      </c>
      <c r="C168" s="70" t="str">
        <f>IF(Trabajos!F168="","",Trabajos!F168)</f>
        <v>Cía. de Tierras Sud Argentino S.A.</v>
      </c>
      <c r="D168" s="70" t="str">
        <f>IF(Trabajos!D168="","",Trabajos!D168)</f>
        <v>Aplicación de cebos</v>
      </c>
      <c r="E168" s="70" t="str">
        <f>IF(Trabajos!G168="","",Trabajos!G168)</f>
        <v>Santa Marta</v>
      </c>
      <c r="F168" s="108">
        <f>IF(Trabajos!H168="","",Trabajos!H168)</f>
        <v>180</v>
      </c>
      <c r="G168" s="84">
        <f>IF(Trabajos!I168="","",Trabajos!I168)</f>
        <v>7267.5</v>
      </c>
      <c r="H168" s="84">
        <f>IF(Trabajos!J168="","",Trabajos!J168)</f>
        <v>1308150</v>
      </c>
      <c r="I168" s="107">
        <f>IF(Trabajos!M168="","",Trabajos!M168)</f>
        <v>50</v>
      </c>
      <c r="J168" s="84">
        <f>IF(Trabajos!N168="","",Trabajos!N168)</f>
        <v>650</v>
      </c>
      <c r="K168" s="84">
        <f>IF(Trabajos!O168="","",Trabajos!O168)</f>
        <v>32500</v>
      </c>
      <c r="L168" s="84">
        <f>IF(Trabajos!P168="","",Trabajos!P168)</f>
        <v>1340650</v>
      </c>
    </row>
    <row r="169" spans="2:12" x14ac:dyDescent="0.25">
      <c r="B169" s="106">
        <f>IF(Trabajos!B169="","",Trabajos!B169)</f>
        <v>45961</v>
      </c>
      <c r="C169" s="70" t="str">
        <f>IF(Trabajos!F169="","",Trabajos!F169)</f>
        <v>La Mezquita-La Mostaza</v>
      </c>
      <c r="D169" s="70" t="str">
        <f>IF(Trabajos!D169="","",Trabajos!D169)</f>
        <v>Monitoreo de bb y bab</v>
      </c>
      <c r="E169" s="70" t="str">
        <f>IF(Trabajos!G169="","",Trabajos!G169)</f>
        <v>La Mezquita</v>
      </c>
      <c r="F169" s="108">
        <f>IF(Trabajos!H169="","",Trabajos!H169)</f>
        <v>175</v>
      </c>
      <c r="G169" s="84">
        <f>IF(Trabajos!I169="","",Trabajos!I169)</f>
        <v>3628.75</v>
      </c>
      <c r="H169" s="84">
        <f>IF(Trabajos!J169="","",Trabajos!J169)</f>
        <v>635031.25</v>
      </c>
      <c r="I169" s="107">
        <f>IF(Trabajos!M169="","",Trabajos!M169)</f>
        <v>110</v>
      </c>
      <c r="J169" s="84">
        <f>IF(Trabajos!N169="","",Trabajos!N169)</f>
        <v>650</v>
      </c>
      <c r="K169" s="84">
        <f>IF(Trabajos!O169="","",Trabajos!O169)</f>
        <v>71500</v>
      </c>
      <c r="L169" s="84">
        <f>IF(Trabajos!P169="","",Trabajos!P169)</f>
        <v>706531.25</v>
      </c>
    </row>
    <row r="170" spans="2:12" x14ac:dyDescent="0.25">
      <c r="B170" s="106">
        <f>IF(Trabajos!B170="","",Trabajos!B170)</f>
        <v>45961</v>
      </c>
      <c r="C170" s="70" t="str">
        <f>IF(Trabajos!F170="","",Trabajos!F170)</f>
        <v>Cía. de Tierras Sud Argentino S.A.</v>
      </c>
      <c r="D170" s="70" t="str">
        <f>IF(Trabajos!D170="","",Trabajos!D170)</f>
        <v>Monitoreo de bb y bab</v>
      </c>
      <c r="E170" s="70" t="str">
        <f>IF(Trabajos!G170="","",Trabajos!G170)</f>
        <v>Santa Marta</v>
      </c>
      <c r="F170" s="108">
        <f>IF(Trabajos!H170="","",Trabajos!H170)</f>
        <v>160</v>
      </c>
      <c r="G170" s="84">
        <f>IF(Trabajos!I170="","",Trabajos!I170)</f>
        <v>3633.75</v>
      </c>
      <c r="H170" s="84">
        <f>IF(Trabajos!J170="","",Trabajos!J170)</f>
        <v>581400</v>
      </c>
      <c r="I170" s="158">
        <f>IF(Trabajos!M170="","",Trabajos!M170)</f>
        <v>50</v>
      </c>
      <c r="J170" s="84">
        <f>IF(Trabajos!N170="","",Trabajos!N170)</f>
        <v>650</v>
      </c>
      <c r="K170" s="84">
        <f>IF(Trabajos!O170="","",Trabajos!O170)</f>
        <v>32500</v>
      </c>
      <c r="L170" s="84">
        <f>IF(Trabajos!P170="","",Trabajos!P170)</f>
        <v>613900</v>
      </c>
    </row>
    <row r="171" spans="2:12" x14ac:dyDescent="0.25">
      <c r="B171" s="106">
        <f>IF(Trabajos!B171="","",Trabajos!B171)</f>
        <v>45962</v>
      </c>
      <c r="C171" s="70" t="str">
        <f>IF(Trabajos!F171="","",Trabajos!F171)</f>
        <v>Espartina S.A.</v>
      </c>
      <c r="D171" s="70" t="str">
        <f>IF(Trabajos!D171="","",Trabajos!D171)</f>
        <v>Aplicación de cebos</v>
      </c>
      <c r="E171" s="70" t="str">
        <f>IF(Trabajos!G171="","",Trabajos!G171)</f>
        <v>Cerro Destino</v>
      </c>
      <c r="F171" s="108">
        <f>IF(Trabajos!H171="","",Trabajos!H171)</f>
        <v>75</v>
      </c>
      <c r="G171" s="84">
        <f>IF(Trabajos!I171="","",Trabajos!I171)</f>
        <v>7250</v>
      </c>
      <c r="H171" s="84">
        <f>IF(Trabajos!J171="","",Trabajos!J171)</f>
        <v>543750</v>
      </c>
      <c r="I171" s="158">
        <f>IF(Trabajos!M171="","",Trabajos!M171)</f>
        <v>112</v>
      </c>
      <c r="J171" s="84">
        <f>IF(Trabajos!N171="","",Trabajos!N171)</f>
        <v>633.85</v>
      </c>
      <c r="K171" s="84">
        <f>IF(Trabajos!O171="","",Trabajos!O171)</f>
        <v>70991.199999999997</v>
      </c>
      <c r="L171" s="84">
        <f>IF(Trabajos!P171="","",Trabajos!P171)</f>
        <v>614741.19999999995</v>
      </c>
    </row>
    <row r="172" spans="2:12" x14ac:dyDescent="0.25">
      <c r="B172" s="106">
        <f>IF(Trabajos!B172="","",Trabajos!B172)</f>
        <v>45962</v>
      </c>
      <c r="C172" s="70" t="str">
        <f>IF(Trabajos!F172="","",Trabajos!F172)</f>
        <v>Espartina S.A.</v>
      </c>
      <c r="D172" s="70" t="str">
        <f>IF(Trabajos!D172="","",Trabajos!D172)</f>
        <v>Aplicación de cebos</v>
      </c>
      <c r="E172" s="70" t="str">
        <f>IF(Trabajos!G172="","",Trabajos!G172)</f>
        <v>Los Charitos</v>
      </c>
      <c r="F172" s="108">
        <f>IF(Trabajos!H172="","",Trabajos!H172)</f>
        <v>30</v>
      </c>
      <c r="G172" s="84">
        <f>IF(Trabajos!I172="","",Trabajos!I172)</f>
        <v>7250</v>
      </c>
      <c r="H172" s="84">
        <f>IF(Trabajos!J172="","",Trabajos!J172)</f>
        <v>217500</v>
      </c>
      <c r="I172" s="107">
        <f>IF(Trabajos!M172="","",Trabajos!M172)</f>
        <v>112</v>
      </c>
      <c r="J172" s="84">
        <f>IF(Trabajos!N172="","",Trabajos!N172)</f>
        <v>633.85</v>
      </c>
      <c r="K172" s="84">
        <f>IF(Trabajos!O172="","",Trabajos!O172)</f>
        <v>70991.199999999997</v>
      </c>
      <c r="L172" s="84">
        <f>IF(Trabajos!P172="","",Trabajos!P172)</f>
        <v>288491.2</v>
      </c>
    </row>
    <row r="173" spans="2:12" x14ac:dyDescent="0.25">
      <c r="B173" s="106">
        <f>IF(Trabajos!B173="","",Trabajos!B173)</f>
        <v>45962</v>
      </c>
      <c r="C173" s="70" t="str">
        <f>IF(Trabajos!F173="","",Trabajos!F173)</f>
        <v>Espartina S.A.</v>
      </c>
      <c r="D173" s="70" t="str">
        <f>IF(Trabajos!D173="","",Trabajos!D173)</f>
        <v>Aplicación de cebos</v>
      </c>
      <c r="E173" s="70" t="str">
        <f>IF(Trabajos!G173="","",Trabajos!G173)</f>
        <v>Dos Hermanas</v>
      </c>
      <c r="F173" s="108">
        <f>IF(Trabajos!H173="","",Trabajos!H173)</f>
        <v>120</v>
      </c>
      <c r="G173" s="84">
        <f>IF(Trabajos!I173="","",Trabajos!I173)</f>
        <v>7250</v>
      </c>
      <c r="H173" s="84">
        <f>IF(Trabajos!J173="","",Trabajos!J173)</f>
        <v>870000</v>
      </c>
      <c r="I173" s="107">
        <f>IF(Trabajos!M173="","",Trabajos!M173)</f>
        <v>112</v>
      </c>
      <c r="J173" s="84">
        <f>IF(Trabajos!N173="","",Trabajos!N173)</f>
        <v>633.85</v>
      </c>
      <c r="K173" s="84">
        <f>IF(Trabajos!O173="","",Trabajos!O173)</f>
        <v>70991.199999999997</v>
      </c>
      <c r="L173" s="84">
        <f>IF(Trabajos!P173="","",Trabajos!P173)</f>
        <v>940991.2</v>
      </c>
    </row>
    <row r="174" spans="2:12" x14ac:dyDescent="0.25">
      <c r="B174" s="106">
        <f>IF(Trabajos!B174="","",Trabajos!B174)</f>
        <v>45962</v>
      </c>
      <c r="C174" s="70" t="str">
        <f>IF(Trabajos!F174="","",Trabajos!F174)</f>
        <v>Ignacio Loscalzo</v>
      </c>
      <c r="D174" s="70" t="str">
        <f>IF(Trabajos!D174="","",Trabajos!D174)</f>
        <v>Aplicación de cebos</v>
      </c>
      <c r="E174" s="70" t="str">
        <f>IF(Trabajos!G174="","",Trabajos!G174)</f>
        <v>Los Pinos</v>
      </c>
      <c r="F174" s="108">
        <f>IF(Trabajos!H174="","",Trabajos!H174)</f>
        <v>71</v>
      </c>
      <c r="G174" s="84">
        <f>IF(Trabajos!I174="","",Trabajos!I174)</f>
        <v>6935</v>
      </c>
      <c r="H174" s="84">
        <f>IF(Trabajos!J174="","",Trabajos!J174)</f>
        <v>492385</v>
      </c>
      <c r="I174" s="158">
        <f>IF(Trabajos!M174="","",Trabajos!M174)</f>
        <v>26</v>
      </c>
      <c r="J174" s="84">
        <f>IF(Trabajos!N174="","",Trabajos!N174)</f>
        <v>650</v>
      </c>
      <c r="K174" s="84">
        <f>IF(Trabajos!O174="","",Trabajos!O174)</f>
        <v>16900</v>
      </c>
      <c r="L174" s="84">
        <f>IF(Trabajos!P174="","",Trabajos!P174)</f>
        <v>509285</v>
      </c>
    </row>
    <row r="175" spans="2:12" x14ac:dyDescent="0.25">
      <c r="B175" s="106">
        <f>IF(Trabajos!B175="","",Trabajos!B175)</f>
        <v>45962</v>
      </c>
      <c r="C175" s="70" t="str">
        <f>IF(Trabajos!F175="","",Trabajos!F175)</f>
        <v>Espartina S.A.</v>
      </c>
      <c r="D175" s="70" t="str">
        <f>IF(Trabajos!D175="","",Trabajos!D175)</f>
        <v>Aplicación de cebos</v>
      </c>
      <c r="E175" s="70" t="str">
        <f>IF(Trabajos!G175="","",Trabajos!G175)</f>
        <v>Santa Maria del Moro</v>
      </c>
      <c r="F175" s="108">
        <f>IF(Trabajos!H175="","",Trabajos!H175)</f>
        <v>20</v>
      </c>
      <c r="G175" s="84">
        <f>IF(Trabajos!I175="","",Trabajos!I175)</f>
        <v>7267.5</v>
      </c>
      <c r="H175" s="84">
        <f>IF(Trabajos!J175="","",Trabajos!J175)</f>
        <v>145350</v>
      </c>
      <c r="I175" s="158">
        <f>IF(Trabajos!M175="","",Trabajos!M175)</f>
        <v>164</v>
      </c>
      <c r="J175" s="84">
        <f>IF(Trabajos!N175="","",Trabajos!N175)</f>
        <v>633.85</v>
      </c>
      <c r="K175" s="84">
        <f>IF(Trabajos!O175="","",Trabajos!O175)</f>
        <v>103951.40000000001</v>
      </c>
      <c r="L175" s="84">
        <f>IF(Trabajos!P175="","",Trabajos!P175)</f>
        <v>249301.40000000002</v>
      </c>
    </row>
    <row r="176" spans="2:12" x14ac:dyDescent="0.25">
      <c r="B176" s="106">
        <f>IF(Trabajos!B176="","",Trabajos!B176)</f>
        <v>45962</v>
      </c>
      <c r="C176" s="70" t="str">
        <f>IF(Trabajos!F176="","",Trabajos!F176)</f>
        <v>Espartina S.A.</v>
      </c>
      <c r="D176" s="70" t="str">
        <f>IF(Trabajos!D176="","",Trabajos!D176)</f>
        <v>Monitoreo de bb y bab</v>
      </c>
      <c r="E176" s="70" t="str">
        <f>IF(Trabajos!G176="","",Trabajos!G176)</f>
        <v>Loma Blanca</v>
      </c>
      <c r="F176" s="108">
        <f>IF(Trabajos!H176="","",Trabajos!H176)</f>
        <v>250</v>
      </c>
      <c r="G176" s="84">
        <f>IF(Trabajos!I176="","",Trabajos!I176)</f>
        <v>3262.5</v>
      </c>
      <c r="H176" s="84">
        <f>IF(Trabajos!J176="","",Trabajos!J176)</f>
        <v>815625</v>
      </c>
      <c r="I176" s="158">
        <f>IF(Trabajos!M176="","",Trabajos!M176)</f>
        <v>328</v>
      </c>
      <c r="J176" s="84">
        <f>IF(Trabajos!N176="","",Trabajos!N176)</f>
        <v>633.85</v>
      </c>
      <c r="K176" s="84">
        <f>IF(Trabajos!O176="","",Trabajos!O176)</f>
        <v>207902.80000000002</v>
      </c>
      <c r="L176" s="84">
        <f>IF(Trabajos!P176="","",Trabajos!P176)</f>
        <v>1023527.8</v>
      </c>
    </row>
    <row r="177" spans="2:12" x14ac:dyDescent="0.25">
      <c r="B177" s="106">
        <f>IF(Trabajos!B177="","",Trabajos!B177)</f>
        <v>45963</v>
      </c>
      <c r="C177" s="70" t="str">
        <f>IF(Trabajos!F177="","",Trabajos!F177)</f>
        <v>Espartina S.A.</v>
      </c>
      <c r="D177" s="70" t="str">
        <f>IF(Trabajos!D177="","",Trabajos!D177)</f>
        <v>Aplicación de cebos</v>
      </c>
      <c r="E177" s="70" t="str">
        <f>IF(Trabajos!G177="","",Trabajos!G177)</f>
        <v>Dos Hermanas</v>
      </c>
      <c r="F177" s="108">
        <f>IF(Trabajos!H177="","",Trabajos!H177)</f>
        <v>238</v>
      </c>
      <c r="G177" s="84">
        <f>IF(Trabajos!I177="","",Trabajos!I177)</f>
        <v>7250</v>
      </c>
      <c r="H177" s="84">
        <f>IF(Trabajos!J177="","",Trabajos!J177)</f>
        <v>1725500</v>
      </c>
      <c r="I177" s="107">
        <f>IF(Trabajos!M177="","",Trabajos!M177)</f>
        <v>240</v>
      </c>
      <c r="J177" s="84">
        <f>IF(Trabajos!N177="","",Trabajos!N177)</f>
        <v>633.85</v>
      </c>
      <c r="K177" s="84">
        <f>IF(Trabajos!O177="","",Trabajos!O177)</f>
        <v>152124</v>
      </c>
      <c r="L177" s="84">
        <f>IF(Trabajos!P177="","",Trabajos!P177)</f>
        <v>1877624</v>
      </c>
    </row>
    <row r="178" spans="2:12" x14ac:dyDescent="0.25">
      <c r="B178" s="106">
        <f>IF(Trabajos!B178="","",Trabajos!B178)</f>
        <v>45963</v>
      </c>
      <c r="C178" s="70" t="str">
        <f>IF(Trabajos!F178="","",Trabajos!F178)</f>
        <v>Baltan Agropecuaria</v>
      </c>
      <c r="D178" s="70" t="str">
        <f>IF(Trabajos!D178="","",Trabajos!D178)</f>
        <v>Aplicación de cebos</v>
      </c>
      <c r="E178" s="70" t="str">
        <f>IF(Trabajos!G178="","",Trabajos!G178)</f>
        <v>Tres Esquinas</v>
      </c>
      <c r="F178" s="108">
        <f>IF(Trabajos!H178="","",Trabajos!H178)</f>
        <v>39</v>
      </c>
      <c r="G178" s="84">
        <f>IF(Trabajos!I178="","",Trabajos!I178)</f>
        <v>7237.5</v>
      </c>
      <c r="H178" s="84">
        <f>IF(Trabajos!J178="","",Trabajos!J178)</f>
        <v>282262.5</v>
      </c>
      <c r="I178" s="107">
        <f>IF(Trabajos!M178="","",Trabajos!M178)</f>
        <v>36</v>
      </c>
      <c r="J178" s="84">
        <f>IF(Trabajos!N178="","",Trabajos!N178)</f>
        <v>650</v>
      </c>
      <c r="K178" s="84">
        <f>IF(Trabajos!O178="","",Trabajos!O178)</f>
        <v>23400</v>
      </c>
      <c r="L178" s="84">
        <f>IF(Trabajos!P178="","",Trabajos!P178)</f>
        <v>305662.5</v>
      </c>
    </row>
    <row r="179" spans="2:12" x14ac:dyDescent="0.25">
      <c r="B179" s="106">
        <f>IF(Trabajos!B179="","",Trabajos!B179)</f>
        <v>45963</v>
      </c>
      <c r="C179" s="70" t="str">
        <f>IF(Trabajos!F179="","",Trabajos!F179)</f>
        <v>Cía. de Tierras Sud Argentino S.A.</v>
      </c>
      <c r="D179" s="70" t="str">
        <f>IF(Trabajos!D179="","",Trabajos!D179)</f>
        <v>Aplicación de cebos</v>
      </c>
      <c r="E179" s="70" t="str">
        <f>IF(Trabajos!G179="","",Trabajos!G179)</f>
        <v>Santa Marta</v>
      </c>
      <c r="F179" s="108">
        <f>IF(Trabajos!H179="","",Trabajos!H179)</f>
        <v>81</v>
      </c>
      <c r="G179" s="84">
        <f>IF(Trabajos!I179="","",Trabajos!I179)</f>
        <v>7267.5</v>
      </c>
      <c r="H179" s="84">
        <f>IF(Trabajos!J179="","",Trabajos!J179)</f>
        <v>588667.5</v>
      </c>
      <c r="I179" s="107">
        <f>IF(Trabajos!M179="","",Trabajos!M179)</f>
        <v>50</v>
      </c>
      <c r="J179" s="84">
        <f>IF(Trabajos!N179="","",Trabajos!N179)</f>
        <v>650</v>
      </c>
      <c r="K179" s="84">
        <f>IF(Trabajos!O179="","",Trabajos!O179)</f>
        <v>32500</v>
      </c>
      <c r="L179" s="84">
        <f>IF(Trabajos!P179="","",Trabajos!P179)</f>
        <v>621167.5</v>
      </c>
    </row>
    <row r="180" spans="2:12" x14ac:dyDescent="0.25">
      <c r="B180" s="106">
        <f>IF(Trabajos!B180="","",Trabajos!B180)</f>
        <v>45963</v>
      </c>
      <c r="C180" s="70" t="str">
        <f>IF(Trabajos!F180="","",Trabajos!F180)</f>
        <v>Espartina S.A.</v>
      </c>
      <c r="D180" s="70" t="str">
        <f>IF(Trabajos!D180="","",Trabajos!D180)</f>
        <v>Aplicación de cebos</v>
      </c>
      <c r="E180" s="70" t="str">
        <f>IF(Trabajos!G180="","",Trabajos!G180)</f>
        <v>El Montiel</v>
      </c>
      <c r="F180" s="108">
        <f>IF(Trabajos!H180="","",Trabajos!H180)</f>
        <v>100</v>
      </c>
      <c r="G180" s="84">
        <f>IF(Trabajos!I180="","",Trabajos!I180)</f>
        <v>7250</v>
      </c>
      <c r="H180" s="84">
        <f>IF(Trabajos!J180="","",Trabajos!J180)</f>
        <v>725000</v>
      </c>
      <c r="I180" s="107">
        <f>IF(Trabajos!M180="","",Trabajos!M180)</f>
        <v>240</v>
      </c>
      <c r="J180" s="84">
        <f>IF(Trabajos!N180="","",Trabajos!N180)</f>
        <v>633.85</v>
      </c>
      <c r="K180" s="84">
        <f>IF(Trabajos!O180="","",Trabajos!O180)</f>
        <v>152124</v>
      </c>
      <c r="L180" s="84">
        <f>IF(Trabajos!P180="","",Trabajos!P180)</f>
        <v>877124</v>
      </c>
    </row>
    <row r="181" spans="2:12" x14ac:dyDescent="0.25">
      <c r="B181" s="106">
        <f>IF(Trabajos!B181="","",Trabajos!B181)</f>
        <v>45964</v>
      </c>
      <c r="C181" s="70" t="str">
        <f>IF(Trabajos!F181="","",Trabajos!F181)</f>
        <v>Espartina S.A.</v>
      </c>
      <c r="D181" s="70" t="str">
        <f>IF(Trabajos!D181="","",Trabajos!D181)</f>
        <v>Aplicación de cebos</v>
      </c>
      <c r="E181" s="70" t="str">
        <f>IF(Trabajos!G181="","",Trabajos!G181)</f>
        <v>Santa Isabel Cozumel</v>
      </c>
      <c r="F181" s="108">
        <f>IF(Trabajos!H181="","",Trabajos!H181)</f>
        <v>107</v>
      </c>
      <c r="G181" s="84">
        <f>IF(Trabajos!I181="","",Trabajos!I181)</f>
        <v>7250</v>
      </c>
      <c r="H181" s="84">
        <f>IF(Trabajos!J181="","",Trabajos!J181)</f>
        <v>775750</v>
      </c>
      <c r="I181" s="107">
        <f>IF(Trabajos!M181="","",Trabajos!M181)</f>
        <v>186</v>
      </c>
      <c r="J181" s="84">
        <f>IF(Trabajos!N181="","",Trabajos!N181)</f>
        <v>633.85</v>
      </c>
      <c r="K181" s="84">
        <f>IF(Trabajos!O181="","",Trabajos!O181)</f>
        <v>117896.1</v>
      </c>
      <c r="L181" s="84">
        <f>IF(Trabajos!P181="","",Trabajos!P181)</f>
        <v>893646.1</v>
      </c>
    </row>
    <row r="182" spans="2:12" x14ac:dyDescent="0.25">
      <c r="B182" s="106">
        <f>IF(Trabajos!B182="","",Trabajos!B182)</f>
        <v>45964</v>
      </c>
      <c r="C182" s="70" t="str">
        <f>IF(Trabajos!F182="","",Trabajos!F182)</f>
        <v>Cía. de Tierras Sud Argentino S.A.</v>
      </c>
      <c r="D182" s="70" t="str">
        <f>IF(Trabajos!D182="","",Trabajos!D182)</f>
        <v>Monitoreo de bb y bab</v>
      </c>
      <c r="E182" s="70" t="str">
        <f>IF(Trabajos!G182="","",Trabajos!G182)</f>
        <v>Santa Marta</v>
      </c>
      <c r="F182" s="108">
        <f>IF(Trabajos!H182="","",Trabajos!H182)</f>
        <v>307</v>
      </c>
      <c r="G182" s="84">
        <f>IF(Trabajos!I182="","",Trabajos!I182)</f>
        <v>3633.75</v>
      </c>
      <c r="H182" s="84">
        <f>IF(Trabajos!J182="","",Trabajos!J182)</f>
        <v>1115561.25</v>
      </c>
      <c r="I182" s="107">
        <f>IF(Trabajos!M182="","",Trabajos!M182)</f>
        <v>50</v>
      </c>
      <c r="J182" s="84">
        <f>IF(Trabajos!N182="","",Trabajos!N182)</f>
        <v>650</v>
      </c>
      <c r="K182" s="84">
        <f>IF(Trabajos!O182="","",Trabajos!O182)</f>
        <v>32500</v>
      </c>
      <c r="L182" s="84">
        <f>IF(Trabajos!P182="","",Trabajos!P182)</f>
        <v>1148061.25</v>
      </c>
    </row>
    <row r="183" spans="2:12" x14ac:dyDescent="0.25">
      <c r="B183" s="106">
        <f>IF(Trabajos!B183="","",Trabajos!B183)</f>
        <v>45964</v>
      </c>
      <c r="C183" s="70" t="str">
        <f>IF(Trabajos!F183="","",Trabajos!F183)</f>
        <v>Espartina S.A.</v>
      </c>
      <c r="D183" s="70" t="str">
        <f>IF(Trabajos!D183="","",Trabajos!D183)</f>
        <v>Monitoreo de bb y bab</v>
      </c>
      <c r="E183" s="70" t="str">
        <f>IF(Trabajos!G183="","",Trabajos!G183)</f>
        <v>La Barrancosa</v>
      </c>
      <c r="F183" s="108">
        <f>IF(Trabajos!H183="","",Trabajos!H183)</f>
        <v>287</v>
      </c>
      <c r="G183" s="84">
        <f>IF(Trabajos!I183="","",Trabajos!I183)</f>
        <v>3262.5</v>
      </c>
      <c r="H183" s="84">
        <f>IF(Trabajos!J183="","",Trabajos!J183)</f>
        <v>936337.5</v>
      </c>
      <c r="I183" s="107">
        <f>IF(Trabajos!M183="","",Trabajos!M183)</f>
        <v>270</v>
      </c>
      <c r="J183" s="84">
        <f>IF(Trabajos!N183="","",Trabajos!N183)</f>
        <v>633.85</v>
      </c>
      <c r="K183" s="84">
        <f>IF(Trabajos!O183="","",Trabajos!O183)</f>
        <v>171139.5</v>
      </c>
      <c r="L183" s="84">
        <f>IF(Trabajos!P183="","",Trabajos!P183)</f>
        <v>1107477</v>
      </c>
    </row>
    <row r="184" spans="2:12" x14ac:dyDescent="0.25">
      <c r="B184" s="106">
        <f>IF(Trabajos!B184="","",Trabajos!B184)</f>
        <v>45966</v>
      </c>
      <c r="C184" s="70" t="str">
        <f>IF(Trabajos!F184="","",Trabajos!F184)</f>
        <v>Espartina S.A.</v>
      </c>
      <c r="D184" s="70" t="str">
        <f>IF(Trabajos!D184="","",Trabajos!D184)</f>
        <v>Aplicación de cebos</v>
      </c>
      <c r="E184" s="70" t="str">
        <f>IF(Trabajos!G184="","",Trabajos!G184)</f>
        <v>Las Bagualas</v>
      </c>
      <c r="F184" s="108">
        <f>IF(Trabajos!H184="","",Trabajos!H184)</f>
        <v>118</v>
      </c>
      <c r="G184" s="84">
        <f>IF(Trabajos!I184="","",Trabajos!I184)</f>
        <v>7267.5</v>
      </c>
      <c r="H184" s="84">
        <f>IF(Trabajos!J184="","",Trabajos!J184)</f>
        <v>857565</v>
      </c>
      <c r="I184" s="107">
        <f>IF(Trabajos!M184="","",Trabajos!M184)</f>
        <v>176</v>
      </c>
      <c r="J184" s="84">
        <f>IF(Trabajos!N184="","",Trabajos!N184)</f>
        <v>633.85</v>
      </c>
      <c r="K184" s="84">
        <f>IF(Trabajos!O184="","",Trabajos!O184)</f>
        <v>111557.6</v>
      </c>
      <c r="L184" s="84">
        <f>IF(Trabajos!P184="","",Trabajos!P184)</f>
        <v>969122.6</v>
      </c>
    </row>
    <row r="185" spans="2:12" x14ac:dyDescent="0.25">
      <c r="B185" s="106">
        <f>IF(Trabajos!B185="","",Trabajos!B185)</f>
        <v>45966</v>
      </c>
      <c r="C185" s="70" t="str">
        <f>IF(Trabajos!F185="","",Trabajos!F185)</f>
        <v>Cía. de Tierras Sud Argentino S.A.</v>
      </c>
      <c r="D185" s="70" t="str">
        <f>IF(Trabajos!D185="","",Trabajos!D185)</f>
        <v>Monitoreo de bb y bab</v>
      </c>
      <c r="E185" s="70" t="str">
        <f>IF(Trabajos!G185="","",Trabajos!G185)</f>
        <v>Santa Marta</v>
      </c>
      <c r="F185" s="108">
        <f>IF(Trabajos!H185="","",Trabajos!H185)</f>
        <v>335</v>
      </c>
      <c r="G185" s="84">
        <f>IF(Trabajos!I185="","",Trabajos!I185)</f>
        <v>3633.75</v>
      </c>
      <c r="H185" s="84">
        <f>IF(Trabajos!J185="","",Trabajos!J185)</f>
        <v>1217306.25</v>
      </c>
      <c r="I185" s="107">
        <f>IF(Trabajos!M185="","",Trabajos!M185)</f>
        <v>50</v>
      </c>
      <c r="J185" s="84">
        <f>IF(Trabajos!N185="","",Trabajos!N185)</f>
        <v>650</v>
      </c>
      <c r="K185" s="84">
        <f>IF(Trabajos!O185="","",Trabajos!O185)</f>
        <v>32500</v>
      </c>
      <c r="L185" s="84">
        <f>IF(Trabajos!P185="","",Trabajos!P185)</f>
        <v>1249806.25</v>
      </c>
    </row>
    <row r="186" spans="2:12" x14ac:dyDescent="0.25">
      <c r="B186" s="106">
        <f>IF(Trabajos!B186="","",Trabajos!B186)</f>
        <v>45966</v>
      </c>
      <c r="C186" s="70" t="str">
        <f>IF(Trabajos!F186="","",Trabajos!F186)</f>
        <v>Espartina S.A.</v>
      </c>
      <c r="D186" s="70" t="str">
        <f>IF(Trabajos!D186="","",Trabajos!D186)</f>
        <v>Monitoreo de bb y bab</v>
      </c>
      <c r="E186" s="70" t="str">
        <f>IF(Trabajos!G186="","",Trabajos!G186)</f>
        <v>La Magdalena</v>
      </c>
      <c r="F186" s="108">
        <f>IF(Trabajos!H186="","",Trabajos!H186)</f>
        <v>268</v>
      </c>
      <c r="G186" s="84">
        <f>IF(Trabajos!I186="","",Trabajos!I186)</f>
        <v>3270.37</v>
      </c>
      <c r="H186" s="84">
        <f>IF(Trabajos!J186="","",Trabajos!J186)</f>
        <v>876459.15999999992</v>
      </c>
      <c r="I186" s="107">
        <f>IF(Trabajos!M186="","",Trabajos!M186)</f>
        <v>117</v>
      </c>
      <c r="J186" s="84">
        <f>IF(Trabajos!N186="","",Trabajos!N186)</f>
        <v>633.85</v>
      </c>
      <c r="K186" s="84">
        <f>IF(Trabajos!O186="","",Trabajos!O186)</f>
        <v>74160.45</v>
      </c>
      <c r="L186" s="84">
        <f>IF(Trabajos!P186="","",Trabajos!P186)</f>
        <v>950619.60999999987</v>
      </c>
    </row>
    <row r="187" spans="2:12" x14ac:dyDescent="0.25">
      <c r="B187" s="106">
        <f>IF(Trabajos!B187="","",Trabajos!B187)</f>
        <v>45966</v>
      </c>
      <c r="C187" s="70" t="str">
        <f>IF(Trabajos!F187="","",Trabajos!F187)</f>
        <v>Carlos Fernando Fuertes</v>
      </c>
      <c r="D187" s="70" t="str">
        <f>IF(Trabajos!D187="","",Trabajos!D187)</f>
        <v>Monitoreo de bb y bab</v>
      </c>
      <c r="E187" s="70" t="str">
        <f>IF(Trabajos!G187="","",Trabajos!G187)</f>
        <v>La Tolderia</v>
      </c>
      <c r="F187" s="108">
        <f>IF(Trabajos!H187="","",Trabajos!H187)</f>
        <v>187</v>
      </c>
      <c r="G187" s="84">
        <f>IF(Trabajos!I187="","",Trabajos!I187)</f>
        <v>3660</v>
      </c>
      <c r="H187" s="84">
        <f>IF(Trabajos!J187="","",Trabajos!J187)</f>
        <v>684420</v>
      </c>
      <c r="I187" s="107">
        <f>IF(Trabajos!M187="","",Trabajos!M187)</f>
        <v>120</v>
      </c>
      <c r="J187" s="84">
        <f>IF(Trabajos!N187="","",Trabajos!N187)</f>
        <v>650</v>
      </c>
      <c r="K187" s="84">
        <f>IF(Trabajos!O187="","",Trabajos!O187)</f>
        <v>78000</v>
      </c>
      <c r="L187" s="84">
        <f>IF(Trabajos!P187="","",Trabajos!P187)</f>
        <v>762420</v>
      </c>
    </row>
    <row r="188" spans="2:12" x14ac:dyDescent="0.25">
      <c r="B188" s="106">
        <f>IF(Trabajos!B188="","",Trabajos!B188)</f>
        <v>45967</v>
      </c>
      <c r="C188" s="70" t="str">
        <f>IF(Trabajos!F188="","",Trabajos!F188)</f>
        <v>Espartina S.A.</v>
      </c>
      <c r="D188" s="70" t="str">
        <f>IF(Trabajos!D188="","",Trabajos!D188)</f>
        <v>Aplicación de cebos</v>
      </c>
      <c r="E188" s="70" t="str">
        <f>IF(Trabajos!G188="","",Trabajos!G188)</f>
        <v>La Azucena</v>
      </c>
      <c r="F188" s="108">
        <f>IF(Trabajos!H188="","",Trabajos!H188)</f>
        <v>68</v>
      </c>
      <c r="G188" s="84">
        <f>IF(Trabajos!I188="","",Trabajos!I188)</f>
        <v>7250</v>
      </c>
      <c r="H188" s="84">
        <f>IF(Trabajos!J188="","",Trabajos!J188)</f>
        <v>493000</v>
      </c>
      <c r="I188" s="107">
        <f>IF(Trabajos!M188="","",Trabajos!M188)</f>
        <v>137</v>
      </c>
      <c r="J188" s="84">
        <f>IF(Trabajos!N188="","",Trabajos!N188)</f>
        <v>633.85</v>
      </c>
      <c r="K188" s="84">
        <f>IF(Trabajos!O188="","",Trabajos!O188)</f>
        <v>86837.45</v>
      </c>
      <c r="L188" s="84">
        <f>IF(Trabajos!P188="","",Trabajos!P188)</f>
        <v>579837.44999999995</v>
      </c>
    </row>
    <row r="189" spans="2:12" x14ac:dyDescent="0.25">
      <c r="B189" s="106">
        <f>IF(Trabajos!B189="","",Trabajos!B189)</f>
        <v>45967</v>
      </c>
      <c r="C189" s="70" t="str">
        <f>IF(Trabajos!F189="","",Trabajos!F189)</f>
        <v>Inalco</v>
      </c>
      <c r="D189" s="70" t="str">
        <f>IF(Trabajos!D189="","",Trabajos!D189)</f>
        <v>Monitoreo de bb y bab</v>
      </c>
      <c r="E189" s="70" t="str">
        <f>IF(Trabajos!G189="","",Trabajos!G189)</f>
        <v>Inalco</v>
      </c>
      <c r="F189" s="108">
        <f>IF(Trabajos!H189="","",Trabajos!H189)</f>
        <v>165</v>
      </c>
      <c r="G189" s="84">
        <f>IF(Trabajos!I189="","",Trabajos!I189)</f>
        <v>3610</v>
      </c>
      <c r="H189" s="84">
        <f>IF(Trabajos!J189="","",Trabajos!J189)</f>
        <v>595650</v>
      </c>
      <c r="I189" s="107">
        <f>IF(Trabajos!M189="","",Trabajos!M189)</f>
        <v>0</v>
      </c>
      <c r="J189" s="84">
        <f>IF(Trabajos!N189="","",Trabajos!N189)</f>
        <v>650</v>
      </c>
      <c r="K189" s="84">
        <f>IF(Trabajos!O189="","",Trabajos!O189)</f>
        <v>0</v>
      </c>
      <c r="L189" s="84">
        <f>IF(Trabajos!P189="","",Trabajos!P189)</f>
        <v>595650</v>
      </c>
    </row>
    <row r="190" spans="2:12" x14ac:dyDescent="0.25">
      <c r="B190" s="106">
        <f>IF(Trabajos!B190="","",Trabajos!B190)</f>
        <v>45967</v>
      </c>
      <c r="C190" s="70" t="str">
        <f>IF(Trabajos!F190="","",Trabajos!F190)</f>
        <v>San Vicente</v>
      </c>
      <c r="D190" s="70" t="str">
        <f>IF(Trabajos!D190="","",Trabajos!D190)</f>
        <v>Monitoreo de bb y bab</v>
      </c>
      <c r="E190" s="70" t="str">
        <f>IF(Trabajos!G190="","",Trabajos!G190)</f>
        <v>San Vicente</v>
      </c>
      <c r="F190" s="108">
        <f>IF(Trabajos!H190="","",Trabajos!H190)</f>
        <v>213</v>
      </c>
      <c r="G190" s="84">
        <f>IF(Trabajos!I190="","",Trabajos!I190)</f>
        <v>3467.5</v>
      </c>
      <c r="H190" s="84">
        <f>IF(Trabajos!J190="","",Trabajos!J190)</f>
        <v>738577.5</v>
      </c>
      <c r="I190" s="107">
        <f>IF(Trabajos!M190="","",Trabajos!M190)</f>
        <v>186</v>
      </c>
      <c r="J190" s="84">
        <f>IF(Trabajos!N190="","",Trabajos!N190)</f>
        <v>650</v>
      </c>
      <c r="K190" s="84">
        <f>IF(Trabajos!O190="","",Trabajos!O190)</f>
        <v>120900</v>
      </c>
      <c r="L190" s="84">
        <f>IF(Trabajos!P190="","",Trabajos!P190)</f>
        <v>859477.5</v>
      </c>
    </row>
    <row r="191" spans="2:12" x14ac:dyDescent="0.25">
      <c r="B191" s="106">
        <f>IF(Trabajos!B191="","",Trabajos!B191)</f>
        <v>45967</v>
      </c>
      <c r="C191" s="70" t="str">
        <f>IF(Trabajos!F191="","",Trabajos!F191)</f>
        <v>Cía. de Tierras Sud Argentino S.A.</v>
      </c>
      <c r="D191" s="70" t="str">
        <f>IF(Trabajos!D191="","",Trabajos!D191)</f>
        <v>Monitoreo de bb y bab</v>
      </c>
      <c r="E191" s="70" t="str">
        <f>IF(Trabajos!G191="","",Trabajos!G191)</f>
        <v>Santa Marta</v>
      </c>
      <c r="F191" s="108">
        <f>IF(Trabajos!H191="","",Trabajos!H191)</f>
        <v>365</v>
      </c>
      <c r="G191" s="84">
        <f>IF(Trabajos!I191="","",Trabajos!I191)</f>
        <v>3633.75</v>
      </c>
      <c r="H191" s="84">
        <f>IF(Trabajos!J191="","",Trabajos!J191)</f>
        <v>1326318.75</v>
      </c>
      <c r="I191" s="107">
        <f>IF(Trabajos!M191="","",Trabajos!M191)</f>
        <v>50</v>
      </c>
      <c r="J191" s="84">
        <f>IF(Trabajos!N191="","",Trabajos!N191)</f>
        <v>650</v>
      </c>
      <c r="K191" s="84">
        <f>IF(Trabajos!O191="","",Trabajos!O191)</f>
        <v>32500</v>
      </c>
      <c r="L191" s="84">
        <f>IF(Trabajos!P191="","",Trabajos!P191)</f>
        <v>1358818.75</v>
      </c>
    </row>
    <row r="192" spans="2:12" x14ac:dyDescent="0.25">
      <c r="B192" s="106">
        <f>IF(Trabajos!B192="","",Trabajos!B192)</f>
        <v>45967</v>
      </c>
      <c r="C192" s="70" t="str">
        <f>IF(Trabajos!F192="","",Trabajos!F192)</f>
        <v>Espartina S.A.</v>
      </c>
      <c r="D192" s="70" t="str">
        <f>IF(Trabajos!D192="","",Trabajos!D192)</f>
        <v>Aplicación de cebos</v>
      </c>
      <c r="E192" s="70" t="str">
        <f>IF(Trabajos!G192="","",Trabajos!G192)</f>
        <v>La Paulina</v>
      </c>
      <c r="F192" s="108">
        <f>IF(Trabajos!H192="","",Trabajos!H192)</f>
        <v>169</v>
      </c>
      <c r="G192" s="84">
        <f>IF(Trabajos!I192="","",Trabajos!I192)</f>
        <v>7250</v>
      </c>
      <c r="H192" s="84">
        <f>IF(Trabajos!J192="","",Trabajos!J192)</f>
        <v>1225250</v>
      </c>
      <c r="I192" s="107">
        <f>IF(Trabajos!M192="","",Trabajos!M192)</f>
        <v>137</v>
      </c>
      <c r="J192" s="84">
        <f>IF(Trabajos!N192="","",Trabajos!N192)</f>
        <v>633.85</v>
      </c>
      <c r="K192" s="84">
        <f>IF(Trabajos!O192="","",Trabajos!O192)</f>
        <v>86837.45</v>
      </c>
      <c r="L192" s="84">
        <f>IF(Trabajos!P192="","",Trabajos!P192)</f>
        <v>1312087.45</v>
      </c>
    </row>
    <row r="193" spans="2:12" x14ac:dyDescent="0.25">
      <c r="B193" s="106">
        <f>IF(Trabajos!B193="","",Trabajos!B193)</f>
        <v>45967</v>
      </c>
      <c r="C193" s="70" t="str">
        <f>IF(Trabajos!F193="","",Trabajos!F193)</f>
        <v>Domingo y Nestor Scioli</v>
      </c>
      <c r="D193" s="70" t="str">
        <f>IF(Trabajos!D193="","",Trabajos!D193)</f>
        <v>Aplicación de cebos</v>
      </c>
      <c r="E193" s="70" t="str">
        <f>IF(Trabajos!G193="","",Trabajos!G193)</f>
        <v>La Providencia</v>
      </c>
      <c r="F193" s="108">
        <f>IF(Trabajos!H193="","",Trabajos!H193)</f>
        <v>98</v>
      </c>
      <c r="G193" s="84">
        <f>IF(Trabajos!I193="","",Trabajos!I193)</f>
        <v>7267.5</v>
      </c>
      <c r="H193" s="84">
        <f>IF(Trabajos!J193="","",Trabajos!J193)</f>
        <v>712215</v>
      </c>
      <c r="I193" s="107">
        <f>IF(Trabajos!M193="","",Trabajos!M193)</f>
        <v>220</v>
      </c>
      <c r="J193" s="84">
        <f>IF(Trabajos!N193="","",Trabajos!N193)</f>
        <v>650</v>
      </c>
      <c r="K193" s="84">
        <f>IF(Trabajos!O193="","",Trabajos!O193)</f>
        <v>143000</v>
      </c>
      <c r="L193" s="84">
        <f>IF(Trabajos!P193="","",Trabajos!P193)</f>
        <v>855215</v>
      </c>
    </row>
    <row r="194" spans="2:12" x14ac:dyDescent="0.25">
      <c r="B194" s="106">
        <f>IF(Trabajos!B194="","",Trabajos!B194)</f>
        <v>45955</v>
      </c>
      <c r="C194" s="70" t="str">
        <f>IF(Trabajos!F194="","",Trabajos!F194)</f>
        <v>Espartina S.A.</v>
      </c>
      <c r="D194" s="70" t="str">
        <f>IF(Trabajos!D194="","",Trabajos!D194)</f>
        <v>Aplicación de cebos</v>
      </c>
      <c r="E194" s="70" t="str">
        <f>IF(Trabajos!G194="","",Trabajos!G194)</f>
        <v>San Lorenzo</v>
      </c>
      <c r="F194" s="108">
        <f>IF(Trabajos!H194="","",Trabajos!H194)</f>
        <v>45</v>
      </c>
      <c r="G194" s="84">
        <f>IF(Trabajos!I194="","",Trabajos!I194)</f>
        <v>7250</v>
      </c>
      <c r="H194" s="84">
        <f>IF(Trabajos!J194="","",Trabajos!J194)</f>
        <v>326250</v>
      </c>
      <c r="I194" s="107">
        <f>IF(Trabajos!M194="","",Trabajos!M194)</f>
        <v>180</v>
      </c>
      <c r="J194" s="84">
        <f>IF(Trabajos!N194="","",Trabajos!N194)</f>
        <v>633.85</v>
      </c>
      <c r="K194" s="84">
        <f>IF(Trabajos!O194="","",Trabajos!O194)</f>
        <v>114093</v>
      </c>
      <c r="L194" s="84">
        <f>IF(Trabajos!P194="","",Trabajos!P194)</f>
        <v>440343</v>
      </c>
    </row>
    <row r="195" spans="2:12" x14ac:dyDescent="0.25">
      <c r="B195" s="106">
        <f>IF(Trabajos!B195="","",Trabajos!B195)</f>
        <v>45957</v>
      </c>
      <c r="C195" s="70" t="str">
        <f>IF(Trabajos!F195="","",Trabajos!F195)</f>
        <v>Espartina S.A.</v>
      </c>
      <c r="D195" s="70" t="str">
        <f>IF(Trabajos!D195="","",Trabajos!D195)</f>
        <v>Aplicación de cebos</v>
      </c>
      <c r="E195" s="70" t="str">
        <f>IF(Trabajos!G195="","",Trabajos!G195)</f>
        <v>San Lorenzo</v>
      </c>
      <c r="F195" s="108">
        <f>IF(Trabajos!H195="","",Trabajos!H195)</f>
        <v>41</v>
      </c>
      <c r="G195" s="84">
        <f>IF(Trabajos!I195="","",Trabajos!I195)</f>
        <v>7250</v>
      </c>
      <c r="H195" s="84">
        <f>IF(Trabajos!J195="","",Trabajos!J195)</f>
        <v>297250</v>
      </c>
      <c r="I195" s="107">
        <f>IF(Trabajos!M195="","",Trabajos!M195)</f>
        <v>180</v>
      </c>
      <c r="J195" s="84">
        <f>IF(Trabajos!N195="","",Trabajos!N195)</f>
        <v>633.85</v>
      </c>
      <c r="K195" s="84">
        <f>IF(Trabajos!O195="","",Trabajos!O195)</f>
        <v>114093</v>
      </c>
      <c r="L195" s="84">
        <f>IF(Trabajos!P195="","",Trabajos!P195)</f>
        <v>411343</v>
      </c>
    </row>
    <row r="196" spans="2:12" x14ac:dyDescent="0.25">
      <c r="B196" s="106">
        <f>IF(Trabajos!B196="","",Trabajos!B196)</f>
        <v>45958</v>
      </c>
      <c r="C196" s="70" t="str">
        <f>IF(Trabajos!F196="","",Trabajos!F196)</f>
        <v>Omar Piaggio</v>
      </c>
      <c r="D196" s="70" t="str">
        <f>IF(Trabajos!D196="","",Trabajos!D196)</f>
        <v>Monitoreo de bb y bab</v>
      </c>
      <c r="E196" s="70" t="str">
        <f>IF(Trabajos!G196="","",Trabajos!G196)</f>
        <v>Costa del Moro</v>
      </c>
      <c r="F196" s="108">
        <f>IF(Trabajos!H196="","",Trabajos!H196)</f>
        <v>90</v>
      </c>
      <c r="G196" s="84">
        <f>IF(Trabajos!I196="","",Trabajos!I196)</f>
        <v>0</v>
      </c>
      <c r="H196" s="84">
        <f>IF(Trabajos!J196="","",Trabajos!J196)</f>
        <v>0</v>
      </c>
      <c r="I196" s="107">
        <f>IF(Trabajos!M196="","",Trabajos!M196)</f>
        <v>0</v>
      </c>
      <c r="J196" s="84">
        <f>IF(Trabajos!N196="","",Trabajos!N196)</f>
        <v>588</v>
      </c>
      <c r="K196" s="84">
        <f>IF(Trabajos!O196="","",Trabajos!O196)</f>
        <v>0</v>
      </c>
      <c r="L196" s="84">
        <f>IF(Trabajos!P196="","",Trabajos!P196)</f>
        <v>0</v>
      </c>
    </row>
    <row r="197" spans="2:12" x14ac:dyDescent="0.25">
      <c r="B197" s="106">
        <f>IF(Trabajos!B197="","",Trabajos!B197)</f>
        <v>45959</v>
      </c>
      <c r="C197" s="70" t="str">
        <f>IF(Trabajos!F197="","",Trabajos!F197)</f>
        <v>Espartina S.A.</v>
      </c>
      <c r="D197" s="70" t="str">
        <f>IF(Trabajos!D197="","",Trabajos!D197)</f>
        <v>Aplicación de cebos</v>
      </c>
      <c r="E197" s="70" t="str">
        <f>IF(Trabajos!G197="","",Trabajos!G197)</f>
        <v>Los Charitos</v>
      </c>
      <c r="F197" s="108">
        <f>IF(Trabajos!H197="","",Trabajos!H197)</f>
        <v>79</v>
      </c>
      <c r="G197" s="84">
        <f>IF(Trabajos!I197="","",Trabajos!I197)</f>
        <v>7250</v>
      </c>
      <c r="H197" s="84">
        <f>IF(Trabajos!J197="","",Trabajos!J197)</f>
        <v>572750</v>
      </c>
      <c r="I197" s="107">
        <f>IF(Trabajos!M197="","",Trabajos!M197)</f>
        <v>294</v>
      </c>
      <c r="J197" s="84">
        <f>IF(Trabajos!N197="","",Trabajos!N197)</f>
        <v>633.85</v>
      </c>
      <c r="K197" s="84">
        <f>IF(Trabajos!O197="","",Trabajos!O197)</f>
        <v>186351.9</v>
      </c>
      <c r="L197" s="84">
        <f>IF(Trabajos!P197="","",Trabajos!P197)</f>
        <v>759101.9</v>
      </c>
    </row>
    <row r="198" spans="2:12" x14ac:dyDescent="0.25">
      <c r="B198" s="106">
        <f>IF(Trabajos!B198="","",Trabajos!B198)</f>
        <v>45964</v>
      </c>
      <c r="C198" s="70" t="str">
        <f>IF(Trabajos!F198="","",Trabajos!F198)</f>
        <v>Espartina S.A.</v>
      </c>
      <c r="D198" s="70" t="str">
        <f>IF(Trabajos!D198="","",Trabajos!D198)</f>
        <v>Aplicación de cebos</v>
      </c>
      <c r="E198" s="70" t="str">
        <f>IF(Trabajos!G198="","",Trabajos!G198)</f>
        <v>San Narciso</v>
      </c>
      <c r="F198" s="108">
        <f>IF(Trabajos!H198="","",Trabajos!H198)</f>
        <v>130</v>
      </c>
      <c r="G198" s="84">
        <f>IF(Trabajos!I198="","",Trabajos!I198)</f>
        <v>7267.5</v>
      </c>
      <c r="H198" s="84">
        <f>IF(Trabajos!J198="","",Trabajos!J198)</f>
        <v>944775</v>
      </c>
      <c r="I198" s="107">
        <f>IF(Trabajos!M198="","",Trabajos!M198)</f>
        <v>208</v>
      </c>
      <c r="J198" s="84">
        <f>IF(Trabajos!N198="","",Trabajos!N198)</f>
        <v>633.85</v>
      </c>
      <c r="K198" s="84">
        <f>IF(Trabajos!O198="","",Trabajos!O198)</f>
        <v>131840.80000000002</v>
      </c>
      <c r="L198" s="84">
        <f>IF(Trabajos!P198="","",Trabajos!P198)</f>
        <v>1076615.8</v>
      </c>
    </row>
    <row r="199" spans="2:12" x14ac:dyDescent="0.25">
      <c r="B199" s="106">
        <f>IF(Trabajos!B199="","",Trabajos!B199)</f>
        <v>45962</v>
      </c>
      <c r="C199" s="70" t="str">
        <f>IF(Trabajos!F199="","",Trabajos!F199)</f>
        <v>Espartina S.A.</v>
      </c>
      <c r="D199" s="70" t="str">
        <f>IF(Trabajos!D199="","",Trabajos!D199)</f>
        <v>Aplicación de cebos</v>
      </c>
      <c r="E199" s="70" t="str">
        <f>IF(Trabajos!G199="","",Trabajos!G199)</f>
        <v>Tres Marias</v>
      </c>
      <c r="F199" s="108">
        <f>IF(Trabajos!H199="","",Trabajos!H199)</f>
        <v>225</v>
      </c>
      <c r="G199" s="84">
        <f>IF(Trabajos!I199="","",Trabajos!I199)</f>
        <v>7250</v>
      </c>
      <c r="H199" s="84">
        <f>IF(Trabajos!J199="","",Trabajos!J199)</f>
        <v>1631250</v>
      </c>
      <c r="I199" s="107">
        <f>IF(Trabajos!M199="","",Trabajos!M199)</f>
        <v>210</v>
      </c>
      <c r="J199" s="84">
        <f>IF(Trabajos!N199="","",Trabajos!N199)</f>
        <v>633.85</v>
      </c>
      <c r="K199" s="84">
        <f>IF(Trabajos!O199="","",Trabajos!O199)</f>
        <v>133108.5</v>
      </c>
      <c r="L199" s="84">
        <f>IF(Trabajos!P199="","",Trabajos!P199)</f>
        <v>1764358.5</v>
      </c>
    </row>
    <row r="200" spans="2:12" x14ac:dyDescent="0.25">
      <c r="B200" s="106">
        <f>IF(Trabajos!B200="","",Trabajos!B200)</f>
        <v>45963</v>
      </c>
      <c r="C200" s="70" t="str">
        <f>IF(Trabajos!F200="","",Trabajos!F200)</f>
        <v>Espartina S.A.</v>
      </c>
      <c r="D200" s="70" t="str">
        <f>IF(Trabajos!D200="","",Trabajos!D200)</f>
        <v>Aplicación de cebos</v>
      </c>
      <c r="E200" s="70" t="str">
        <f>IF(Trabajos!G200="","",Trabajos!G200)</f>
        <v>Santa Isabel Cozumel</v>
      </c>
      <c r="F200" s="108">
        <f>IF(Trabajos!H200="","",Trabajos!H200)</f>
        <v>128</v>
      </c>
      <c r="G200" s="84">
        <f>IF(Trabajos!I200="","",Trabajos!I200)</f>
        <v>7250</v>
      </c>
      <c r="H200" s="84">
        <f>IF(Trabajos!J200="","",Trabajos!J200)</f>
        <v>928000</v>
      </c>
      <c r="I200" s="107">
        <f>IF(Trabajos!M200="","",Trabajos!M200)</f>
        <v>186</v>
      </c>
      <c r="J200" s="84">
        <f>IF(Trabajos!N200="","",Trabajos!N200)</f>
        <v>633.85</v>
      </c>
      <c r="K200" s="84">
        <f>IF(Trabajos!O200="","",Trabajos!O200)</f>
        <v>117896.1</v>
      </c>
      <c r="L200" s="84">
        <f>IF(Trabajos!P200="","",Trabajos!P200)</f>
        <v>1045896.1</v>
      </c>
    </row>
    <row r="201" spans="2:12" x14ac:dyDescent="0.25">
      <c r="B201" s="106">
        <f>IF(Trabajos!B201="","",Trabajos!B201)</f>
        <v>45964</v>
      </c>
      <c r="C201" s="70" t="str">
        <f>IF(Trabajos!F201="","",Trabajos!F201)</f>
        <v>Espartina S.A.</v>
      </c>
      <c r="D201" s="70" t="str">
        <f>IF(Trabajos!D201="","",Trabajos!D201)</f>
        <v>Aplicación de cebos</v>
      </c>
      <c r="E201" s="70" t="str">
        <f>IF(Trabajos!G201="","",Trabajos!G201)</f>
        <v>El Alivio</v>
      </c>
      <c r="F201" s="108">
        <f>IF(Trabajos!H201="","",Trabajos!H201)</f>
        <v>174</v>
      </c>
      <c r="G201" s="84">
        <f>IF(Trabajos!I201="","",Trabajos!I201)</f>
        <v>7250</v>
      </c>
      <c r="H201" s="84">
        <f>IF(Trabajos!J201="","",Trabajos!J201)</f>
        <v>1261500</v>
      </c>
      <c r="I201" s="107">
        <f>IF(Trabajos!M201="","",Trabajos!M201)</f>
        <v>208</v>
      </c>
      <c r="J201" s="84">
        <f>IF(Trabajos!N201="","",Trabajos!N201)</f>
        <v>633.85</v>
      </c>
      <c r="K201" s="84">
        <f>IF(Trabajos!O201="","",Trabajos!O201)</f>
        <v>131840.80000000002</v>
      </c>
      <c r="L201" s="84">
        <f>IF(Trabajos!P201="","",Trabajos!P201)</f>
        <v>1393340.8</v>
      </c>
    </row>
    <row r="202" spans="2:12" x14ac:dyDescent="0.25">
      <c r="B202" s="106">
        <f>IF(Trabajos!B202="","",Trabajos!B202)</f>
        <v>45975</v>
      </c>
      <c r="C202" s="70" t="str">
        <f>IF(Trabajos!F202="","",Trabajos!F202)</f>
        <v>Espartina S.A.</v>
      </c>
      <c r="D202" s="70" t="str">
        <f>IF(Trabajos!D202="","",Trabajos!D202)</f>
        <v>Aplicación de cebos</v>
      </c>
      <c r="E202" s="70" t="str">
        <f>IF(Trabajos!G202="","",Trabajos!G202)</f>
        <v>Mallinco</v>
      </c>
      <c r="F202" s="108">
        <f>IF(Trabajos!H202="","",Trabajos!H202)</f>
        <v>108</v>
      </c>
      <c r="G202" s="84">
        <f>IF(Trabajos!I202="","",Trabajos!I202)</f>
        <v>7250</v>
      </c>
      <c r="H202" s="84">
        <f>IF(Trabajos!J202="","",Trabajos!J202)</f>
        <v>783000</v>
      </c>
      <c r="I202" s="107">
        <f>IF(Trabajos!M202="","",Trabajos!M202)</f>
        <v>186</v>
      </c>
      <c r="J202" s="84">
        <f>IF(Trabajos!N202="","",Trabajos!N202)</f>
        <v>633.85</v>
      </c>
      <c r="K202" s="84">
        <f>IF(Trabajos!O202="","",Trabajos!O202)</f>
        <v>117896.1</v>
      </c>
      <c r="L202" s="84">
        <f>IF(Trabajos!P202="","",Trabajos!P202)</f>
        <v>900896.1</v>
      </c>
    </row>
    <row r="203" spans="2:12" x14ac:dyDescent="0.25">
      <c r="B203" s="106">
        <f>IF(Trabajos!B203="","",Trabajos!B203)</f>
        <v>45962</v>
      </c>
      <c r="C203" s="70" t="str">
        <f>IF(Trabajos!F203="","",Trabajos!F203)</f>
        <v xml:space="preserve">EDM </v>
      </c>
      <c r="D203" s="70" t="str">
        <f>IF(Trabajos!D203="","",Trabajos!D203)</f>
        <v>Monitoreo de bb y bab</v>
      </c>
      <c r="E203" s="70" t="str">
        <f>IF(Trabajos!G203="","",Trabajos!G203)</f>
        <v>La Delfina</v>
      </c>
      <c r="F203" s="108">
        <f>IF(Trabajos!H203="","",Trabajos!H203)</f>
        <v>95</v>
      </c>
      <c r="G203" s="84">
        <f>IF(Trabajos!I203="","",Trabajos!I203)</f>
        <v>3625</v>
      </c>
      <c r="H203" s="84">
        <f>IF(Trabajos!J203="","",Trabajos!J203)</f>
        <v>344375</v>
      </c>
      <c r="I203" s="107">
        <f>IF(Trabajos!M203="","",Trabajos!M203)</f>
        <v>222</v>
      </c>
      <c r="J203" s="84">
        <f>IF(Trabajos!N203="","",Trabajos!N203)</f>
        <v>650</v>
      </c>
      <c r="K203" s="84">
        <f>IF(Trabajos!O203="","",Trabajos!O203)</f>
        <v>144300</v>
      </c>
      <c r="L203" s="84">
        <f>IF(Trabajos!P203="","",Trabajos!P203)</f>
        <v>488675</v>
      </c>
    </row>
    <row r="204" spans="2:12" x14ac:dyDescent="0.25">
      <c r="B204" s="106">
        <f>IF(Trabajos!B204="","",Trabajos!B204)</f>
        <v>45968</v>
      </c>
      <c r="C204" s="70" t="str">
        <f>IF(Trabajos!F204="","",Trabajos!F204)</f>
        <v>Espartina S.A.</v>
      </c>
      <c r="D204" s="70" t="str">
        <f>IF(Trabajos!D204="","",Trabajos!D204)</f>
        <v>Aplicación de cebos</v>
      </c>
      <c r="E204" s="70" t="str">
        <f>IF(Trabajos!G204="","",Trabajos!G204)</f>
        <v>La Azucena</v>
      </c>
      <c r="F204" s="108">
        <f>IF(Trabajos!H204="","",Trabajos!H204)</f>
        <v>91</v>
      </c>
      <c r="G204" s="84">
        <f>IF(Trabajos!I204="","",Trabajos!I204)</f>
        <v>7250</v>
      </c>
      <c r="H204" s="84">
        <f>IF(Trabajos!J204="","",Trabajos!J204)</f>
        <v>659750</v>
      </c>
      <c r="I204" s="107">
        <f>IF(Trabajos!M204="","",Trabajos!M204)</f>
        <v>274</v>
      </c>
      <c r="J204" s="84">
        <f>IF(Trabajos!N204="","",Trabajos!N204)</f>
        <v>633.85</v>
      </c>
      <c r="K204" s="84">
        <f>IF(Trabajos!O204="","",Trabajos!O204)</f>
        <v>173674.9</v>
      </c>
      <c r="L204" s="84">
        <f>IF(Trabajos!P204="","",Trabajos!P204)</f>
        <v>833424.9</v>
      </c>
    </row>
    <row r="205" spans="2:12" x14ac:dyDescent="0.25">
      <c r="B205" s="106">
        <f>IF(Trabajos!B205="","",Trabajos!B205)</f>
        <v>45968</v>
      </c>
      <c r="C205" s="70" t="str">
        <f>IF(Trabajos!F205="","",Trabajos!F205)</f>
        <v>Agustin Odriozola</v>
      </c>
      <c r="D205" s="70" t="str">
        <f>IF(Trabajos!D205="","",Trabajos!D205)</f>
        <v>Aplicación de cebos</v>
      </c>
      <c r="E205" s="70" t="str">
        <f>IF(Trabajos!G205="","",Trabajos!G205)</f>
        <v>La Colonia</v>
      </c>
      <c r="F205" s="108">
        <f>IF(Trabajos!H205="","",Trabajos!H205)</f>
        <v>74</v>
      </c>
      <c r="G205" s="84">
        <f>IF(Trabajos!I205="","",Trabajos!I205)</f>
        <v>6935</v>
      </c>
      <c r="H205" s="84">
        <f>IF(Trabajos!J205="","",Trabajos!J205)</f>
        <v>513190</v>
      </c>
      <c r="I205" s="107">
        <f>IF(Trabajos!M205="","",Trabajos!M205)</f>
        <v>0</v>
      </c>
      <c r="J205" s="84">
        <f>IF(Trabajos!N205="","",Trabajos!N205)</f>
        <v>650</v>
      </c>
      <c r="K205" s="84">
        <f>IF(Trabajos!O205="","",Trabajos!O205)</f>
        <v>0</v>
      </c>
      <c r="L205" s="84">
        <f>IF(Trabajos!P205="","",Trabajos!P205)</f>
        <v>513190</v>
      </c>
    </row>
    <row r="206" spans="2:12" x14ac:dyDescent="0.25">
      <c r="B206" s="106">
        <f>IF(Trabajos!B206="","",Trabajos!B206)</f>
        <v>45968</v>
      </c>
      <c r="C206" s="70" t="str">
        <f>IF(Trabajos!F206="","",Trabajos!F206)</f>
        <v>Martin Juarez</v>
      </c>
      <c r="D206" s="70" t="str">
        <f>IF(Trabajos!D206="","",Trabajos!D206)</f>
        <v>Aplicación de cebos</v>
      </c>
      <c r="E206" s="70" t="str">
        <f>IF(Trabajos!G206="","",Trabajos!G206)</f>
        <v>El Volcan</v>
      </c>
      <c r="F206" s="108">
        <f>IF(Trabajos!H206="","",Trabajos!H206)</f>
        <v>37</v>
      </c>
      <c r="G206" s="84">
        <f>IF(Trabajos!I206="","",Trabajos!I206)</f>
        <v>7267.5</v>
      </c>
      <c r="H206" s="84">
        <f>IF(Trabajos!J206="","",Trabajos!J206)</f>
        <v>268897.5</v>
      </c>
      <c r="I206" s="107">
        <f>IF(Trabajos!M206="","",Trabajos!M206)</f>
        <v>54</v>
      </c>
      <c r="J206" s="84">
        <f>IF(Trabajos!N206="","",Trabajos!N206)</f>
        <v>650</v>
      </c>
      <c r="K206" s="84">
        <f>IF(Trabajos!O206="","",Trabajos!O206)</f>
        <v>35100</v>
      </c>
      <c r="L206" s="84">
        <f>IF(Trabajos!P206="","",Trabajos!P206)</f>
        <v>303997.5</v>
      </c>
    </row>
    <row r="207" spans="2:12" x14ac:dyDescent="0.25">
      <c r="B207" s="106">
        <f>IF(Trabajos!B207="","",Trabajos!B207)</f>
        <v>45968</v>
      </c>
      <c r="C207" s="70" t="str">
        <f>IF(Trabajos!F207="","",Trabajos!F207)</f>
        <v>Espartina S.A.</v>
      </c>
      <c r="D207" s="70" t="str">
        <f>IF(Trabajos!D207="","",Trabajos!D207)</f>
        <v>Aplicación de cebos</v>
      </c>
      <c r="E207" s="70" t="str">
        <f>IF(Trabajos!G207="","",Trabajos!G207)</f>
        <v>La Barrancosa</v>
      </c>
      <c r="F207" s="108">
        <f>IF(Trabajos!H207="","",Trabajos!H207)</f>
        <v>115</v>
      </c>
      <c r="G207" s="84">
        <f>IF(Trabajos!I207="","",Trabajos!I207)</f>
        <v>7250</v>
      </c>
      <c r="H207" s="84">
        <f>IF(Trabajos!J207="","",Trabajos!J207)</f>
        <v>833750</v>
      </c>
      <c r="I207" s="107">
        <f>IF(Trabajos!M207="","",Trabajos!M207)</f>
        <v>270</v>
      </c>
      <c r="J207" s="84">
        <f>IF(Trabajos!N207="","",Trabajos!N207)</f>
        <v>633.85</v>
      </c>
      <c r="K207" s="84">
        <f>IF(Trabajos!O207="","",Trabajos!O207)</f>
        <v>171139.5</v>
      </c>
      <c r="L207" s="84">
        <f>IF(Trabajos!P207="","",Trabajos!P207)</f>
        <v>1004889.5</v>
      </c>
    </row>
    <row r="208" spans="2:12" x14ac:dyDescent="0.25">
      <c r="B208" s="106">
        <f>IF(Trabajos!B208="","",Trabajos!B208)</f>
        <v>45968</v>
      </c>
      <c r="C208" s="70" t="str">
        <f>IF(Trabajos!F208="","",Trabajos!F208)</f>
        <v>Espartina S.A.</v>
      </c>
      <c r="D208" s="70" t="str">
        <f>IF(Trabajos!D208="","",Trabajos!D208)</f>
        <v>Monitoreo de bb y bab</v>
      </c>
      <c r="E208" s="70" t="str">
        <f>IF(Trabajos!G208="","",Trabajos!G208)</f>
        <v>Teha</v>
      </c>
      <c r="F208" s="108">
        <f>IF(Trabajos!H208="","",Trabajos!H208)</f>
        <v>442</v>
      </c>
      <c r="G208" s="84">
        <f>IF(Trabajos!I208="","",Trabajos!I208)</f>
        <v>3270.37</v>
      </c>
      <c r="H208" s="84">
        <f>IF(Trabajos!J208="","",Trabajos!J208)</f>
        <v>1445503.54</v>
      </c>
      <c r="I208" s="107">
        <f>IF(Trabajos!M208="","",Trabajos!M208)</f>
        <v>190</v>
      </c>
      <c r="J208" s="84">
        <f>IF(Trabajos!N208="","",Trabajos!N208)</f>
        <v>633.85</v>
      </c>
      <c r="K208" s="84">
        <f>IF(Trabajos!O208="","",Trabajos!O208)</f>
        <v>120431.5</v>
      </c>
      <c r="L208" s="84">
        <f>IF(Trabajos!P208="","",Trabajos!P208)</f>
        <v>1565935.04</v>
      </c>
    </row>
    <row r="209" spans="2:12" x14ac:dyDescent="0.25">
      <c r="B209" s="106">
        <f>IF(Trabajos!B209="","",Trabajos!B209)</f>
        <v>45968</v>
      </c>
      <c r="C209" s="70" t="str">
        <f>IF(Trabajos!F209="","",Trabajos!F209)</f>
        <v>Espartina S.A.</v>
      </c>
      <c r="D209" s="70" t="str">
        <f>IF(Trabajos!D209="","",Trabajos!D209)</f>
        <v>Muestreo de suelos</v>
      </c>
      <c r="E209" s="70" t="str">
        <f>IF(Trabajos!G209="","",Trabajos!G209)</f>
        <v>Teha</v>
      </c>
      <c r="F209" s="108">
        <f>IF(Trabajos!H209="","",Trabajos!H209)</f>
        <v>80</v>
      </c>
      <c r="G209" s="84">
        <f>IF(Trabajos!I209="","",Trabajos!I209)</f>
        <v>947.70673076900005</v>
      </c>
      <c r="H209" s="84">
        <f>IF(Trabajos!J209="","",Trabajos!J209)</f>
        <v>75816.538461520002</v>
      </c>
      <c r="I209" s="107">
        <f>IF(Trabajos!M209="","",Trabajos!M209)</f>
        <v>0</v>
      </c>
      <c r="J209" s="84">
        <f>IF(Trabajos!N209="","",Trabajos!N209)</f>
        <v>588</v>
      </c>
      <c r="K209" s="84">
        <f>IF(Trabajos!O209="","",Trabajos!O209)</f>
        <v>0</v>
      </c>
      <c r="L209" s="84">
        <f>IF(Trabajos!P209="","",Trabajos!P209)</f>
        <v>75816.538461520002</v>
      </c>
    </row>
    <row r="210" spans="2:12" x14ac:dyDescent="0.25">
      <c r="B210" s="106">
        <f>IF(Trabajos!B210="","",Trabajos!B210)</f>
        <v>45968</v>
      </c>
      <c r="C210" s="70" t="str">
        <f>IF(Trabajos!F210="","",Trabajos!F210)</f>
        <v>Domingo y Nestor Scioli</v>
      </c>
      <c r="D210" s="70" t="str">
        <f>IF(Trabajos!D210="","",Trabajos!D210)</f>
        <v>Monitoreo de bb y bab</v>
      </c>
      <c r="E210" s="70" t="str">
        <f>IF(Trabajos!G210="","",Trabajos!G210)</f>
        <v>Los Pinos</v>
      </c>
      <c r="F210" s="108">
        <f>IF(Trabajos!H210="","",Trabajos!H210)</f>
        <v>102</v>
      </c>
      <c r="G210" s="84">
        <f>IF(Trabajos!I210="","",Trabajos!I210)</f>
        <v>3633.75</v>
      </c>
      <c r="H210" s="84">
        <f>IF(Trabajos!J210="","",Trabajos!J210)</f>
        <v>370642.5</v>
      </c>
      <c r="I210" s="107">
        <f>IF(Trabajos!M210="","",Trabajos!M210)</f>
        <v>32</v>
      </c>
      <c r="J210" s="84">
        <f>IF(Trabajos!N210="","",Trabajos!N210)</f>
        <v>650</v>
      </c>
      <c r="K210" s="84">
        <f>IF(Trabajos!O210="","",Trabajos!O210)</f>
        <v>20800</v>
      </c>
      <c r="L210" s="84">
        <f>IF(Trabajos!P210="","",Trabajos!P210)</f>
        <v>391442.5</v>
      </c>
    </row>
    <row r="211" spans="2:12" x14ac:dyDescent="0.25">
      <c r="B211" s="106">
        <f>IF(Trabajos!B211="","",Trabajos!B211)</f>
        <v>45968</v>
      </c>
      <c r="C211" s="70" t="str">
        <f>IF(Trabajos!F211="","",Trabajos!F211)</f>
        <v>Espartina S.A.</v>
      </c>
      <c r="D211" s="70" t="str">
        <f>IF(Trabajos!D211="","",Trabajos!D211)</f>
        <v>Monitoreo de bb y bab</v>
      </c>
      <c r="E211" s="70" t="str">
        <f>IF(Trabajos!G211="","",Trabajos!G211)</f>
        <v xml:space="preserve">El Rosario </v>
      </c>
      <c r="F211" s="108">
        <f>IF(Trabajos!H211="","",Trabajos!H211)</f>
        <v>221</v>
      </c>
      <c r="G211" s="84">
        <f>IF(Trabajos!I211="","",Trabajos!I211)</f>
        <v>3262.5</v>
      </c>
      <c r="H211" s="84">
        <f>IF(Trabajos!J211="","",Trabajos!J211)</f>
        <v>721012.5</v>
      </c>
      <c r="I211" s="107">
        <f>IF(Trabajos!M211="","",Trabajos!M211)</f>
        <v>212</v>
      </c>
      <c r="J211" s="84">
        <f>IF(Trabajos!N211="","",Trabajos!N211)</f>
        <v>633.85</v>
      </c>
      <c r="K211" s="84">
        <f>IF(Trabajos!O211="","",Trabajos!O211)</f>
        <v>134376.20000000001</v>
      </c>
      <c r="L211" s="84">
        <f>IF(Trabajos!P211="","",Trabajos!P211)</f>
        <v>855388.7</v>
      </c>
    </row>
    <row r="212" spans="2:12" x14ac:dyDescent="0.25">
      <c r="B212" s="106">
        <f>IF(Trabajos!B212="","",Trabajos!B212)</f>
        <v>45969</v>
      </c>
      <c r="C212" s="70" t="str">
        <f>IF(Trabajos!F212="","",Trabajos!F212)</f>
        <v>Espartina S.A.</v>
      </c>
      <c r="D212" s="70" t="str">
        <f>IF(Trabajos!D212="","",Trabajos!D212)</f>
        <v>Aplicación de cebos</v>
      </c>
      <c r="E212" s="70" t="str">
        <f>IF(Trabajos!G212="","",Trabajos!G212)</f>
        <v>La Cachila</v>
      </c>
      <c r="F212" s="108">
        <f>IF(Trabajos!H212="","",Trabajos!H212)</f>
        <v>60</v>
      </c>
      <c r="G212" s="84">
        <f>IF(Trabajos!I212="","",Trabajos!I212)</f>
        <v>7250</v>
      </c>
      <c r="H212" s="84">
        <f>IF(Trabajos!J212="","",Trabajos!J212)</f>
        <v>435000</v>
      </c>
      <c r="I212" s="107">
        <f>IF(Trabajos!M212="","",Trabajos!M212)</f>
        <v>230</v>
      </c>
      <c r="J212" s="84">
        <f>IF(Trabajos!N212="","",Trabajos!N212)</f>
        <v>633.85</v>
      </c>
      <c r="K212" s="84">
        <f>IF(Trabajos!O212="","",Trabajos!O212)</f>
        <v>145785.5</v>
      </c>
      <c r="L212" s="84">
        <f>IF(Trabajos!P212="","",Trabajos!P212)</f>
        <v>580785.5</v>
      </c>
    </row>
    <row r="213" spans="2:12" x14ac:dyDescent="0.25">
      <c r="B213" s="106">
        <f>IF(Trabajos!B213="","",Trabajos!B213)</f>
        <v>45969</v>
      </c>
      <c r="C213" s="70" t="str">
        <f>IF(Trabajos!F213="","",Trabajos!F213)</f>
        <v>La Nany S.A.</v>
      </c>
      <c r="D213" s="70" t="str">
        <f>IF(Trabajos!D213="","",Trabajos!D213)</f>
        <v>Aplicación de cebos</v>
      </c>
      <c r="E213" s="70" t="str">
        <f>IF(Trabajos!G213="","",Trabajos!G213)</f>
        <v>La Nany</v>
      </c>
      <c r="F213" s="108">
        <f>IF(Trabajos!H213="","",Trabajos!H213)</f>
        <v>82</v>
      </c>
      <c r="G213" s="84">
        <f>IF(Trabajos!I213="","",Trabajos!I213)</f>
        <v>7237.5</v>
      </c>
      <c r="H213" s="84">
        <f>IF(Trabajos!J213="","",Trabajos!J213)</f>
        <v>593475</v>
      </c>
      <c r="I213" s="107">
        <f>IF(Trabajos!M213="","",Trabajos!M213)</f>
        <v>88</v>
      </c>
      <c r="J213" s="84">
        <f>IF(Trabajos!N213="","",Trabajos!N213)</f>
        <v>650</v>
      </c>
      <c r="K213" s="84">
        <f>IF(Trabajos!O213="","",Trabajos!O213)</f>
        <v>57200</v>
      </c>
      <c r="L213" s="84">
        <f>IF(Trabajos!P213="","",Trabajos!P213)</f>
        <v>650675</v>
      </c>
    </row>
    <row r="214" spans="2:12" x14ac:dyDescent="0.25">
      <c r="B214" s="106">
        <f>IF(Trabajos!B214="","",Trabajos!B214)</f>
        <v>45969</v>
      </c>
      <c r="C214" s="70" t="str">
        <f>IF(Trabajos!F214="","",Trabajos!F214)</f>
        <v>Cofina Agro</v>
      </c>
      <c r="D214" s="70" t="str">
        <f>IF(Trabajos!D214="","",Trabajos!D214)</f>
        <v>Aplicación de cebos</v>
      </c>
      <c r="E214" s="70" t="str">
        <f>IF(Trabajos!G214="","",Trabajos!G214)</f>
        <v>Tres Lagunas</v>
      </c>
      <c r="F214" s="108">
        <f>IF(Trabajos!H214="","",Trabajos!H214)</f>
        <v>35</v>
      </c>
      <c r="G214" s="84">
        <f>IF(Trabajos!I214="","",Trabajos!I214)</f>
        <v>7262.5</v>
      </c>
      <c r="H214" s="84">
        <f>IF(Trabajos!J214="","",Trabajos!J214)</f>
        <v>254187.5</v>
      </c>
      <c r="I214" s="107">
        <f>IF(Trabajos!M214="","",Trabajos!M214)</f>
        <v>110</v>
      </c>
      <c r="J214" s="84">
        <f>IF(Trabajos!N214="","",Trabajos!N214)</f>
        <v>650</v>
      </c>
      <c r="K214" s="84">
        <f>IF(Trabajos!O214="","",Trabajos!O214)</f>
        <v>71500</v>
      </c>
      <c r="L214" s="84">
        <f>IF(Trabajos!P214="","",Trabajos!P214)</f>
        <v>325687.5</v>
      </c>
    </row>
    <row r="215" spans="2:12" x14ac:dyDescent="0.25">
      <c r="B215" s="106">
        <f>IF(Trabajos!B215="","",Trabajos!B215)</f>
        <v>45969</v>
      </c>
      <c r="C215" s="70" t="str">
        <f>IF(Trabajos!F215="","",Trabajos!F215)</f>
        <v>Cofina Agro</v>
      </c>
      <c r="D215" s="70" t="str">
        <f>IF(Trabajos!D215="","",Trabajos!D215)</f>
        <v>Monitoreo de bb y bab</v>
      </c>
      <c r="E215" s="70" t="str">
        <f>IF(Trabajos!G215="","",Trabajos!G215)</f>
        <v>Tres Lagunas</v>
      </c>
      <c r="F215" s="108">
        <f>IF(Trabajos!H215="","",Trabajos!H215)</f>
        <v>50</v>
      </c>
      <c r="G215" s="84">
        <f>IF(Trabajos!I215="","",Trabajos!I215)</f>
        <v>3631.25</v>
      </c>
      <c r="H215" s="84">
        <f>IF(Trabajos!J215="","",Trabajos!J215)</f>
        <v>181562.5</v>
      </c>
      <c r="I215" s="107">
        <f>IF(Trabajos!M215="","",Trabajos!M215)</f>
        <v>0</v>
      </c>
      <c r="J215" s="84">
        <f>IF(Trabajos!N215="","",Trabajos!N215)</f>
        <v>650</v>
      </c>
      <c r="K215" s="84">
        <f>IF(Trabajos!O215="","",Trabajos!O215)</f>
        <v>0</v>
      </c>
      <c r="L215" s="84">
        <f>IF(Trabajos!P215="","",Trabajos!P215)</f>
        <v>181562.5</v>
      </c>
    </row>
    <row r="216" spans="2:12" x14ac:dyDescent="0.25">
      <c r="B216" s="106">
        <f>IF(Trabajos!B216="","",Trabajos!B216)</f>
        <v>45969</v>
      </c>
      <c r="C216" s="70" t="str">
        <f>IF(Trabajos!F216="","",Trabajos!F216)</f>
        <v>Espartina S.A.</v>
      </c>
      <c r="D216" s="70" t="str">
        <f>IF(Trabajos!D216="","",Trabajos!D216)</f>
        <v>Aplicación de cebos</v>
      </c>
      <c r="E216" s="70" t="str">
        <f>IF(Trabajos!G216="","",Trabajos!G216)</f>
        <v>Cupalen I y II</v>
      </c>
      <c r="F216" s="108">
        <f>IF(Trabajos!H216="","",Trabajos!H216)</f>
        <v>231</v>
      </c>
      <c r="G216" s="84">
        <f>IF(Trabajos!I216="","",Trabajos!I216)</f>
        <v>7250</v>
      </c>
      <c r="H216" s="84">
        <f>IF(Trabajos!J216="","",Trabajos!J216)</f>
        <v>1674750</v>
      </c>
      <c r="I216" s="107">
        <f>IF(Trabajos!M216="","",Trabajos!M216)</f>
        <v>82</v>
      </c>
      <c r="J216" s="84">
        <f>IF(Trabajos!N216="","",Trabajos!N216)</f>
        <v>633.85</v>
      </c>
      <c r="K216" s="84">
        <f>IF(Trabajos!O216="","",Trabajos!O216)</f>
        <v>51975.700000000004</v>
      </c>
      <c r="L216" s="84">
        <f>IF(Trabajos!P216="","",Trabajos!P216)</f>
        <v>1726725.7</v>
      </c>
    </row>
    <row r="217" spans="2:12" x14ac:dyDescent="0.25">
      <c r="B217" s="106">
        <f>IF(Trabajos!B217="","",Trabajos!B217)</f>
        <v>45969</v>
      </c>
      <c r="C217" s="70" t="str">
        <f>IF(Trabajos!F217="","",Trabajos!F217)</f>
        <v>Espartina S.A.</v>
      </c>
      <c r="D217" s="70" t="str">
        <f>IF(Trabajos!D217="","",Trabajos!D217)</f>
        <v>Aplicación de cebos</v>
      </c>
      <c r="E217" s="70" t="str">
        <f>IF(Trabajos!G217="","",Trabajos!G217)</f>
        <v>La Reconquista</v>
      </c>
      <c r="F217" s="108">
        <f>IF(Trabajos!H217="","",Trabajos!H217)</f>
        <v>37</v>
      </c>
      <c r="G217" s="84">
        <f>IF(Trabajos!I217="","",Trabajos!I217)</f>
        <v>7250</v>
      </c>
      <c r="H217" s="84">
        <f>IF(Trabajos!J217="","",Trabajos!J217)</f>
        <v>268250</v>
      </c>
      <c r="I217" s="107">
        <f>IF(Trabajos!M217="","",Trabajos!M217)</f>
        <v>82</v>
      </c>
      <c r="J217" s="84">
        <f>IF(Trabajos!N217="","",Trabajos!N217)</f>
        <v>633.85</v>
      </c>
      <c r="K217" s="84">
        <f>IF(Trabajos!O217="","",Trabajos!O217)</f>
        <v>51975.700000000004</v>
      </c>
      <c r="L217" s="84">
        <f>IF(Trabajos!P217="","",Trabajos!P217)</f>
        <v>320225.7</v>
      </c>
    </row>
    <row r="218" spans="2:12" x14ac:dyDescent="0.25">
      <c r="B218" s="106">
        <f>IF(Trabajos!B218="","",Trabajos!B218)</f>
        <v>45969</v>
      </c>
      <c r="C218" s="70" t="str">
        <f>IF(Trabajos!F218="","",Trabajos!F218)</f>
        <v>Espartina S.A.</v>
      </c>
      <c r="D218" s="70" t="str">
        <f>IF(Trabajos!D218="","",Trabajos!D218)</f>
        <v>Aplicación de cebos</v>
      </c>
      <c r="E218" s="70" t="str">
        <f>IF(Trabajos!G218="","",Trabajos!G218)</f>
        <v>Las Overas</v>
      </c>
      <c r="F218" s="108">
        <f>IF(Trabajos!H218="","",Trabajos!H218)</f>
        <v>160</v>
      </c>
      <c r="G218" s="84">
        <f>IF(Trabajos!I218="","",Trabajos!I218)</f>
        <v>7250</v>
      </c>
      <c r="H218" s="84">
        <f>IF(Trabajos!J218="","",Trabajos!J218)</f>
        <v>1160000</v>
      </c>
      <c r="I218" s="107">
        <f>IF(Trabajos!M218="","",Trabajos!M218)</f>
        <v>236</v>
      </c>
      <c r="J218" s="84">
        <f>IF(Trabajos!N218="","",Trabajos!N218)</f>
        <v>633.85</v>
      </c>
      <c r="K218" s="84">
        <f>IF(Trabajos!O218="","",Trabajos!O218)</f>
        <v>149588.6</v>
      </c>
      <c r="L218" s="84">
        <f>IF(Trabajos!P218="","",Trabajos!P218)</f>
        <v>1309588.6000000001</v>
      </c>
    </row>
    <row r="219" spans="2:12" x14ac:dyDescent="0.25">
      <c r="B219" s="106">
        <f>IF(Trabajos!B219="","",Trabajos!B219)</f>
        <v>45969</v>
      </c>
      <c r="C219" s="70" t="str">
        <f>IF(Trabajos!F219="","",Trabajos!F219)</f>
        <v>La Mylucha</v>
      </c>
      <c r="D219" s="70" t="str">
        <f>IF(Trabajos!D219="","",Trabajos!D219)</f>
        <v>Aplicación de cebos</v>
      </c>
      <c r="E219" s="70" t="str">
        <f>IF(Trabajos!G219="","",Trabajos!G219)</f>
        <v>La Mylucha</v>
      </c>
      <c r="F219" s="108">
        <f>IF(Trabajos!H219="","",Trabajos!H219)</f>
        <v>54</v>
      </c>
      <c r="G219" s="84">
        <f>IF(Trabajos!I219="","",Trabajos!I219)</f>
        <v>0</v>
      </c>
      <c r="H219" s="84">
        <f>IF(Trabajos!J219="","",Trabajos!J219)</f>
        <v>0</v>
      </c>
      <c r="I219" s="107">
        <f>IF(Trabajos!M219="","",Trabajos!M219)</f>
        <v>40</v>
      </c>
      <c r="J219" s="84">
        <f>IF(Trabajos!N219="","",Trabajos!N219)</f>
        <v>0</v>
      </c>
      <c r="K219" s="84">
        <f>IF(Trabajos!O219="","",Trabajos!O219)</f>
        <v>0</v>
      </c>
      <c r="L219" s="84">
        <f>IF(Trabajos!P219="","",Trabajos!P219)</f>
        <v>0</v>
      </c>
    </row>
    <row r="220" spans="2:12" x14ac:dyDescent="0.25">
      <c r="B220" s="106">
        <f>IF(Trabajos!B220="","",Trabajos!B220)</f>
        <v>45969</v>
      </c>
      <c r="C220" s="70" t="str">
        <f>IF(Trabajos!F220="","",Trabajos!F220)</f>
        <v>Domingo y Nestor Scioli</v>
      </c>
      <c r="D220" s="70" t="str">
        <f>IF(Trabajos!D220="","",Trabajos!D220)</f>
        <v>Monitoreo de bb y bab</v>
      </c>
      <c r="E220" s="70" t="str">
        <f>IF(Trabajos!G220="","",Trabajos!G220)</f>
        <v>Gugliota</v>
      </c>
      <c r="F220" s="108">
        <f>IF(Trabajos!H220="","",Trabajos!H220)</f>
        <v>139</v>
      </c>
      <c r="G220" s="84">
        <f>IF(Trabajos!I220="","",Trabajos!I220)</f>
        <v>3633.75</v>
      </c>
      <c r="H220" s="84">
        <f>IF(Trabajos!J220="","",Trabajos!J220)</f>
        <v>505091.25</v>
      </c>
      <c r="I220" s="107">
        <f>IF(Trabajos!M220="","",Trabajos!M220)</f>
        <v>50</v>
      </c>
      <c r="J220" s="84">
        <f>IF(Trabajos!N220="","",Trabajos!N220)</f>
        <v>650</v>
      </c>
      <c r="K220" s="84">
        <f>IF(Trabajos!O220="","",Trabajos!O220)</f>
        <v>32500</v>
      </c>
      <c r="L220" s="84">
        <f>IF(Trabajos!P220="","",Trabajos!P220)</f>
        <v>537591.25</v>
      </c>
    </row>
    <row r="221" spans="2:12" x14ac:dyDescent="0.25">
      <c r="B221" s="106">
        <f>IF(Trabajos!B221="","",Trabajos!B221)</f>
        <v>45969</v>
      </c>
      <c r="C221" s="70" t="str">
        <f>IF(Trabajos!F221="","",Trabajos!F221)</f>
        <v>La Mylucha</v>
      </c>
      <c r="D221" s="70" t="str">
        <f>IF(Trabajos!D221="","",Trabajos!D221)</f>
        <v>Monitoreo de bb y bab</v>
      </c>
      <c r="E221" s="70" t="str">
        <f>IF(Trabajos!G221="","",Trabajos!G221)</f>
        <v>La Mylucha</v>
      </c>
      <c r="F221" s="108">
        <f>IF(Trabajos!H221="","",Trabajos!H221)</f>
        <v>60</v>
      </c>
      <c r="G221" s="84">
        <f>IF(Trabajos!I221="","",Trabajos!I221)</f>
        <v>3628.75</v>
      </c>
      <c r="H221" s="84">
        <f>IF(Trabajos!J221="","",Trabajos!J221)</f>
        <v>217725</v>
      </c>
      <c r="I221" s="107">
        <f>IF(Trabajos!M221="","",Trabajos!M221)</f>
        <v>40</v>
      </c>
      <c r="J221" s="84">
        <f>IF(Trabajos!N221="","",Trabajos!N221)</f>
        <v>650</v>
      </c>
      <c r="K221" s="84">
        <f>IF(Trabajos!O221="","",Trabajos!O221)</f>
        <v>26000</v>
      </c>
      <c r="L221" s="84">
        <f>IF(Trabajos!P221="","",Trabajos!P221)</f>
        <v>243725</v>
      </c>
    </row>
    <row r="222" spans="2:12" x14ac:dyDescent="0.25">
      <c r="B222" s="106">
        <f>IF(Trabajos!B222="","",Trabajos!B222)</f>
        <v>45969</v>
      </c>
      <c r="C222" s="70" t="str">
        <f>IF(Trabajos!F222="","",Trabajos!F222)</f>
        <v>Sebastian Martos</v>
      </c>
      <c r="D222" s="70" t="str">
        <f>IF(Trabajos!D222="","",Trabajos!D222)</f>
        <v>Monitoreo de bb y bab</v>
      </c>
      <c r="E222" s="70" t="str">
        <f>IF(Trabajos!G222="","",Trabajos!G222)</f>
        <v>Fasciglione</v>
      </c>
      <c r="F222" s="108">
        <f>IF(Trabajos!H222="","",Trabajos!H222)</f>
        <v>26</v>
      </c>
      <c r="G222" s="84">
        <f>IF(Trabajos!I222="","",Trabajos!I222)</f>
        <v>3628.75</v>
      </c>
      <c r="H222" s="84">
        <f>IF(Trabajos!J222="","",Trabajos!J222)</f>
        <v>94347.5</v>
      </c>
      <c r="I222" s="107">
        <f>IF(Trabajos!M222="","",Trabajos!M222)</f>
        <v>24</v>
      </c>
      <c r="J222" s="84">
        <f>IF(Trabajos!N222="","",Trabajos!N222)</f>
        <v>650</v>
      </c>
      <c r="K222" s="84">
        <f>IF(Trabajos!O222="","",Trabajos!O222)</f>
        <v>15600</v>
      </c>
      <c r="L222" s="84">
        <f>IF(Trabajos!P222="","",Trabajos!P222)</f>
        <v>109947.5</v>
      </c>
    </row>
    <row r="223" spans="2:12" x14ac:dyDescent="0.25">
      <c r="B223" s="106">
        <f>IF(Trabajos!B223="","",Trabajos!B223)</f>
        <v>45969</v>
      </c>
      <c r="C223" s="70" t="str">
        <f>IF(Trabajos!F223="","",Trabajos!F223)</f>
        <v>Walter Ingenieri</v>
      </c>
      <c r="D223" s="70" t="str">
        <f>IF(Trabajos!D223="","",Trabajos!D223)</f>
        <v>Monitoreo de bb y bab</v>
      </c>
      <c r="E223" s="70" t="str">
        <f>IF(Trabajos!G223="","",Trabajos!G223)</f>
        <v>El Rosario</v>
      </c>
      <c r="F223" s="108">
        <f>IF(Trabajos!H223="","",Trabajos!H223)</f>
        <v>70</v>
      </c>
      <c r="G223" s="84">
        <f>IF(Trabajos!I223="","",Trabajos!I223)</f>
        <v>3675</v>
      </c>
      <c r="H223" s="84">
        <f>IF(Trabajos!J223="","",Trabajos!J223)</f>
        <v>257250</v>
      </c>
      <c r="I223" s="107">
        <f>IF(Trabajos!M223="","",Trabajos!M223)</f>
        <v>59</v>
      </c>
      <c r="J223" s="84">
        <f>IF(Trabajos!N223="","",Trabajos!N223)</f>
        <v>650</v>
      </c>
      <c r="K223" s="84">
        <f>IF(Trabajos!O223="","",Trabajos!O223)</f>
        <v>38350</v>
      </c>
      <c r="L223" s="84">
        <f>IF(Trabajos!P223="","",Trabajos!P223)</f>
        <v>295600</v>
      </c>
    </row>
    <row r="224" spans="2:12" x14ac:dyDescent="0.25">
      <c r="B224" s="106">
        <f>IF(Trabajos!B224="","",Trabajos!B224)</f>
        <v>45969</v>
      </c>
      <c r="C224" s="70" t="str">
        <f>IF(Trabajos!F224="","",Trabajos!F224)</f>
        <v>Sebastian Martos</v>
      </c>
      <c r="D224" s="70" t="str">
        <f>IF(Trabajos!D224="","",Trabajos!D224)</f>
        <v>Monitoreo de bb y bab</v>
      </c>
      <c r="E224" s="70" t="str">
        <f>IF(Trabajos!G224="","",Trabajos!G224)</f>
        <v>Las Nazarenas</v>
      </c>
      <c r="F224" s="108">
        <f>IF(Trabajos!H224="","",Trabajos!H224)</f>
        <v>115</v>
      </c>
      <c r="G224" s="84">
        <f>IF(Trabajos!I224="","",Trabajos!I224)</f>
        <v>3628.75</v>
      </c>
      <c r="H224" s="84">
        <f>IF(Trabajos!J224="","",Trabajos!J224)</f>
        <v>417306.25</v>
      </c>
      <c r="I224" s="107">
        <f>IF(Trabajos!M224="","",Trabajos!M224)</f>
        <v>64</v>
      </c>
      <c r="J224" s="84">
        <f>IF(Trabajos!N224="","",Trabajos!N224)</f>
        <v>650</v>
      </c>
      <c r="K224" s="84">
        <f>IF(Trabajos!O224="","",Trabajos!O224)</f>
        <v>41600</v>
      </c>
      <c r="L224" s="84">
        <f>IF(Trabajos!P224="","",Trabajos!P224)</f>
        <v>458906.25</v>
      </c>
    </row>
    <row r="225" spans="2:12" x14ac:dyDescent="0.25">
      <c r="B225" s="106">
        <f>IF(Trabajos!B225="","",Trabajos!B225)</f>
        <v>45969</v>
      </c>
      <c r="C225" s="70" t="str">
        <f>IF(Trabajos!F225="","",Trabajos!F225)</f>
        <v>Cristian Perez Maraviglia</v>
      </c>
      <c r="D225" s="70" t="str">
        <f>IF(Trabajos!D225="","",Trabajos!D225)</f>
        <v>Monitoreo de bb y bab</v>
      </c>
      <c r="E225" s="70" t="str">
        <f>IF(Trabajos!G225="","",Trabajos!G225)</f>
        <v>San Guillermo</v>
      </c>
      <c r="F225" s="108">
        <f>IF(Trabajos!H225="","",Trabajos!H225)</f>
        <v>59</v>
      </c>
      <c r="G225" s="84">
        <f>IF(Trabajos!I225="","",Trabajos!I225)</f>
        <v>3467.5</v>
      </c>
      <c r="H225" s="84">
        <f>IF(Trabajos!J225="","",Trabajos!J225)</f>
        <v>204582.5</v>
      </c>
      <c r="I225" s="107">
        <f>IF(Trabajos!M225="","",Trabajos!M225)</f>
        <v>90</v>
      </c>
      <c r="J225" s="84">
        <f>IF(Trabajos!N225="","",Trabajos!N225)</f>
        <v>650</v>
      </c>
      <c r="K225" s="84">
        <f>IF(Trabajos!O225="","",Trabajos!O225)</f>
        <v>58500</v>
      </c>
      <c r="L225" s="84">
        <f>IF(Trabajos!P225="","",Trabajos!P225)</f>
        <v>263082.5</v>
      </c>
    </row>
    <row r="226" spans="2:12" x14ac:dyDescent="0.25">
      <c r="B226" s="106">
        <f>IF(Trabajos!B226="","",Trabajos!B226)</f>
        <v>45970</v>
      </c>
      <c r="C226" s="70" t="str">
        <f>IF(Trabajos!F226="","",Trabajos!F226)</f>
        <v>Espartina S.A.</v>
      </c>
      <c r="D226" s="70" t="str">
        <f>IF(Trabajos!D226="","",Trabajos!D226)</f>
        <v>Aplicación de cebos</v>
      </c>
      <c r="E226" s="70" t="str">
        <f>IF(Trabajos!G226="","",Trabajos!G226)</f>
        <v>La Cachila</v>
      </c>
      <c r="F226" s="108">
        <f>IF(Trabajos!H226="","",Trabajos!H226)</f>
        <v>60</v>
      </c>
      <c r="G226" s="84">
        <f>IF(Trabajos!I226="","",Trabajos!I226)</f>
        <v>7250</v>
      </c>
      <c r="H226" s="84">
        <f>IF(Trabajos!J226="","",Trabajos!J226)</f>
        <v>435000</v>
      </c>
      <c r="I226" s="107">
        <f>IF(Trabajos!M226="","",Trabajos!M226)</f>
        <v>230</v>
      </c>
      <c r="J226" s="84">
        <f>IF(Trabajos!N226="","",Trabajos!N226)</f>
        <v>633.85</v>
      </c>
      <c r="K226" s="84">
        <f>IF(Trabajos!O226="","",Trabajos!O226)</f>
        <v>145785.5</v>
      </c>
      <c r="L226" s="84">
        <f>IF(Trabajos!P226="","",Trabajos!P226)</f>
        <v>580785.5</v>
      </c>
    </row>
    <row r="227" spans="2:12" x14ac:dyDescent="0.25">
      <c r="B227" s="106">
        <f>IF(Trabajos!B227="","",Trabajos!B227)</f>
        <v>45970</v>
      </c>
      <c r="C227" s="70" t="str">
        <f>IF(Trabajos!F227="","",Trabajos!F227)</f>
        <v>Espartina S.A.</v>
      </c>
      <c r="D227" s="70" t="str">
        <f>IF(Trabajos!D227="","",Trabajos!D227)</f>
        <v>Aplicación de cebos</v>
      </c>
      <c r="E227" s="70" t="str">
        <f>IF(Trabajos!G227="","",Trabajos!G227)</f>
        <v>Las Overas</v>
      </c>
      <c r="F227" s="108">
        <f>IF(Trabajos!H227="","",Trabajos!H227)</f>
        <v>37</v>
      </c>
      <c r="G227" s="84">
        <f>IF(Trabajos!I227="","",Trabajos!I227)</f>
        <v>7250</v>
      </c>
      <c r="H227" s="84">
        <f>IF(Trabajos!J227="","",Trabajos!J227)</f>
        <v>268250</v>
      </c>
      <c r="I227" s="107">
        <f>IF(Trabajos!M227="","",Trabajos!M227)</f>
        <v>236</v>
      </c>
      <c r="J227" s="84">
        <f>IF(Trabajos!N227="","",Trabajos!N227)</f>
        <v>633.85</v>
      </c>
      <c r="K227" s="84">
        <f>IF(Trabajos!O227="","",Trabajos!O227)</f>
        <v>149588.6</v>
      </c>
      <c r="L227" s="84">
        <f>IF(Trabajos!P227="","",Trabajos!P227)</f>
        <v>417838.6</v>
      </c>
    </row>
    <row r="228" spans="2:12" x14ac:dyDescent="0.25">
      <c r="B228" s="106">
        <f>IF(Trabajos!B228="","",Trabajos!B228)</f>
        <v>45969</v>
      </c>
      <c r="C228" s="70" t="str">
        <f>IF(Trabajos!F228="","",Trabajos!F228)</f>
        <v>Espartina S.A.</v>
      </c>
      <c r="D228" s="70" t="str">
        <f>IF(Trabajos!D228="","",Trabajos!D228)</f>
        <v>Aplicación de cebos</v>
      </c>
      <c r="E228" s="70" t="str">
        <f>IF(Trabajos!G228="","",Trabajos!G228)</f>
        <v>San Narciso</v>
      </c>
      <c r="F228" s="108">
        <f>IF(Trabajos!H228="","",Trabajos!H228)</f>
        <v>100</v>
      </c>
      <c r="G228" s="84">
        <f>IF(Trabajos!I228="","",Trabajos!I228)</f>
        <v>7267.5</v>
      </c>
      <c r="H228" s="84">
        <f>IF(Trabajos!J228="","",Trabajos!J228)</f>
        <v>726750</v>
      </c>
      <c r="I228" s="107">
        <f>IF(Trabajos!M228="","",Trabajos!M228)</f>
        <v>208</v>
      </c>
      <c r="J228" s="84">
        <f>IF(Trabajos!N228="","",Trabajos!N228)</f>
        <v>633.85</v>
      </c>
      <c r="K228" s="84">
        <f>IF(Trabajos!O228="","",Trabajos!O228)</f>
        <v>131840.80000000002</v>
      </c>
      <c r="L228" s="84">
        <f>IF(Trabajos!P228="","",Trabajos!P228)</f>
        <v>858590.8</v>
      </c>
    </row>
    <row r="229" spans="2:12" x14ac:dyDescent="0.25">
      <c r="B229" s="106">
        <f>IF(Trabajos!B229="","",Trabajos!B229)</f>
        <v>45970</v>
      </c>
      <c r="C229" s="70" t="str">
        <f>IF(Trabajos!F229="","",Trabajos!F229)</f>
        <v>Cía. de Tierras Sud Argentino S.A.</v>
      </c>
      <c r="D229" s="70" t="str">
        <f>IF(Trabajos!D229="","",Trabajos!D229)</f>
        <v>Aplicación de cebos</v>
      </c>
      <c r="E229" s="70" t="str">
        <f>IF(Trabajos!G229="","",Trabajos!G229)</f>
        <v>Santa Marta</v>
      </c>
      <c r="F229" s="108">
        <f>IF(Trabajos!H229="","",Trabajos!H229)</f>
        <v>40</v>
      </c>
      <c r="G229" s="84">
        <f>IF(Trabajos!I229="","",Trabajos!I229)</f>
        <v>7267.5</v>
      </c>
      <c r="H229" s="84">
        <f>IF(Trabajos!J229="","",Trabajos!J229)</f>
        <v>290700</v>
      </c>
      <c r="I229" s="107">
        <f>IF(Trabajos!M229="","",Trabajos!M229)</f>
        <v>50</v>
      </c>
      <c r="J229" s="84">
        <f>IF(Trabajos!N229="","",Trabajos!N229)</f>
        <v>650</v>
      </c>
      <c r="K229" s="84">
        <f>IF(Trabajos!O229="","",Trabajos!O229)</f>
        <v>32500</v>
      </c>
      <c r="L229" s="84">
        <f>IF(Trabajos!P229="","",Trabajos!P229)</f>
        <v>323200</v>
      </c>
    </row>
    <row r="230" spans="2:12" x14ac:dyDescent="0.25">
      <c r="B230" s="106">
        <f>IF(Trabajos!B230="","",Trabajos!B230)</f>
        <v>45970</v>
      </c>
      <c r="C230" s="70" t="str">
        <f>IF(Trabajos!F230="","",Trabajos!F230)</f>
        <v>Espartina S.A.</v>
      </c>
      <c r="D230" s="70" t="str">
        <f>IF(Trabajos!D230="","",Trabajos!D230)</f>
        <v>Aplicación de cebos</v>
      </c>
      <c r="E230" s="70" t="str">
        <f>IF(Trabajos!G230="","",Trabajos!G230)</f>
        <v>San Narciso</v>
      </c>
      <c r="F230" s="108">
        <f>IF(Trabajos!H230="","",Trabajos!H230)</f>
        <v>120</v>
      </c>
      <c r="G230" s="84">
        <f>IF(Trabajos!I230="","",Trabajos!I230)</f>
        <v>7267.5</v>
      </c>
      <c r="H230" s="84">
        <f>IF(Trabajos!J230="","",Trabajos!J230)</f>
        <v>872100</v>
      </c>
      <c r="I230" s="107">
        <f>IF(Trabajos!M230="","",Trabajos!M230)</f>
        <v>208</v>
      </c>
      <c r="J230" s="84">
        <f>IF(Trabajos!N230="","",Trabajos!N230)</f>
        <v>633.85</v>
      </c>
      <c r="K230" s="84">
        <f>IF(Trabajos!O230="","",Trabajos!O230)</f>
        <v>131840.80000000002</v>
      </c>
      <c r="L230" s="84">
        <f>IF(Trabajos!P230="","",Trabajos!P230)</f>
        <v>1003940.8</v>
      </c>
    </row>
    <row r="231" spans="2:12" x14ac:dyDescent="0.25">
      <c r="B231" s="106">
        <f>IF(Trabajos!B231="","",Trabajos!B231)</f>
        <v>45970</v>
      </c>
      <c r="C231" s="70" t="str">
        <f>IF(Trabajos!F231="","",Trabajos!F231)</f>
        <v>Piray Mini</v>
      </c>
      <c r="D231" s="70" t="str">
        <f>IF(Trabajos!D231="","",Trabajos!D231)</f>
        <v>Monitoreo de bb y bab</v>
      </c>
      <c r="E231" s="70" t="str">
        <f>IF(Trabajos!G231="","",Trabajos!G231)</f>
        <v>Las Mercedes</v>
      </c>
      <c r="F231" s="108">
        <f>IF(Trabajos!H231="","",Trabajos!H231)</f>
        <v>250</v>
      </c>
      <c r="G231" s="84">
        <f>IF(Trabajos!I231="","",Trabajos!I231)</f>
        <v>3628.75</v>
      </c>
      <c r="H231" s="84">
        <f>IF(Trabajos!J231="","",Trabajos!J231)</f>
        <v>907187.5</v>
      </c>
      <c r="I231" s="107">
        <f>IF(Trabajos!M231="","",Trabajos!M231)</f>
        <v>72</v>
      </c>
      <c r="J231" s="84">
        <f>IF(Trabajos!N231="","",Trabajos!N231)</f>
        <v>650</v>
      </c>
      <c r="K231" s="84">
        <f>IF(Trabajos!O231="","",Trabajos!O231)</f>
        <v>46800</v>
      </c>
      <c r="L231" s="84">
        <f>IF(Trabajos!P231="","",Trabajos!P231)</f>
        <v>953987.5</v>
      </c>
    </row>
    <row r="232" spans="2:12" x14ac:dyDescent="0.25">
      <c r="B232" s="106">
        <f>IF(Trabajos!B232="","",Trabajos!B232)</f>
        <v>45971</v>
      </c>
      <c r="C232" s="70" t="str">
        <f>IF(Trabajos!F232="","",Trabajos!F232)</f>
        <v>Espartina S.A.</v>
      </c>
      <c r="D232" s="70" t="str">
        <f>IF(Trabajos!D232="","",Trabajos!D232)</f>
        <v>Aplicación de cebos</v>
      </c>
      <c r="E232" s="70" t="str">
        <f>IF(Trabajos!G232="","",Trabajos!G232)</f>
        <v>La Trinidad</v>
      </c>
      <c r="F232" s="108">
        <f>IF(Trabajos!H232="","",Trabajos!H232)</f>
        <v>110</v>
      </c>
      <c r="G232" s="84">
        <f>IF(Trabajos!I232="","",Trabajos!I232)</f>
        <v>7250</v>
      </c>
      <c r="H232" s="84">
        <f>IF(Trabajos!J232="","",Trabajos!J232)</f>
        <v>797500</v>
      </c>
      <c r="I232" s="107">
        <f>IF(Trabajos!M232="","",Trabajos!M232)</f>
        <v>164</v>
      </c>
      <c r="J232" s="84">
        <f>IF(Trabajos!N232="","",Trabajos!N232)</f>
        <v>633.85</v>
      </c>
      <c r="K232" s="84">
        <f>IF(Trabajos!O232="","",Trabajos!O232)</f>
        <v>103951.40000000001</v>
      </c>
      <c r="L232" s="84">
        <f>IF(Trabajos!P232="","",Trabajos!P232)</f>
        <v>901451.4</v>
      </c>
    </row>
    <row r="233" spans="2:12" x14ac:dyDescent="0.25">
      <c r="B233" s="106">
        <f>IF(Trabajos!B233="","",Trabajos!B233)</f>
        <v>45971</v>
      </c>
      <c r="C233" s="70" t="str">
        <f>IF(Trabajos!F233="","",Trabajos!F233)</f>
        <v>Espartina S.A.</v>
      </c>
      <c r="D233" s="70" t="str">
        <f>IF(Trabajos!D233="","",Trabajos!D233)</f>
        <v>Aplicación de cebos</v>
      </c>
      <c r="E233" s="70" t="str">
        <f>IF(Trabajos!G233="","",Trabajos!G233)</f>
        <v>La Magdalena</v>
      </c>
      <c r="F233" s="108">
        <f>IF(Trabajos!H233="","",Trabajos!H233)</f>
        <v>121</v>
      </c>
      <c r="G233" s="84">
        <f>IF(Trabajos!I233="","",Trabajos!I233)</f>
        <v>7267.5</v>
      </c>
      <c r="H233" s="84">
        <f>IF(Trabajos!J233="","",Trabajos!J233)</f>
        <v>879367.5</v>
      </c>
      <c r="I233" s="107">
        <f>IF(Trabajos!M233="","",Trabajos!M233)</f>
        <v>117</v>
      </c>
      <c r="J233" s="84">
        <f>IF(Trabajos!N233="","",Trabajos!N233)</f>
        <v>633.85</v>
      </c>
      <c r="K233" s="84">
        <f>IF(Trabajos!O233="","",Trabajos!O233)</f>
        <v>74160.45</v>
      </c>
      <c r="L233" s="84">
        <f>IF(Trabajos!P233="","",Trabajos!P233)</f>
        <v>953527.95</v>
      </c>
    </row>
    <row r="234" spans="2:12" x14ac:dyDescent="0.25">
      <c r="B234" s="106">
        <f>IF(Trabajos!B234="","",Trabajos!B234)</f>
        <v>45971</v>
      </c>
      <c r="C234" s="70" t="str">
        <f>IF(Trabajos!F234="","",Trabajos!F234)</f>
        <v>Espartina S.A.</v>
      </c>
      <c r="D234" s="70" t="str">
        <f>IF(Trabajos!D234="","",Trabajos!D234)</f>
        <v>Monitoreo de bb y bab</v>
      </c>
      <c r="E234" s="70" t="str">
        <f>IF(Trabajos!G234="","",Trabajos!G234)</f>
        <v>Loma Blanca</v>
      </c>
      <c r="F234" s="108">
        <f>IF(Trabajos!H234="","",Trabajos!H234)</f>
        <v>220</v>
      </c>
      <c r="G234" s="84">
        <f>IF(Trabajos!I234="","",Trabajos!I234)</f>
        <v>3262.5</v>
      </c>
      <c r="H234" s="84">
        <f>IF(Trabajos!J234="","",Trabajos!J234)</f>
        <v>717750</v>
      </c>
      <c r="I234" s="107">
        <f>IF(Trabajos!M234="","",Trabajos!M234)</f>
        <v>328</v>
      </c>
      <c r="J234" s="84">
        <f>IF(Trabajos!N234="","",Trabajos!N234)</f>
        <v>633.85</v>
      </c>
      <c r="K234" s="84">
        <f>IF(Trabajos!O234="","",Trabajos!O234)</f>
        <v>207902.80000000002</v>
      </c>
      <c r="L234" s="84">
        <f>IF(Trabajos!P234="","",Trabajos!P234)</f>
        <v>925652.8</v>
      </c>
    </row>
    <row r="235" spans="2:12" x14ac:dyDescent="0.25">
      <c r="B235" s="106">
        <f>IF(Trabajos!B235="","",Trabajos!B235)</f>
        <v>45971</v>
      </c>
      <c r="C235" s="70" t="str">
        <f>IF(Trabajos!F235="","",Trabajos!F235)</f>
        <v>Espartina S.A.</v>
      </c>
      <c r="D235" s="70" t="str">
        <f>IF(Trabajos!D235="","",Trabajos!D235)</f>
        <v>Monitoreo de bb y bab</v>
      </c>
      <c r="E235" s="70" t="str">
        <f>IF(Trabajos!G235="","",Trabajos!G235)</f>
        <v>Loma Blanca</v>
      </c>
      <c r="F235" s="108">
        <f>IF(Trabajos!H235="","",Trabajos!H235)</f>
        <v>180</v>
      </c>
      <c r="G235" s="84">
        <f>IF(Trabajos!I235="","",Trabajos!I235)</f>
        <v>3262.5</v>
      </c>
      <c r="H235" s="84">
        <f>IF(Trabajos!J235="","",Trabajos!J235)</f>
        <v>587250</v>
      </c>
      <c r="I235" s="107">
        <f>IF(Trabajos!M235="","",Trabajos!M235)</f>
        <v>328</v>
      </c>
      <c r="J235" s="84">
        <f>IF(Trabajos!N235="","",Trabajos!N235)</f>
        <v>633.85</v>
      </c>
      <c r="K235" s="84">
        <f>IF(Trabajos!O235="","",Trabajos!O235)</f>
        <v>207902.80000000002</v>
      </c>
      <c r="L235" s="84">
        <f>IF(Trabajos!P235="","",Trabajos!P235)</f>
        <v>795152.8</v>
      </c>
    </row>
    <row r="236" spans="2:12" x14ac:dyDescent="0.25">
      <c r="B236" s="106">
        <f>IF(Trabajos!B236="","",Trabajos!B236)</f>
        <v>45972</v>
      </c>
      <c r="C236" s="70" t="str">
        <f>IF(Trabajos!F236="","",Trabajos!F236)</f>
        <v>Espartina S.A.</v>
      </c>
      <c r="D236" s="70" t="str">
        <f>IF(Trabajos!D236="","",Trabajos!D236)</f>
        <v>Monitoreo de bb y bab</v>
      </c>
      <c r="E236" s="70" t="str">
        <f>IF(Trabajos!G236="","",Trabajos!G236)</f>
        <v>Mallinco</v>
      </c>
      <c r="F236" s="108">
        <f>IF(Trabajos!H236="","",Trabajos!H236)</f>
        <v>108</v>
      </c>
      <c r="G236" s="84">
        <f>IF(Trabajos!I236="","",Trabajos!I236)</f>
        <v>3262.5</v>
      </c>
      <c r="H236" s="84">
        <f>IF(Trabajos!J236="","",Trabajos!J236)</f>
        <v>352350</v>
      </c>
      <c r="I236" s="107">
        <f>IF(Trabajos!M236="","",Trabajos!M236)</f>
        <v>186</v>
      </c>
      <c r="J236" s="84">
        <f>IF(Trabajos!N236="","",Trabajos!N236)</f>
        <v>633.85</v>
      </c>
      <c r="K236" s="84">
        <f>IF(Trabajos!O236="","",Trabajos!O236)</f>
        <v>117896.1</v>
      </c>
      <c r="L236" s="84">
        <f>IF(Trabajos!P236="","",Trabajos!P236)</f>
        <v>470246.1</v>
      </c>
    </row>
    <row r="237" spans="2:12" x14ac:dyDescent="0.25">
      <c r="B237" s="106">
        <f>IF(Trabajos!B237="","",Trabajos!B237)</f>
        <v>45972</v>
      </c>
      <c r="C237" s="70" t="str">
        <f>IF(Trabajos!F237="","",Trabajos!F237)</f>
        <v>La Mylucha</v>
      </c>
      <c r="D237" s="70" t="str">
        <f>IF(Trabajos!D237="","",Trabajos!D237)</f>
        <v>Aplicación de cebos</v>
      </c>
      <c r="E237" s="70" t="str">
        <f>IF(Trabajos!G237="","",Trabajos!G237)</f>
        <v>La Mylucha</v>
      </c>
      <c r="F237" s="108">
        <f>IF(Trabajos!H237="","",Trabajos!H237)</f>
        <v>22</v>
      </c>
      <c r="G237" s="84">
        <f>IF(Trabajos!I237="","",Trabajos!I237)</f>
        <v>7257.5</v>
      </c>
      <c r="H237" s="84">
        <f>IF(Trabajos!J237="","",Trabajos!J237)</f>
        <v>159665</v>
      </c>
      <c r="I237" s="107">
        <f>IF(Trabajos!M237="","",Trabajos!M237)</f>
        <v>40</v>
      </c>
      <c r="J237" s="84">
        <f>IF(Trabajos!N237="","",Trabajos!N237)</f>
        <v>650</v>
      </c>
      <c r="K237" s="84">
        <f>IF(Trabajos!O237="","",Trabajos!O237)</f>
        <v>26000</v>
      </c>
      <c r="L237" s="84">
        <f>IF(Trabajos!P237="","",Trabajos!P237)</f>
        <v>185665</v>
      </c>
    </row>
    <row r="238" spans="2:12" x14ac:dyDescent="0.25">
      <c r="B238" s="106">
        <f>IF(Trabajos!B238="","",Trabajos!B238)</f>
        <v>45972</v>
      </c>
      <c r="C238" s="70" t="str">
        <f>IF(Trabajos!F238="","",Trabajos!F238)</f>
        <v>Soledad Gutierrez</v>
      </c>
      <c r="D238" s="70" t="str">
        <f>IF(Trabajos!D238="","",Trabajos!D238)</f>
        <v>Monitoreo de bb y bab</v>
      </c>
      <c r="E238" s="70" t="str">
        <f>IF(Trabajos!G238="","",Trabajos!G238)</f>
        <v>El Pensamiento</v>
      </c>
      <c r="F238" s="108">
        <f>IF(Trabajos!H238="","",Trabajos!H238)</f>
        <v>96</v>
      </c>
      <c r="G238" s="84">
        <f>IF(Trabajos!I238="","",Trabajos!I238)</f>
        <v>3500</v>
      </c>
      <c r="H238" s="84">
        <f>IF(Trabajos!J238="","",Trabajos!J238)</f>
        <v>336000</v>
      </c>
      <c r="I238" s="107">
        <f>IF(Trabajos!M238="","",Trabajos!M238)</f>
        <v>104</v>
      </c>
      <c r="J238" s="84">
        <f>IF(Trabajos!N238="","",Trabajos!N238)</f>
        <v>650</v>
      </c>
      <c r="K238" s="84">
        <f>IF(Trabajos!O238="","",Trabajos!O238)</f>
        <v>67600</v>
      </c>
      <c r="L238" s="84">
        <f>IF(Trabajos!P238="","",Trabajos!P238)</f>
        <v>403600</v>
      </c>
    </row>
    <row r="239" spans="2:12" x14ac:dyDescent="0.25">
      <c r="B239" s="106">
        <f>IF(Trabajos!B239="","",Trabajos!B239)</f>
        <v>45972</v>
      </c>
      <c r="C239" s="70" t="str">
        <f>IF(Trabajos!F239="","",Trabajos!F239)</f>
        <v>Soledad Gutierrez</v>
      </c>
      <c r="D239" s="70" t="str">
        <f>IF(Trabajos!D239="","",Trabajos!D239)</f>
        <v>Monitoreo de bb y bab</v>
      </c>
      <c r="E239" s="70" t="str">
        <f>IF(Trabajos!G239="","",Trabajos!G239)</f>
        <v>El Verano</v>
      </c>
      <c r="F239" s="108">
        <f>IF(Trabajos!H239="","",Trabajos!H239)</f>
        <v>52</v>
      </c>
      <c r="G239" s="84">
        <f>IF(Trabajos!I239="","",Trabajos!I239)</f>
        <v>3500</v>
      </c>
      <c r="H239" s="84">
        <f>IF(Trabajos!J239="","",Trabajos!J239)</f>
        <v>182000</v>
      </c>
      <c r="I239" s="107">
        <f>IF(Trabajos!M239="","",Trabajos!M239)</f>
        <v>0</v>
      </c>
      <c r="J239" s="84">
        <f>IF(Trabajos!N239="","",Trabajos!N239)</f>
        <v>650</v>
      </c>
      <c r="K239" s="84">
        <f>IF(Trabajos!O239="","",Trabajos!O239)</f>
        <v>0</v>
      </c>
      <c r="L239" s="84">
        <f>IF(Trabajos!P239="","",Trabajos!P239)</f>
        <v>182000</v>
      </c>
    </row>
    <row r="240" spans="2:12" x14ac:dyDescent="0.25">
      <c r="B240" s="106">
        <f>IF(Trabajos!B240="","",Trabajos!B240)</f>
        <v>45972</v>
      </c>
      <c r="C240" s="70" t="str">
        <f>IF(Trabajos!F240="","",Trabajos!F240)</f>
        <v>Sebastian Martos</v>
      </c>
      <c r="D240" s="70" t="str">
        <f>IF(Trabajos!D240="","",Trabajos!D240)</f>
        <v>Monitoreo de bb y bab</v>
      </c>
      <c r="E240" s="70" t="str">
        <f>IF(Trabajos!G240="","",Trabajos!G240)</f>
        <v>La Colonia</v>
      </c>
      <c r="F240" s="108">
        <f>IF(Trabajos!H240="","",Trabajos!H240)</f>
        <v>73</v>
      </c>
      <c r="G240" s="84">
        <f>IF(Trabajos!I240="","",Trabajos!I240)</f>
        <v>3628.75</v>
      </c>
      <c r="H240" s="84">
        <f>IF(Trabajos!J240="","",Trabajos!J240)</f>
        <v>264898.75</v>
      </c>
      <c r="I240" s="107">
        <f>IF(Trabajos!M240="","",Trabajos!M240)</f>
        <v>28</v>
      </c>
      <c r="J240" s="84">
        <f>IF(Trabajos!N240="","",Trabajos!N240)</f>
        <v>650</v>
      </c>
      <c r="K240" s="84">
        <f>IF(Trabajos!O240="","",Trabajos!O240)</f>
        <v>18200</v>
      </c>
      <c r="L240" s="84">
        <f>IF(Trabajos!P240="","",Trabajos!P240)</f>
        <v>283098.75</v>
      </c>
    </row>
    <row r="241" spans="2:12" x14ac:dyDescent="0.25">
      <c r="B241" s="106">
        <f>IF(Trabajos!B241="","",Trabajos!B241)</f>
        <v>45973</v>
      </c>
      <c r="C241" s="70" t="str">
        <f>IF(Trabajos!F241="","",Trabajos!F241)</f>
        <v>Juan Rodriguez Rivas</v>
      </c>
      <c r="D241" s="70" t="str">
        <f>IF(Trabajos!D241="","",Trabajos!D241)</f>
        <v>Aplicación de cebos</v>
      </c>
      <c r="E241" s="70" t="str">
        <f>IF(Trabajos!G241="","",Trabajos!G241)</f>
        <v>San Agustin</v>
      </c>
      <c r="F241" s="108">
        <f>IF(Trabajos!H241="","",Trabajos!H241)</f>
        <v>195</v>
      </c>
      <c r="G241" s="84">
        <f>IF(Trabajos!I241="","",Trabajos!I241)</f>
        <v>7032.5</v>
      </c>
      <c r="H241" s="84">
        <f>IF(Trabajos!J241="","",Trabajos!J241)</f>
        <v>1371337.5</v>
      </c>
      <c r="I241" s="107">
        <f>IF(Trabajos!M241="","",Trabajos!M241)</f>
        <v>246</v>
      </c>
      <c r="J241" s="84">
        <f>IF(Trabajos!N241="","",Trabajos!N241)</f>
        <v>650</v>
      </c>
      <c r="K241" s="84">
        <f>IF(Trabajos!O241="","",Trabajos!O241)</f>
        <v>159900</v>
      </c>
      <c r="L241" s="84">
        <f>IF(Trabajos!P241="","",Trabajos!P241)</f>
        <v>1531237.5</v>
      </c>
    </row>
    <row r="242" spans="2:12" x14ac:dyDescent="0.25">
      <c r="B242" s="106">
        <f>IF(Trabajos!B242="","",Trabajos!B242)</f>
        <v>45973</v>
      </c>
      <c r="C242" s="70" t="str">
        <f>IF(Trabajos!F242="","",Trabajos!F242)</f>
        <v>Sebastian Martos</v>
      </c>
      <c r="D242" s="70" t="str">
        <f>IF(Trabajos!D242="","",Trabajos!D242)</f>
        <v>Aplicación de cebos</v>
      </c>
      <c r="E242" s="70" t="str">
        <f>IF(Trabajos!G242="","",Trabajos!G242)</f>
        <v>Fasciglione</v>
      </c>
      <c r="F242" s="108">
        <f>IF(Trabajos!H242="","",Trabajos!H242)</f>
        <v>26</v>
      </c>
      <c r="G242" s="84">
        <f>IF(Trabajos!I242="","",Trabajos!I242)</f>
        <v>7257.5</v>
      </c>
      <c r="H242" s="84">
        <f>IF(Trabajos!J242="","",Trabajos!J242)</f>
        <v>188695</v>
      </c>
      <c r="I242" s="107">
        <f>IF(Trabajos!M242="","",Trabajos!M242)</f>
        <v>24</v>
      </c>
      <c r="J242" s="84">
        <f>IF(Trabajos!N242="","",Trabajos!N242)</f>
        <v>650</v>
      </c>
      <c r="K242" s="84">
        <f>IF(Trabajos!O242="","",Trabajos!O242)</f>
        <v>15600</v>
      </c>
      <c r="L242" s="84">
        <f>IF(Trabajos!P242="","",Trabajos!P242)</f>
        <v>204295</v>
      </c>
    </row>
    <row r="243" spans="2:12" x14ac:dyDescent="0.25">
      <c r="B243" s="106">
        <f>IF(Trabajos!B243="","",Trabajos!B243)</f>
        <v>45973</v>
      </c>
      <c r="C243" s="70" t="str">
        <f>IF(Trabajos!F243="","",Trabajos!F243)</f>
        <v>Piray Mini</v>
      </c>
      <c r="D243" s="70" t="str">
        <f>IF(Trabajos!D243="","",Trabajos!D243)</f>
        <v>Aplicación de cebos</v>
      </c>
      <c r="E243" s="70" t="str">
        <f>IF(Trabajos!G243="","",Trabajos!G243)</f>
        <v>Las Mercedes</v>
      </c>
      <c r="F243" s="108">
        <f>IF(Trabajos!H243="","",Trabajos!H243)</f>
        <v>44</v>
      </c>
      <c r="G243" s="84">
        <f>IF(Trabajos!I243="","",Trabajos!I243)</f>
        <v>7257.5</v>
      </c>
      <c r="H243" s="84">
        <f>IF(Trabajos!J243="","",Trabajos!J243)</f>
        <v>319330</v>
      </c>
      <c r="I243" s="107">
        <f>IF(Trabajos!M243="","",Trabajos!M243)</f>
        <v>72</v>
      </c>
      <c r="J243" s="84">
        <f>IF(Trabajos!N243="","",Trabajos!N243)</f>
        <v>650</v>
      </c>
      <c r="K243" s="84">
        <f>IF(Trabajos!O243="","",Trabajos!O243)</f>
        <v>46800</v>
      </c>
      <c r="L243" s="84">
        <f>IF(Trabajos!P243="","",Trabajos!P243)</f>
        <v>366130</v>
      </c>
    </row>
    <row r="244" spans="2:12" x14ac:dyDescent="0.25">
      <c r="B244" s="106">
        <f>IF(Trabajos!B244="","",Trabajos!B244)</f>
        <v>45973</v>
      </c>
      <c r="C244" s="70" t="str">
        <f>IF(Trabajos!F244="","",Trabajos!F244)</f>
        <v>Patricia Ricci</v>
      </c>
      <c r="D244" s="70" t="str">
        <f>IF(Trabajos!D244="","",Trabajos!D244)</f>
        <v>Aplicación de cebos</v>
      </c>
      <c r="E244" s="70" t="str">
        <f>IF(Trabajos!G244="","",Trabajos!G244)</f>
        <v>San Manuel</v>
      </c>
      <c r="F244" s="108">
        <f>IF(Trabajos!H244="","",Trabajos!H244)</f>
        <v>55</v>
      </c>
      <c r="G244" s="84">
        <f>IF(Trabajos!I244="","",Trabajos!I244)</f>
        <v>7257.5</v>
      </c>
      <c r="H244" s="84">
        <f>IF(Trabajos!J244="","",Trabajos!J244)</f>
        <v>399162.5</v>
      </c>
      <c r="I244" s="107">
        <f>IF(Trabajos!M244="","",Trabajos!M244)</f>
        <v>170</v>
      </c>
      <c r="J244" s="84">
        <f>IF(Trabajos!N244="","",Trabajos!N244)</f>
        <v>650</v>
      </c>
      <c r="K244" s="84">
        <f>IF(Trabajos!O244="","",Trabajos!O244)</f>
        <v>110500</v>
      </c>
      <c r="L244" s="84">
        <f>IF(Trabajos!P244="","",Trabajos!P244)</f>
        <v>509662.5</v>
      </c>
    </row>
    <row r="245" spans="2:12" x14ac:dyDescent="0.25">
      <c r="B245" s="106">
        <f>IF(Trabajos!B245="","",Trabajos!B245)</f>
        <v>45973</v>
      </c>
      <c r="C245" s="70" t="str">
        <f>IF(Trabajos!F245="","",Trabajos!F245)</f>
        <v>Espartina S.A.</v>
      </c>
      <c r="D245" s="70" t="str">
        <f>IF(Trabajos!D245="","",Trabajos!D245)</f>
        <v>Aplicación de cebos</v>
      </c>
      <c r="E245" s="70" t="str">
        <f>IF(Trabajos!G245="","",Trabajos!G245)</f>
        <v>San Jose</v>
      </c>
      <c r="F245" s="108">
        <f>IF(Trabajos!H245="","",Trabajos!H245)</f>
        <v>104</v>
      </c>
      <c r="G245" s="84">
        <f>IF(Trabajos!I245="","",Trabajos!I245)</f>
        <v>7267.5</v>
      </c>
      <c r="H245" s="84">
        <f>IF(Trabajos!J245="","",Trabajos!J245)</f>
        <v>755820</v>
      </c>
      <c r="I245" s="107">
        <f>IF(Trabajos!M245="","",Trabajos!M245)</f>
        <v>185</v>
      </c>
      <c r="J245" s="84">
        <f>IF(Trabajos!N245="","",Trabajos!N245)</f>
        <v>633.85</v>
      </c>
      <c r="K245" s="84">
        <f>IF(Trabajos!O245="","",Trabajos!O245)</f>
        <v>117262.25</v>
      </c>
      <c r="L245" s="84">
        <f>IF(Trabajos!P245="","",Trabajos!P245)</f>
        <v>873082.25</v>
      </c>
    </row>
    <row r="246" spans="2:12" x14ac:dyDescent="0.25">
      <c r="B246" s="106">
        <f>IF(Trabajos!B246="","",Trabajos!B246)</f>
        <v>45973</v>
      </c>
      <c r="C246" s="70" t="str">
        <f>IF(Trabajos!F246="","",Trabajos!F246)</f>
        <v>Espartina S.A.</v>
      </c>
      <c r="D246" s="70" t="str">
        <f>IF(Trabajos!D246="","",Trabajos!D246)</f>
        <v>Aplicación de cebos</v>
      </c>
      <c r="E246" s="70" t="str">
        <f>IF(Trabajos!G246="","",Trabajos!G246)</f>
        <v>La Magdalena</v>
      </c>
      <c r="F246" s="108">
        <f>IF(Trabajos!H246="","",Trabajos!H246)</f>
        <v>147</v>
      </c>
      <c r="G246" s="84">
        <f>IF(Trabajos!I246="","",Trabajos!I246)</f>
        <v>7267.5</v>
      </c>
      <c r="H246" s="84">
        <f>IF(Trabajos!J246="","",Trabajos!J246)</f>
        <v>1068322.5</v>
      </c>
      <c r="I246" s="107">
        <f>IF(Trabajos!M246="","",Trabajos!M246)</f>
        <v>117</v>
      </c>
      <c r="J246" s="84">
        <f>IF(Trabajos!N246="","",Trabajos!N246)</f>
        <v>633.85</v>
      </c>
      <c r="K246" s="84">
        <f>IF(Trabajos!O246="","",Trabajos!O246)</f>
        <v>74160.45</v>
      </c>
      <c r="L246" s="84">
        <f>IF(Trabajos!P246="","",Trabajos!P246)</f>
        <v>1142482.95</v>
      </c>
    </row>
    <row r="247" spans="2:12" x14ac:dyDescent="0.25">
      <c r="B247" s="106">
        <f>IF(Trabajos!B247="","",Trabajos!B247)</f>
        <v>45973</v>
      </c>
      <c r="C247" s="70" t="str">
        <f>IF(Trabajos!F247="","",Trabajos!F247)</f>
        <v>Vitalpor S.A.</v>
      </c>
      <c r="D247" s="70" t="str">
        <f>IF(Trabajos!D247="","",Trabajos!D247)</f>
        <v>Monitoreo de bb y bab</v>
      </c>
      <c r="E247" s="70" t="str">
        <f>IF(Trabajos!G247="","",Trabajos!G247)</f>
        <v>Yraizos</v>
      </c>
      <c r="F247" s="108">
        <f>IF(Trabajos!H247="","",Trabajos!H247)</f>
        <v>50</v>
      </c>
      <c r="G247" s="84">
        <f>IF(Trabajos!I247="","",Trabajos!I247)</f>
        <v>3467.5</v>
      </c>
      <c r="H247" s="84">
        <f>IF(Trabajos!J247="","",Trabajos!J247)</f>
        <v>173375</v>
      </c>
      <c r="I247" s="107">
        <f>IF(Trabajos!M247="","",Trabajos!M247)</f>
        <v>0</v>
      </c>
      <c r="J247" s="84">
        <f>IF(Trabajos!N247="","",Trabajos!N247)</f>
        <v>650</v>
      </c>
      <c r="K247" s="84">
        <f>IF(Trabajos!O247="","",Trabajos!O247)</f>
        <v>0</v>
      </c>
      <c r="L247" s="84">
        <f>IF(Trabajos!P247="","",Trabajos!P247)</f>
        <v>173375</v>
      </c>
    </row>
    <row r="248" spans="2:12" x14ac:dyDescent="0.25">
      <c r="B248" s="106">
        <f>IF(Trabajos!B248="","",Trabajos!B248)</f>
        <v>45973</v>
      </c>
      <c r="C248" s="70" t="str">
        <f>IF(Trabajos!F248="","",Trabajos!F248)</f>
        <v>Inalco</v>
      </c>
      <c r="D248" s="70" t="str">
        <f>IF(Trabajos!D248="","",Trabajos!D248)</f>
        <v>Monitoreo de bb y bab</v>
      </c>
      <c r="E248" s="70" t="str">
        <f>IF(Trabajos!G248="","",Trabajos!G248)</f>
        <v>El Pamperito</v>
      </c>
      <c r="F248" s="108">
        <f>IF(Trabajos!H248="","",Trabajos!H248)</f>
        <v>67</v>
      </c>
      <c r="G248" s="84">
        <f>IF(Trabajos!I248="","",Trabajos!I248)</f>
        <v>3610</v>
      </c>
      <c r="H248" s="84">
        <f>IF(Trabajos!J248="","",Trabajos!J248)</f>
        <v>241870</v>
      </c>
      <c r="I248" s="107">
        <f>IF(Trabajos!M248="","",Trabajos!M248)</f>
        <v>208</v>
      </c>
      <c r="J248" s="84">
        <f>IF(Trabajos!N248="","",Trabajos!N248)</f>
        <v>650</v>
      </c>
      <c r="K248" s="84">
        <f>IF(Trabajos!O248="","",Trabajos!O248)</f>
        <v>135200</v>
      </c>
      <c r="L248" s="84">
        <f>IF(Trabajos!P248="","",Trabajos!P248)</f>
        <v>377070</v>
      </c>
    </row>
    <row r="249" spans="2:12" x14ac:dyDescent="0.25">
      <c r="B249" s="106">
        <f>IF(Trabajos!B249="","",Trabajos!B249)</f>
        <v>45973</v>
      </c>
      <c r="C249" s="70" t="str">
        <f>IF(Trabajos!F249="","",Trabajos!F249)</f>
        <v>Domingo y Nestor Scioli</v>
      </c>
      <c r="D249" s="70" t="str">
        <f>IF(Trabajos!D249="","",Trabajos!D249)</f>
        <v>Monitoreo de bb y bab</v>
      </c>
      <c r="E249" s="70" t="str">
        <f>IF(Trabajos!G249="","",Trabajos!G249)</f>
        <v>El Volcan</v>
      </c>
      <c r="F249" s="108">
        <f>IF(Trabajos!H249="","",Trabajos!H249)</f>
        <v>74</v>
      </c>
      <c r="G249" s="84">
        <f>IF(Trabajos!I249="","",Trabajos!I249)</f>
        <v>3633.75</v>
      </c>
      <c r="H249" s="84">
        <f>IF(Trabajos!J249="","",Trabajos!J249)</f>
        <v>268897.5</v>
      </c>
      <c r="I249" s="107">
        <f>IF(Trabajos!M249="","",Trabajos!M249)</f>
        <v>46</v>
      </c>
      <c r="J249" s="84">
        <f>IF(Trabajos!N249="","",Trabajos!N249)</f>
        <v>650</v>
      </c>
      <c r="K249" s="84">
        <f>IF(Trabajos!O249="","",Trabajos!O249)</f>
        <v>29900</v>
      </c>
      <c r="L249" s="84">
        <f>IF(Trabajos!P249="","",Trabajos!P249)</f>
        <v>298797.5</v>
      </c>
    </row>
    <row r="250" spans="2:12" x14ac:dyDescent="0.25">
      <c r="B250" s="106">
        <f>IF(Trabajos!B250="","",Trabajos!B250)</f>
        <v>45974</v>
      </c>
      <c r="C250" s="70" t="str">
        <f>IF(Trabajos!F250="","",Trabajos!F250)</f>
        <v>Espartina S.A.</v>
      </c>
      <c r="D250" s="70" t="str">
        <f>IF(Trabajos!D250="","",Trabajos!D250)</f>
        <v>Aplicación de cebos</v>
      </c>
      <c r="E250" s="70" t="str">
        <f>IF(Trabajos!G250="","",Trabajos!G250)</f>
        <v>Los Charitos</v>
      </c>
      <c r="F250" s="108">
        <f>IF(Trabajos!H250="","",Trabajos!H250)</f>
        <v>157</v>
      </c>
      <c r="G250" s="84">
        <f>IF(Trabajos!I250="","",Trabajos!I250)</f>
        <v>7250</v>
      </c>
      <c r="H250" s="84">
        <f>IF(Trabajos!J250="","",Trabajos!J250)</f>
        <v>1138250</v>
      </c>
      <c r="I250" s="107">
        <f>IF(Trabajos!M250="","",Trabajos!M250)</f>
        <v>294</v>
      </c>
      <c r="J250" s="84">
        <f>IF(Trabajos!N250="","",Trabajos!N250)</f>
        <v>633.85</v>
      </c>
      <c r="K250" s="84">
        <f>IF(Trabajos!O250="","",Trabajos!O250)</f>
        <v>186351.9</v>
      </c>
      <c r="L250" s="84">
        <f>IF(Trabajos!P250="","",Trabajos!P250)</f>
        <v>1324601.8999999999</v>
      </c>
    </row>
    <row r="251" spans="2:12" x14ac:dyDescent="0.25">
      <c r="B251" s="106">
        <f>IF(Trabajos!B251="","",Trabajos!B251)</f>
        <v>45974</v>
      </c>
      <c r="C251" s="70" t="str">
        <f>IF(Trabajos!F251="","",Trabajos!F251)</f>
        <v>Espartina S.A.</v>
      </c>
      <c r="D251" s="70" t="str">
        <f>IF(Trabajos!D251="","",Trabajos!D251)</f>
        <v>Aplicación de cebos</v>
      </c>
      <c r="E251" s="70" t="str">
        <f>IF(Trabajos!G251="","",Trabajos!G251)</f>
        <v xml:space="preserve">La Cantera </v>
      </c>
      <c r="F251" s="108">
        <f>IF(Trabajos!H251="","",Trabajos!H251)</f>
        <v>189</v>
      </c>
      <c r="G251" s="84">
        <f>IF(Trabajos!I251="","",Trabajos!I251)</f>
        <v>7267.5</v>
      </c>
      <c r="H251" s="84">
        <f>IF(Trabajos!J251="","",Trabajos!J251)</f>
        <v>1373557.5</v>
      </c>
      <c r="I251" s="107">
        <f>IF(Trabajos!M251="","",Trabajos!M251)</f>
        <v>50</v>
      </c>
      <c r="J251" s="84">
        <f>IF(Trabajos!N251="","",Trabajos!N251)</f>
        <v>633.85</v>
      </c>
      <c r="K251" s="84">
        <f>IF(Trabajos!O251="","",Trabajos!O251)</f>
        <v>31692.5</v>
      </c>
      <c r="L251" s="84">
        <f>IF(Trabajos!P251="","",Trabajos!P251)</f>
        <v>1405250</v>
      </c>
    </row>
    <row r="252" spans="2:12" x14ac:dyDescent="0.25">
      <c r="B252" s="106">
        <f>IF(Trabajos!B252="","",Trabajos!B252)</f>
        <v>45974</v>
      </c>
      <c r="C252" s="70" t="str">
        <f>IF(Trabajos!F252="","",Trabajos!F252)</f>
        <v>Espartina S.A.</v>
      </c>
      <c r="D252" s="70" t="str">
        <f>IF(Trabajos!D252="","",Trabajos!D252)</f>
        <v>Aplicación de cebos</v>
      </c>
      <c r="E252" s="70" t="str">
        <f>IF(Trabajos!G252="","",Trabajos!G252)</f>
        <v>La Paulina</v>
      </c>
      <c r="F252" s="108">
        <f>IF(Trabajos!H252="","",Trabajos!H252)</f>
        <v>120</v>
      </c>
      <c r="G252" s="84">
        <f>IF(Trabajos!I252="","",Trabajos!I252)</f>
        <v>7250</v>
      </c>
      <c r="H252" s="84">
        <f>IF(Trabajos!J252="","",Trabajos!J252)</f>
        <v>870000</v>
      </c>
      <c r="I252" s="107">
        <f>IF(Trabajos!M252="","",Trabajos!M252)</f>
        <v>260</v>
      </c>
      <c r="J252" s="84">
        <f>IF(Trabajos!N252="","",Trabajos!N252)</f>
        <v>633.85</v>
      </c>
      <c r="K252" s="84">
        <f>IF(Trabajos!O252="","",Trabajos!O252)</f>
        <v>164801</v>
      </c>
      <c r="L252" s="84">
        <f>IF(Trabajos!P252="","",Trabajos!P252)</f>
        <v>1034801</v>
      </c>
    </row>
    <row r="253" spans="2:12" x14ac:dyDescent="0.25">
      <c r="B253" s="106">
        <f>IF(Trabajos!B253="","",Trabajos!B253)</f>
        <v>45974</v>
      </c>
      <c r="C253" s="70" t="str">
        <f>IF(Trabajos!F253="","",Trabajos!F253)</f>
        <v>Espartina S.A.</v>
      </c>
      <c r="D253" s="70" t="str">
        <f>IF(Trabajos!D253="","",Trabajos!D253)</f>
        <v>Monitoreo de bb y bab</v>
      </c>
      <c r="E253" s="70" t="str">
        <f>IF(Trabajos!G253="","",Trabajos!G253)</f>
        <v>Santa Teresa</v>
      </c>
      <c r="F253" s="108">
        <f>IF(Trabajos!H253="","",Trabajos!H253)</f>
        <v>540</v>
      </c>
      <c r="G253" s="84">
        <f>IF(Trabajos!I253="","",Trabajos!I253)</f>
        <v>3262.5</v>
      </c>
      <c r="H253" s="84">
        <f>IF(Trabajos!J253="","",Trabajos!J253)</f>
        <v>1761750</v>
      </c>
      <c r="I253" s="107">
        <f>IF(Trabajos!M253="","",Trabajos!M253)</f>
        <v>296</v>
      </c>
      <c r="J253" s="84">
        <f>IF(Trabajos!N253="","",Trabajos!N253)</f>
        <v>633.85</v>
      </c>
      <c r="K253" s="84">
        <f>IF(Trabajos!O253="","",Trabajos!O253)</f>
        <v>187619.6</v>
      </c>
      <c r="L253" s="84">
        <f>IF(Trabajos!P253="","",Trabajos!P253)</f>
        <v>1949369.6</v>
      </c>
    </row>
    <row r="254" spans="2:12" x14ac:dyDescent="0.25">
      <c r="B254" s="106">
        <f>IF(Trabajos!B254="","",Trabajos!B254)</f>
        <v>45974</v>
      </c>
      <c r="C254" s="70" t="str">
        <f>IF(Trabajos!F254="","",Trabajos!F254)</f>
        <v>Espartina S.A.</v>
      </c>
      <c r="D254" s="70" t="str">
        <f>IF(Trabajos!D254="","",Trabajos!D254)</f>
        <v>Monitoreo de bb y bab</v>
      </c>
      <c r="E254" s="70" t="str">
        <f>IF(Trabajos!G254="","",Trabajos!G254)</f>
        <v>La Trinidad</v>
      </c>
      <c r="F254" s="108">
        <f>IF(Trabajos!H254="","",Trabajos!H254)</f>
        <v>129</v>
      </c>
      <c r="G254" s="84">
        <f>IF(Trabajos!I254="","",Trabajos!I254)</f>
        <v>3262.5</v>
      </c>
      <c r="H254" s="84">
        <f>IF(Trabajos!J254="","",Trabajos!J254)</f>
        <v>420862.5</v>
      </c>
      <c r="I254" s="107">
        <f>IF(Trabajos!M254="","",Trabajos!M254)</f>
        <v>164</v>
      </c>
      <c r="J254" s="84">
        <f>IF(Trabajos!N254="","",Trabajos!N254)</f>
        <v>633.85</v>
      </c>
      <c r="K254" s="84">
        <f>IF(Trabajos!O254="","",Trabajos!O254)</f>
        <v>103951.40000000001</v>
      </c>
      <c r="L254" s="84">
        <f>IF(Trabajos!P254="","",Trabajos!P254)</f>
        <v>524813.9</v>
      </c>
    </row>
    <row r="255" spans="2:12" x14ac:dyDescent="0.25">
      <c r="B255" s="106">
        <f>IF(Trabajos!B255="","",Trabajos!B255)</f>
        <v>45974</v>
      </c>
      <c r="C255" s="70" t="str">
        <f>IF(Trabajos!F255="","",Trabajos!F255)</f>
        <v>Cofina Agro</v>
      </c>
      <c r="D255" s="70" t="str">
        <f>IF(Trabajos!D255="","",Trabajos!D255)</f>
        <v>Aplicación de cebos</v>
      </c>
      <c r="E255" s="70" t="str">
        <f>IF(Trabajos!G255="","",Trabajos!G255)</f>
        <v>El Retoño</v>
      </c>
      <c r="F255" s="108">
        <f>IF(Trabajos!H255="","",Trabajos!H255)</f>
        <v>37</v>
      </c>
      <c r="G255" s="84">
        <f>IF(Trabajos!I255="","",Trabajos!I255)</f>
        <v>7262.5</v>
      </c>
      <c r="H255" s="84">
        <f>IF(Trabajos!J255="","",Trabajos!J255)</f>
        <v>268712.5</v>
      </c>
      <c r="I255" s="107">
        <f>IF(Trabajos!M255="","",Trabajos!M255)</f>
        <v>62</v>
      </c>
      <c r="J255" s="84">
        <f>IF(Trabajos!N255="","",Trabajos!N255)</f>
        <v>650</v>
      </c>
      <c r="K255" s="84">
        <f>IF(Trabajos!O255="","",Trabajos!O255)</f>
        <v>40300</v>
      </c>
      <c r="L255" s="84">
        <f>IF(Trabajos!P255="","",Trabajos!P255)</f>
        <v>309012.5</v>
      </c>
    </row>
    <row r="256" spans="2:12" x14ac:dyDescent="0.25">
      <c r="B256" s="106">
        <f>IF(Trabajos!B256="","",Trabajos!B256)</f>
        <v>45975</v>
      </c>
      <c r="C256" s="70" t="str">
        <f>IF(Trabajos!F256="","",Trabajos!F256)</f>
        <v>Espartina S.A.</v>
      </c>
      <c r="D256" s="70" t="str">
        <f>IF(Trabajos!D256="","",Trabajos!D256)</f>
        <v>Aplicación de cebos</v>
      </c>
      <c r="E256" s="70" t="str">
        <f>IF(Trabajos!G256="","",Trabajos!G256)</f>
        <v>Sejor</v>
      </c>
      <c r="F256" s="108">
        <f>IF(Trabajos!H256="","",Trabajos!H256)</f>
        <v>98</v>
      </c>
      <c r="G256" s="84">
        <f>IF(Trabajos!I256="","",Trabajos!I256)</f>
        <v>7250</v>
      </c>
      <c r="H256" s="84">
        <f>IF(Trabajos!J256="","",Trabajos!J256)</f>
        <v>710500</v>
      </c>
      <c r="I256" s="107">
        <f>IF(Trabajos!M256="","",Trabajos!M256)</f>
        <v>294</v>
      </c>
      <c r="J256" s="84">
        <f>IF(Trabajos!N256="","",Trabajos!N256)</f>
        <v>633.85</v>
      </c>
      <c r="K256" s="84">
        <f>IF(Trabajos!O256="","",Trabajos!O256)</f>
        <v>186351.9</v>
      </c>
      <c r="L256" s="84">
        <f>IF(Trabajos!P256="","",Trabajos!P256)</f>
        <v>896851.9</v>
      </c>
    </row>
    <row r="257" spans="2:12" x14ac:dyDescent="0.25">
      <c r="B257" s="106">
        <f>IF(Trabajos!B257="","",Trabajos!B257)</f>
        <v>45975</v>
      </c>
      <c r="C257" s="70" t="str">
        <f>IF(Trabajos!F257="","",Trabajos!F257)</f>
        <v>Carlos Fernando Fuertes</v>
      </c>
      <c r="D257" s="70" t="str">
        <f>IF(Trabajos!D257="","",Trabajos!D257)</f>
        <v>Aplicación de cebos</v>
      </c>
      <c r="E257" s="70" t="str">
        <f>IF(Trabajos!G257="","",Trabajos!G257)</f>
        <v>La Tolderia</v>
      </c>
      <c r="F257" s="108">
        <f>IF(Trabajos!H257="","",Trabajos!H257)</f>
        <v>115</v>
      </c>
      <c r="G257" s="84">
        <f>IF(Trabajos!I257="","",Trabajos!I257)</f>
        <v>7320</v>
      </c>
      <c r="H257" s="84">
        <f>IF(Trabajos!J257="","",Trabajos!J257)</f>
        <v>841800</v>
      </c>
      <c r="I257" s="107">
        <f>IF(Trabajos!M257="","",Trabajos!M257)</f>
        <v>0</v>
      </c>
      <c r="J257" s="84">
        <f>IF(Trabajos!N257="","",Trabajos!N257)</f>
        <v>650</v>
      </c>
      <c r="K257" s="84">
        <f>IF(Trabajos!O257="","",Trabajos!O257)</f>
        <v>0</v>
      </c>
      <c r="L257" s="84">
        <f>IF(Trabajos!P257="","",Trabajos!P257)</f>
        <v>841800</v>
      </c>
    </row>
    <row r="258" spans="2:12" x14ac:dyDescent="0.25">
      <c r="B258" s="106">
        <f>IF(Trabajos!B258="","",Trabajos!B258)</f>
        <v>45975</v>
      </c>
      <c r="C258" s="70" t="str">
        <f>IF(Trabajos!F258="","",Trabajos!F258)</f>
        <v>Espartina S.A.</v>
      </c>
      <c r="D258" s="70" t="str">
        <f>IF(Trabajos!D258="","",Trabajos!D258)</f>
        <v>Aplicación de cebos</v>
      </c>
      <c r="E258" s="70" t="str">
        <f>IF(Trabajos!G258="","",Trabajos!G258)</f>
        <v>El Rosario</v>
      </c>
      <c r="F258" s="108">
        <f>IF(Trabajos!H258="","",Trabajos!H258)</f>
        <v>134</v>
      </c>
      <c r="G258" s="84">
        <f>IF(Trabajos!I258="","",Trabajos!I258)</f>
        <v>7250</v>
      </c>
      <c r="H258" s="84">
        <f>IF(Trabajos!J258="","",Trabajos!J258)</f>
        <v>971500</v>
      </c>
      <c r="I258" s="107">
        <f>IF(Trabajos!M258="","",Trabajos!M258)</f>
        <v>120</v>
      </c>
      <c r="J258" s="84">
        <f>IF(Trabajos!N258="","",Trabajos!N258)</f>
        <v>633.85</v>
      </c>
      <c r="K258" s="84">
        <f>IF(Trabajos!O258="","",Trabajos!O258)</f>
        <v>76062</v>
      </c>
      <c r="L258" s="84">
        <f>IF(Trabajos!P258="","",Trabajos!P258)</f>
        <v>1047562</v>
      </c>
    </row>
    <row r="259" spans="2:12" x14ac:dyDescent="0.25">
      <c r="B259" s="106">
        <f>IF(Trabajos!B259="","",Trabajos!B259)</f>
        <v>45975</v>
      </c>
      <c r="C259" s="70" t="str">
        <f>IF(Trabajos!F259="","",Trabajos!F259)</f>
        <v>Espartina S.A.</v>
      </c>
      <c r="D259" s="70" t="str">
        <f>IF(Trabajos!D259="","",Trabajos!D259)</f>
        <v>Aplicación de cebos</v>
      </c>
      <c r="E259" s="70" t="str">
        <f>IF(Trabajos!G259="","",Trabajos!G259)</f>
        <v>El Pehuen</v>
      </c>
      <c r="F259" s="108">
        <f>IF(Trabajos!H259="","",Trabajos!H259)</f>
        <v>108</v>
      </c>
      <c r="G259" s="84">
        <f>IF(Trabajos!I259="","",Trabajos!I259)</f>
        <v>7250</v>
      </c>
      <c r="H259" s="84">
        <f>IF(Trabajos!J259="","",Trabajos!J259)</f>
        <v>783000</v>
      </c>
      <c r="I259" s="107">
        <f>IF(Trabajos!M259="","",Trabajos!M259)</f>
        <v>120</v>
      </c>
      <c r="J259" s="84">
        <f>IF(Trabajos!N259="","",Trabajos!N259)</f>
        <v>633.85</v>
      </c>
      <c r="K259" s="84">
        <f>IF(Trabajos!O259="","",Trabajos!O259)</f>
        <v>76062</v>
      </c>
      <c r="L259" s="84">
        <f>IF(Trabajos!P259="","",Trabajos!P259)</f>
        <v>859062</v>
      </c>
    </row>
    <row r="260" spans="2:12" x14ac:dyDescent="0.25">
      <c r="B260" s="106">
        <f>IF(Trabajos!B260="","",Trabajos!B260)</f>
        <v>45975</v>
      </c>
      <c r="C260" s="70" t="str">
        <f>IF(Trabajos!F260="","",Trabajos!F260)</f>
        <v>Espartina S.A.</v>
      </c>
      <c r="D260" s="70" t="str">
        <f>IF(Trabajos!D260="","",Trabajos!D260)</f>
        <v>Aplicación de cebos</v>
      </c>
      <c r="E260" s="70" t="str">
        <f>IF(Trabajos!G260="","",Trabajos!G260)</f>
        <v>Santa Ana Cobo</v>
      </c>
      <c r="F260" s="108">
        <f>IF(Trabajos!H260="","",Trabajos!H260)</f>
        <v>41</v>
      </c>
      <c r="G260" s="84">
        <f>IF(Trabajos!I260="","",Trabajos!I260)</f>
        <v>7267.5</v>
      </c>
      <c r="H260" s="84">
        <f>IF(Trabajos!J260="","",Trabajos!J260)</f>
        <v>297967.5</v>
      </c>
      <c r="I260" s="107">
        <f>IF(Trabajos!M260="","",Trabajos!M260)</f>
        <v>172</v>
      </c>
      <c r="J260" s="84">
        <f>IF(Trabajos!N260="","",Trabajos!N260)</f>
        <v>633.85</v>
      </c>
      <c r="K260" s="84">
        <f>IF(Trabajos!O260="","",Trabajos!O260)</f>
        <v>109022.2</v>
      </c>
      <c r="L260" s="84">
        <f>IF(Trabajos!P260="","",Trabajos!P260)</f>
        <v>406989.7</v>
      </c>
    </row>
    <row r="261" spans="2:12" x14ac:dyDescent="0.25">
      <c r="B261" s="106">
        <f>IF(Trabajos!B261="","",Trabajos!B261)</f>
        <v>45975</v>
      </c>
      <c r="C261" s="70" t="str">
        <f>IF(Trabajos!F261="","",Trabajos!F261)</f>
        <v>Espartina S.A.</v>
      </c>
      <c r="D261" s="70" t="str">
        <f>IF(Trabajos!D261="","",Trabajos!D261)</f>
        <v>Aplicación de cebos</v>
      </c>
      <c r="E261" s="70" t="str">
        <f>IF(Trabajos!G261="","",Trabajos!G261)</f>
        <v>El Casalito</v>
      </c>
      <c r="F261" s="108">
        <f>IF(Trabajos!H261="","",Trabajos!H261)</f>
        <v>54</v>
      </c>
      <c r="G261" s="84">
        <f>IF(Trabajos!I261="","",Trabajos!I261)</f>
        <v>7267.5</v>
      </c>
      <c r="H261" s="84">
        <f>IF(Trabajos!J261="","",Trabajos!J261)</f>
        <v>392445</v>
      </c>
      <c r="I261" s="107">
        <f>IF(Trabajos!M261="","",Trabajos!M261)</f>
        <v>152</v>
      </c>
      <c r="J261" s="84">
        <f>IF(Trabajos!N261="","",Trabajos!N261)</f>
        <v>633.85</v>
      </c>
      <c r="K261" s="84">
        <f>IF(Trabajos!O261="","",Trabajos!O261)</f>
        <v>96345.2</v>
      </c>
      <c r="L261" s="84">
        <f>IF(Trabajos!P261="","",Trabajos!P261)</f>
        <v>488790.2</v>
      </c>
    </row>
    <row r="262" spans="2:12" x14ac:dyDescent="0.25">
      <c r="B262" s="106">
        <f>IF(Trabajos!B262="","",Trabajos!B262)</f>
        <v>45975</v>
      </c>
      <c r="C262" s="70" t="str">
        <f>IF(Trabajos!F262="","",Trabajos!F262)</f>
        <v>Espartina S.A.</v>
      </c>
      <c r="D262" s="70" t="str">
        <f>IF(Trabajos!D262="","",Trabajos!D262)</f>
        <v>Monitoreo de bb y bab</v>
      </c>
      <c r="E262" s="70" t="str">
        <f>IF(Trabajos!G262="","",Trabajos!G262)</f>
        <v>Teha</v>
      </c>
      <c r="F262" s="108">
        <f>IF(Trabajos!H262="","",Trabajos!H262)</f>
        <v>224</v>
      </c>
      <c r="G262" s="84">
        <f>IF(Trabajos!I262="","",Trabajos!I262)</f>
        <v>3270.37</v>
      </c>
      <c r="H262" s="84">
        <f>IF(Trabajos!J262="","",Trabajos!J262)</f>
        <v>732562.88</v>
      </c>
      <c r="I262" s="107">
        <f>IF(Trabajos!M262="","",Trabajos!M262)</f>
        <v>190</v>
      </c>
      <c r="J262" s="84">
        <f>IF(Trabajos!N262="","",Trabajos!N262)</f>
        <v>633.85</v>
      </c>
      <c r="K262" s="84">
        <f>IF(Trabajos!O262="","",Trabajos!O262)</f>
        <v>120431.5</v>
      </c>
      <c r="L262" s="84">
        <f>IF(Trabajos!P262="","",Trabajos!P262)</f>
        <v>852994.38</v>
      </c>
    </row>
    <row r="263" spans="2:12" x14ac:dyDescent="0.25">
      <c r="B263" s="106">
        <f>IF(Trabajos!B263="","",Trabajos!B263)</f>
        <v>45976</v>
      </c>
      <c r="C263" s="70" t="str">
        <f>IF(Trabajos!F263="","",Trabajos!F263)</f>
        <v>Espartina S.A.</v>
      </c>
      <c r="D263" s="70" t="str">
        <f>IF(Trabajos!D263="","",Trabajos!D263)</f>
        <v>Monitoreo de bb y bab</v>
      </c>
      <c r="E263" s="70" t="str">
        <f>IF(Trabajos!G263="","",Trabajos!G263)</f>
        <v>Los Hermanos</v>
      </c>
      <c r="F263" s="108">
        <f>IF(Trabajos!H263="","",Trabajos!H263)</f>
        <v>69</v>
      </c>
      <c r="G263" s="84">
        <f>IF(Trabajos!I263="","",Trabajos!I263)</f>
        <v>3270.37</v>
      </c>
      <c r="H263" s="84">
        <f>IF(Trabajos!J263="","",Trabajos!J263)</f>
        <v>225655.53</v>
      </c>
      <c r="I263" s="107">
        <f>IF(Trabajos!M263="","",Trabajos!M263)</f>
        <v>170</v>
      </c>
      <c r="J263" s="84">
        <f>IF(Trabajos!N263="","",Trabajos!N263)</f>
        <v>633.85</v>
      </c>
      <c r="K263" s="84">
        <f>IF(Trabajos!O263="","",Trabajos!O263)</f>
        <v>107754.5</v>
      </c>
      <c r="L263" s="84">
        <f>IF(Trabajos!P263="","",Trabajos!P263)</f>
        <v>333410.03000000003</v>
      </c>
    </row>
    <row r="264" spans="2:12" x14ac:dyDescent="0.25">
      <c r="B264" s="106">
        <f>IF(Trabajos!B264="","",Trabajos!B264)</f>
        <v>45975</v>
      </c>
      <c r="C264" s="70" t="str">
        <f>IF(Trabajos!F264="","",Trabajos!F264)</f>
        <v>Espartina S.A.</v>
      </c>
      <c r="D264" s="70" t="str">
        <f>IF(Trabajos!D264="","",Trabajos!D264)</f>
        <v>Aplicación de cebos</v>
      </c>
      <c r="E264" s="70" t="str">
        <f>IF(Trabajos!G264="","",Trabajos!G264)</f>
        <v>Loma Blanca</v>
      </c>
      <c r="F264" s="108">
        <f>IF(Trabajos!H264="","",Trabajos!H264)</f>
        <v>14</v>
      </c>
      <c r="G264" s="84">
        <f>IF(Trabajos!I264="","",Trabajos!I264)</f>
        <v>7250</v>
      </c>
      <c r="H264" s="84">
        <f>IF(Trabajos!J264="","",Trabajos!J264)</f>
        <v>101500</v>
      </c>
      <c r="I264" s="107">
        <f>IF(Trabajos!M264="","",Trabajos!M264)</f>
        <v>328</v>
      </c>
      <c r="J264" s="84">
        <f>IF(Trabajos!N264="","",Trabajos!N264)</f>
        <v>633.85</v>
      </c>
      <c r="K264" s="84">
        <f>IF(Trabajos!O264="","",Trabajos!O264)</f>
        <v>207902.80000000002</v>
      </c>
      <c r="L264" s="84">
        <f>IF(Trabajos!P264="","",Trabajos!P264)</f>
        <v>309402.80000000005</v>
      </c>
    </row>
    <row r="265" spans="2:12" x14ac:dyDescent="0.25">
      <c r="B265" s="106">
        <f>IF(Trabajos!B265="","",Trabajos!B265)</f>
        <v>45976</v>
      </c>
      <c r="C265" s="70" t="str">
        <f>IF(Trabajos!F265="","",Trabajos!F265)</f>
        <v>Espartina S.A.</v>
      </c>
      <c r="D265" s="70" t="str">
        <f>IF(Trabajos!D265="","",Trabajos!D265)</f>
        <v>Aplicación de cebos</v>
      </c>
      <c r="E265" s="70" t="str">
        <f>IF(Trabajos!G265="","",Trabajos!G265)</f>
        <v>La Cantera</v>
      </c>
      <c r="F265" s="108">
        <f>IF(Trabajos!H265="","",Trabajos!H265)</f>
        <v>120</v>
      </c>
      <c r="G265" s="84">
        <f>IF(Trabajos!I265="","",Trabajos!I265)</f>
        <v>7267.5</v>
      </c>
      <c r="H265" s="84">
        <f>IF(Trabajos!J265="","",Trabajos!J265)</f>
        <v>872100</v>
      </c>
      <c r="I265" s="107">
        <f>IF(Trabajos!M265="","",Trabajos!M265)</f>
        <v>50</v>
      </c>
      <c r="J265" s="84">
        <f>IF(Trabajos!N265="","",Trabajos!N265)</f>
        <v>633.85</v>
      </c>
      <c r="K265" s="84">
        <f>IF(Trabajos!O265="","",Trabajos!O265)</f>
        <v>31692.5</v>
      </c>
      <c r="L265" s="84">
        <f>IF(Trabajos!P265="","",Trabajos!P265)</f>
        <v>903792.5</v>
      </c>
    </row>
    <row r="266" spans="2:12" x14ac:dyDescent="0.25">
      <c r="B266" s="106">
        <f>IF(Trabajos!B266="","",Trabajos!B266)</f>
        <v>45976</v>
      </c>
      <c r="C266" s="70" t="str">
        <f>IF(Trabajos!F266="","",Trabajos!F266)</f>
        <v>Espartina S.A.</v>
      </c>
      <c r="D266" s="70" t="str">
        <f>IF(Trabajos!D266="","",Trabajos!D266)</f>
        <v>Aplicación de cebos</v>
      </c>
      <c r="E266" s="70" t="str">
        <f>IF(Trabajos!G266="","",Trabajos!G266)</f>
        <v>San Narciso</v>
      </c>
      <c r="F266" s="108">
        <f>IF(Trabajos!H266="","",Trabajos!H266)</f>
        <v>180</v>
      </c>
      <c r="G266" s="84">
        <f>IF(Trabajos!I266="","",Trabajos!I266)</f>
        <v>7267.5</v>
      </c>
      <c r="H266" s="84">
        <f>IF(Trabajos!J266="","",Trabajos!J266)</f>
        <v>1308150</v>
      </c>
      <c r="I266" s="107">
        <f>IF(Trabajos!M266="","",Trabajos!M266)</f>
        <v>208</v>
      </c>
      <c r="J266" s="84">
        <f>IF(Trabajos!N266="","",Trabajos!N266)</f>
        <v>633.85</v>
      </c>
      <c r="K266" s="84">
        <f>IF(Trabajos!O266="","",Trabajos!O266)</f>
        <v>131840.80000000002</v>
      </c>
      <c r="L266" s="84">
        <f>IF(Trabajos!P266="","",Trabajos!P266)</f>
        <v>1439990.8</v>
      </c>
    </row>
    <row r="267" spans="2:12" x14ac:dyDescent="0.25">
      <c r="B267" s="106">
        <f>IF(Trabajos!B267="","",Trabajos!B267)</f>
        <v>45976</v>
      </c>
      <c r="C267" s="70" t="str">
        <f>IF(Trabajos!F267="","",Trabajos!F267)</f>
        <v>Espartina S.A.</v>
      </c>
      <c r="D267" s="70" t="str">
        <f>IF(Trabajos!D267="","",Trabajos!D267)</f>
        <v>Monitoreo de bb y bab</v>
      </c>
      <c r="E267" s="70" t="str">
        <f>IF(Trabajos!G267="","",Trabajos!G267)</f>
        <v>Millantuel</v>
      </c>
      <c r="F267" s="108">
        <f>IF(Trabajos!H267="","",Trabajos!H267)</f>
        <v>190</v>
      </c>
      <c r="G267" s="84">
        <f>IF(Trabajos!I267="","",Trabajos!I267)</f>
        <v>3262.5</v>
      </c>
      <c r="H267" s="84">
        <f>IF(Trabajos!J267="","",Trabajos!J267)</f>
        <v>619875</v>
      </c>
      <c r="I267" s="107">
        <f>IF(Trabajos!M267="","",Trabajos!M267)</f>
        <v>160</v>
      </c>
      <c r="J267" s="84">
        <f>IF(Trabajos!N267="","",Trabajos!N267)</f>
        <v>633.85</v>
      </c>
      <c r="K267" s="84">
        <f>IF(Trabajos!O267="","",Trabajos!O267)</f>
        <v>101416</v>
      </c>
      <c r="L267" s="84">
        <f>IF(Trabajos!P267="","",Trabajos!P267)</f>
        <v>721291</v>
      </c>
    </row>
    <row r="268" spans="2:12" x14ac:dyDescent="0.25">
      <c r="B268" s="106">
        <f>IF(Trabajos!B268="","",Trabajos!B268)</f>
        <v>45976</v>
      </c>
      <c r="C268" s="70" t="str">
        <f>IF(Trabajos!F268="","",Trabajos!F268)</f>
        <v>Espartina S.A.</v>
      </c>
      <c r="D268" s="70" t="str">
        <f>IF(Trabajos!D268="","",Trabajos!D268)</f>
        <v>Monitoreo de bb y bab</v>
      </c>
      <c r="E268" s="70" t="str">
        <f>IF(Trabajos!G268="","",Trabajos!G268)</f>
        <v>Loma Blanca</v>
      </c>
      <c r="F268" s="108">
        <f>IF(Trabajos!H268="","",Trabajos!H268)</f>
        <v>179</v>
      </c>
      <c r="G268" s="84">
        <f>IF(Trabajos!I268="","",Trabajos!I268)</f>
        <v>3262.5</v>
      </c>
      <c r="H268" s="84">
        <f>IF(Trabajos!J268="","",Trabajos!J268)</f>
        <v>583987.5</v>
      </c>
      <c r="I268" s="107">
        <f>IF(Trabajos!M268="","",Trabajos!M268)</f>
        <v>328</v>
      </c>
      <c r="J268" s="84">
        <f>IF(Trabajos!N268="","",Trabajos!N268)</f>
        <v>633.85</v>
      </c>
      <c r="K268" s="84">
        <f>IF(Trabajos!O268="","",Trabajos!O268)</f>
        <v>207902.80000000002</v>
      </c>
      <c r="L268" s="84">
        <f>IF(Trabajos!P268="","",Trabajos!P268)</f>
        <v>791890.3</v>
      </c>
    </row>
    <row r="269" spans="2:12" x14ac:dyDescent="0.25">
      <c r="B269" s="106">
        <f>IF(Trabajos!B269="","",Trabajos!B269)</f>
        <v>45978</v>
      </c>
      <c r="C269" s="70" t="str">
        <f>IF(Trabajos!F269="","",Trabajos!F269)</f>
        <v>Espartina S.A.</v>
      </c>
      <c r="D269" s="70" t="str">
        <f>IF(Trabajos!D269="","",Trabajos!D269)</f>
        <v>Aplicación de cebos</v>
      </c>
      <c r="E269" s="70" t="str">
        <f>IF(Trabajos!G269="","",Trabajos!G269)</f>
        <v>La Paulina</v>
      </c>
      <c r="F269" s="108">
        <f>IF(Trabajos!H269="","",Trabajos!H269)</f>
        <v>66</v>
      </c>
      <c r="G269" s="84">
        <f>IF(Trabajos!I269="","",Trabajos!I269)</f>
        <v>7250</v>
      </c>
      <c r="H269" s="84">
        <f>IF(Trabajos!J269="","",Trabajos!J269)</f>
        <v>478500</v>
      </c>
      <c r="I269" s="107">
        <f>IF(Trabajos!M269="","",Trabajos!M269)</f>
        <v>260</v>
      </c>
      <c r="J269" s="84">
        <f>IF(Trabajos!N269="","",Trabajos!N269)</f>
        <v>633.85</v>
      </c>
      <c r="K269" s="84">
        <f>IF(Trabajos!O269="","",Trabajos!O269)</f>
        <v>164801</v>
      </c>
      <c r="L269" s="84">
        <f>IF(Trabajos!P269="","",Trabajos!P269)</f>
        <v>643301</v>
      </c>
    </row>
    <row r="270" spans="2:12" x14ac:dyDescent="0.25">
      <c r="B270" s="106">
        <f>IF(Trabajos!B270="","",Trabajos!B270)</f>
        <v>45979</v>
      </c>
      <c r="C270" s="70" t="str">
        <f>IF(Trabajos!F270="","",Trabajos!F270)</f>
        <v>Espartina S.A.</v>
      </c>
      <c r="D270" s="70" t="str">
        <f>IF(Trabajos!D270="","",Trabajos!D270)</f>
        <v>Monitoreo de bb y bab</v>
      </c>
      <c r="E270" s="70" t="str">
        <f>IF(Trabajos!G270="","",Trabajos!G270)</f>
        <v>La Magdalena</v>
      </c>
      <c r="F270" s="108">
        <f>IF(Trabajos!H270="","",Trabajos!H270)</f>
        <v>278</v>
      </c>
      <c r="G270" s="84">
        <f>IF(Trabajos!I270="","",Trabajos!I270)</f>
        <v>3270.37</v>
      </c>
      <c r="H270" s="84">
        <f>IF(Trabajos!J270="","",Trabajos!J270)</f>
        <v>909162.86</v>
      </c>
      <c r="I270" s="107">
        <f>IF(Trabajos!M270="","",Trabajos!M270)</f>
        <v>117</v>
      </c>
      <c r="J270" s="84">
        <f>IF(Trabajos!N270="","",Trabajos!N270)</f>
        <v>633.85</v>
      </c>
      <c r="K270" s="84">
        <f>IF(Trabajos!O270="","",Trabajos!O270)</f>
        <v>74160.45</v>
      </c>
      <c r="L270" s="84">
        <f>IF(Trabajos!P270="","",Trabajos!P270)</f>
        <v>983323.30999999994</v>
      </c>
    </row>
    <row r="271" spans="2:12" x14ac:dyDescent="0.25">
      <c r="B271" s="106">
        <f>IF(Trabajos!B271="","",Trabajos!B271)</f>
        <v>45979</v>
      </c>
      <c r="C271" s="70" t="str">
        <f>IF(Trabajos!F271="","",Trabajos!F271)</f>
        <v>Espartina S.A.</v>
      </c>
      <c r="D271" s="70" t="str">
        <f>IF(Trabajos!D271="","",Trabajos!D271)</f>
        <v>Aplicación de cebos</v>
      </c>
      <c r="E271" s="70" t="str">
        <f>IF(Trabajos!G271="","",Trabajos!G271)</f>
        <v>La Juanita</v>
      </c>
      <c r="F271" s="108">
        <f>IF(Trabajos!H271="","",Trabajos!H271)</f>
        <v>176</v>
      </c>
      <c r="G271" s="84">
        <f>IF(Trabajos!I271="","",Trabajos!I271)</f>
        <v>7267.5</v>
      </c>
      <c r="H271" s="84">
        <f>IF(Trabajos!J271="","",Trabajos!J271)</f>
        <v>1279080</v>
      </c>
      <c r="I271" s="107">
        <f>IF(Trabajos!M271="","",Trabajos!M271)</f>
        <v>60</v>
      </c>
      <c r="J271" s="84">
        <f>IF(Trabajos!N271="","",Trabajos!N271)</f>
        <v>633.85</v>
      </c>
      <c r="K271" s="84">
        <f>IF(Trabajos!O271="","",Trabajos!O271)</f>
        <v>38031</v>
      </c>
      <c r="L271" s="84">
        <f>IF(Trabajos!P271="","",Trabajos!P271)</f>
        <v>1317111</v>
      </c>
    </row>
    <row r="272" spans="2:12" x14ac:dyDescent="0.25">
      <c r="B272" s="106">
        <f>IF(Trabajos!B272="","",Trabajos!B272)</f>
        <v>45979</v>
      </c>
      <c r="C272" s="70" t="str">
        <f>IF(Trabajos!F272="","",Trabajos!F272)</f>
        <v>Cía. de Tierras Sud Argentino S.A.</v>
      </c>
      <c r="D272" s="70" t="str">
        <f>IF(Trabajos!D272="","",Trabajos!D272)</f>
        <v>Aplicación de cebos</v>
      </c>
      <c r="E272" s="70" t="str">
        <f>IF(Trabajos!G272="","",Trabajos!G272)</f>
        <v>Santa Marta</v>
      </c>
      <c r="F272" s="108">
        <f>IF(Trabajos!H272="","",Trabajos!H272)</f>
        <v>195</v>
      </c>
      <c r="G272" s="84">
        <f>IF(Trabajos!I272="","",Trabajos!I272)</f>
        <v>7267.5</v>
      </c>
      <c r="H272" s="84">
        <f>IF(Trabajos!J272="","",Trabajos!J272)</f>
        <v>1417162.5</v>
      </c>
      <c r="I272" s="107">
        <f>IF(Trabajos!M272="","",Trabajos!M272)</f>
        <v>50</v>
      </c>
      <c r="J272" s="84">
        <f>IF(Trabajos!N272="","",Trabajos!N272)</f>
        <v>650</v>
      </c>
      <c r="K272" s="84">
        <f>IF(Trabajos!O272="","",Trabajos!O272)</f>
        <v>32500</v>
      </c>
      <c r="L272" s="84">
        <f>IF(Trabajos!P272="","",Trabajos!P272)</f>
        <v>1449662.5</v>
      </c>
    </row>
    <row r="273" spans="2:12" x14ac:dyDescent="0.25">
      <c r="B273" s="106">
        <f>IF(Trabajos!B273="","",Trabajos!B273)</f>
        <v>45979</v>
      </c>
      <c r="C273" s="70" t="str">
        <f>IF(Trabajos!F273="","",Trabajos!F273)</f>
        <v>Piray Mini</v>
      </c>
      <c r="D273" s="70" t="str">
        <f>IF(Trabajos!D273="","",Trabajos!D273)</f>
        <v>Aplicación de cebos</v>
      </c>
      <c r="E273" s="70" t="str">
        <f>IF(Trabajos!G273="","",Trabajos!G273)</f>
        <v>Las Mercedes</v>
      </c>
      <c r="F273" s="108">
        <f>IF(Trabajos!H273="","",Trabajos!H273)</f>
        <v>91</v>
      </c>
      <c r="G273" s="84">
        <f>IF(Trabajos!I273="","",Trabajos!I273)</f>
        <v>7257.5</v>
      </c>
      <c r="H273" s="84">
        <f>IF(Trabajos!J273="","",Trabajos!J273)</f>
        <v>660432.5</v>
      </c>
      <c r="I273" s="107">
        <f>IF(Trabajos!M273="","",Trabajos!M273)</f>
        <v>72</v>
      </c>
      <c r="J273" s="84">
        <f>IF(Trabajos!N273="","",Trabajos!N273)</f>
        <v>650</v>
      </c>
      <c r="K273" s="84">
        <f>IF(Trabajos!O273="","",Trabajos!O273)</f>
        <v>46800</v>
      </c>
      <c r="L273" s="84">
        <f>IF(Trabajos!P273="","",Trabajos!P273)</f>
        <v>707232.5</v>
      </c>
    </row>
    <row r="274" spans="2:12" x14ac:dyDescent="0.25">
      <c r="B274" s="106">
        <f>IF(Trabajos!B274="","",Trabajos!B274)</f>
        <v>45979</v>
      </c>
      <c r="C274" s="70" t="str">
        <f>IF(Trabajos!F274="","",Trabajos!F274)</f>
        <v>Espartina S.A.</v>
      </c>
      <c r="D274" s="70" t="str">
        <f>IF(Trabajos!D274="","",Trabajos!D274)</f>
        <v>Aplicación de cebos</v>
      </c>
      <c r="E274" s="70" t="str">
        <f>IF(Trabajos!G274="","",Trabajos!G274)</f>
        <v>Follaneras</v>
      </c>
      <c r="F274" s="108">
        <f>IF(Trabajos!H274="","",Trabajos!H274)</f>
        <v>97</v>
      </c>
      <c r="G274" s="84">
        <f>IF(Trabajos!I274="","",Trabajos!I274)</f>
        <v>7250</v>
      </c>
      <c r="H274" s="84">
        <f>IF(Trabajos!J274="","",Trabajos!J274)</f>
        <v>703250</v>
      </c>
      <c r="I274" s="107">
        <f>IF(Trabajos!M274="","",Trabajos!M274)</f>
        <v>230</v>
      </c>
      <c r="J274" s="84">
        <f>IF(Trabajos!N274="","",Trabajos!N274)</f>
        <v>633.85</v>
      </c>
      <c r="K274" s="84">
        <f>IF(Trabajos!O274="","",Trabajos!O274)</f>
        <v>145785.5</v>
      </c>
      <c r="L274" s="84">
        <f>IF(Trabajos!P274="","",Trabajos!P274)</f>
        <v>849035.5</v>
      </c>
    </row>
    <row r="275" spans="2:12" x14ac:dyDescent="0.25">
      <c r="B275" s="106">
        <f>IF(Trabajos!B275="","",Trabajos!B275)</f>
        <v>45980</v>
      </c>
      <c r="C275" s="70" t="str">
        <f>IF(Trabajos!F275="","",Trabajos!F275)</f>
        <v>Cía. de Tierras Sud Argentino S.A.</v>
      </c>
      <c r="D275" s="70" t="str">
        <f>IF(Trabajos!D275="","",Trabajos!D275)</f>
        <v>Aplicación de cebos</v>
      </c>
      <c r="E275" s="70" t="str">
        <f>IF(Trabajos!G275="","",Trabajos!G275)</f>
        <v>Santa Marta</v>
      </c>
      <c r="F275" s="108">
        <f>IF(Trabajos!H275="","",Trabajos!H275)</f>
        <v>146</v>
      </c>
      <c r="G275" s="84">
        <f>IF(Trabajos!I275="","",Trabajos!I275)</f>
        <v>7267.5</v>
      </c>
      <c r="H275" s="84">
        <f>IF(Trabajos!J275="","",Trabajos!J275)</f>
        <v>1061055</v>
      </c>
      <c r="I275" s="107">
        <f>IF(Trabajos!M275="","",Trabajos!M275)</f>
        <v>50</v>
      </c>
      <c r="J275" s="84">
        <f>IF(Trabajos!N275="","",Trabajos!N275)</f>
        <v>650</v>
      </c>
      <c r="K275" s="84">
        <f>IF(Trabajos!O275="","",Trabajos!O275)</f>
        <v>32500</v>
      </c>
      <c r="L275" s="84">
        <f>IF(Trabajos!P275="","",Trabajos!P275)</f>
        <v>1093555</v>
      </c>
    </row>
    <row r="276" spans="2:12" x14ac:dyDescent="0.25">
      <c r="B276" s="106">
        <f>IF(Trabajos!B276="","",Trabajos!B276)</f>
        <v>45980</v>
      </c>
      <c r="C276" s="70" t="str">
        <f>IF(Trabajos!F276="","",Trabajos!F276)</f>
        <v>Florimond Desprez</v>
      </c>
      <c r="D276" s="70" t="str">
        <f>IF(Trabajos!D276="","",Trabajos!D276)</f>
        <v>Aplicación de cebos</v>
      </c>
      <c r="E276" s="70" t="str">
        <f>IF(Trabajos!G276="","",Trabajos!G276)</f>
        <v>Florimond Dezprez</v>
      </c>
      <c r="F276" s="108">
        <f>IF(Trabajos!H276="","",Trabajos!H276)</f>
        <v>25</v>
      </c>
      <c r="G276" s="84">
        <f>IF(Trabajos!I276="","",Trabajos!I276)</f>
        <v>7350</v>
      </c>
      <c r="H276" s="84">
        <f>IF(Trabajos!J276="","",Trabajos!J276)</f>
        <v>183750</v>
      </c>
      <c r="I276" s="107">
        <f>IF(Trabajos!M276="","",Trabajos!M276)</f>
        <v>0</v>
      </c>
      <c r="J276" s="84">
        <f>IF(Trabajos!N276="","",Trabajos!N276)</f>
        <v>650</v>
      </c>
      <c r="K276" s="84">
        <f>IF(Trabajos!O276="","",Trabajos!O276)</f>
        <v>0</v>
      </c>
      <c r="L276" s="84">
        <f>IF(Trabajos!P276="","",Trabajos!P276)</f>
        <v>183750</v>
      </c>
    </row>
    <row r="277" spans="2:12" x14ac:dyDescent="0.25">
      <c r="B277" s="106">
        <f>IF(Trabajos!B277="","",Trabajos!B277)</f>
        <v>45980</v>
      </c>
      <c r="C277" s="70" t="str">
        <f>IF(Trabajos!F277="","",Trabajos!F277)</f>
        <v>Juan Rodriguez Rivas</v>
      </c>
      <c r="D277" s="70" t="str">
        <f>IF(Trabajos!D277="","",Trabajos!D277)</f>
        <v>Aplicación de cebos</v>
      </c>
      <c r="E277" s="70" t="str">
        <f>IF(Trabajos!G277="","",Trabajos!G277)</f>
        <v>San Agustin</v>
      </c>
      <c r="F277" s="108">
        <f>IF(Trabajos!H277="","",Trabajos!H277)</f>
        <v>170</v>
      </c>
      <c r="G277" s="84">
        <f>IF(Trabajos!I277="","",Trabajos!I277)</f>
        <v>7032.5</v>
      </c>
      <c r="H277" s="84">
        <f>IF(Trabajos!J277="","",Trabajos!J277)</f>
        <v>1195525</v>
      </c>
      <c r="I277" s="107">
        <f>IF(Trabajos!M277="","",Trabajos!M277)</f>
        <v>246</v>
      </c>
      <c r="J277" s="84">
        <f>IF(Trabajos!N277="","",Trabajos!N277)</f>
        <v>650</v>
      </c>
      <c r="K277" s="84">
        <f>IF(Trabajos!O277="","",Trabajos!O277)</f>
        <v>159900</v>
      </c>
      <c r="L277" s="84">
        <f>IF(Trabajos!P277="","",Trabajos!P277)</f>
        <v>1355425</v>
      </c>
    </row>
    <row r="278" spans="2:12" x14ac:dyDescent="0.25">
      <c r="B278" s="106">
        <f>IF(Trabajos!B278="","",Trabajos!B278)</f>
        <v>45980</v>
      </c>
      <c r="C278" s="70" t="str">
        <f>IF(Trabajos!F278="","",Trabajos!F278)</f>
        <v>Agustin Galeano</v>
      </c>
      <c r="D278" s="70" t="str">
        <f>IF(Trabajos!D278="","",Trabajos!D278)</f>
        <v>Muestreo de suelos</v>
      </c>
      <c r="E278" s="70" t="str">
        <f>IF(Trabajos!G278="","",Trabajos!G278)</f>
        <v>La Tigra</v>
      </c>
      <c r="F278" s="108">
        <f>IF(Trabajos!H278="","",Trabajos!H278)</f>
        <v>65</v>
      </c>
      <c r="G278" s="84">
        <f>IF(Trabajos!I278="","",Trabajos!I278)</f>
        <v>1176</v>
      </c>
      <c r="H278" s="84">
        <f>IF(Trabajos!J278="","",Trabajos!J278)</f>
        <v>76440</v>
      </c>
      <c r="I278" s="107">
        <f>IF(Trabajos!M278="","",Trabajos!M278)</f>
        <v>104</v>
      </c>
      <c r="J278" s="84">
        <f>IF(Trabajos!N278="","",Trabajos!N278)</f>
        <v>650</v>
      </c>
      <c r="K278" s="84">
        <f>IF(Trabajos!O278="","",Trabajos!O278)</f>
        <v>67600</v>
      </c>
      <c r="L278" s="84">
        <f>IF(Trabajos!P278="","",Trabajos!P278)</f>
        <v>144040</v>
      </c>
    </row>
    <row r="279" spans="2:12" x14ac:dyDescent="0.25">
      <c r="B279" s="106">
        <f>IF(Trabajos!B279="","",Trabajos!B279)</f>
        <v>45981</v>
      </c>
      <c r="C279" s="70" t="str">
        <f>IF(Trabajos!F279="","",Trabajos!F279)</f>
        <v>Espartina S.A.</v>
      </c>
      <c r="D279" s="70" t="str">
        <f>IF(Trabajos!D279="","",Trabajos!D279)</f>
        <v>Monitoreo de bb y bab</v>
      </c>
      <c r="E279" s="70" t="str">
        <f>IF(Trabajos!G279="","",Trabajos!G279)</f>
        <v xml:space="preserve">El Ceibo  </v>
      </c>
      <c r="F279" s="108">
        <f>IF(Trabajos!H279="","",Trabajos!H279)</f>
        <v>300</v>
      </c>
      <c r="G279" s="84">
        <f>IF(Trabajos!I279="","",Trabajos!I279)</f>
        <v>3262.5</v>
      </c>
      <c r="H279" s="84">
        <f>IF(Trabajos!J279="","",Trabajos!J279)</f>
        <v>978750</v>
      </c>
      <c r="I279" s="107">
        <f>IF(Trabajos!M279="","",Trabajos!M279)</f>
        <v>244</v>
      </c>
      <c r="J279" s="84">
        <f>IF(Trabajos!N279="","",Trabajos!N279)</f>
        <v>633.85</v>
      </c>
      <c r="K279" s="84">
        <f>IF(Trabajos!O279="","",Trabajos!O279)</f>
        <v>154659.4</v>
      </c>
      <c r="L279" s="84">
        <f>IF(Trabajos!P279="","",Trabajos!P279)</f>
        <v>1133409.3999999999</v>
      </c>
    </row>
    <row r="280" spans="2:12" x14ac:dyDescent="0.25">
      <c r="B280" s="106">
        <f>IF(Trabajos!B280="","",Trabajos!B280)</f>
        <v>45981</v>
      </c>
      <c r="C280" s="70" t="str">
        <f>IF(Trabajos!F280="","",Trabajos!F280)</f>
        <v>Cía. de Tierras Sud Argentino S.A.</v>
      </c>
      <c r="D280" s="70" t="str">
        <f>IF(Trabajos!D280="","",Trabajos!D280)</f>
        <v>Aplicación de cebos</v>
      </c>
      <c r="E280" s="70" t="str">
        <f>IF(Trabajos!G280="","",Trabajos!G280)</f>
        <v>Santa Marta</v>
      </c>
      <c r="F280" s="108">
        <f>IF(Trabajos!H280="","",Trabajos!H280)</f>
        <v>84</v>
      </c>
      <c r="G280" s="84">
        <f>IF(Trabajos!I280="","",Trabajos!I280)</f>
        <v>7267.5</v>
      </c>
      <c r="H280" s="84">
        <f>IF(Trabajos!J280="","",Trabajos!J280)</f>
        <v>610470</v>
      </c>
      <c r="I280" s="107">
        <f>IF(Trabajos!M280="","",Trabajos!M280)</f>
        <v>50</v>
      </c>
      <c r="J280" s="84">
        <f>IF(Trabajos!N280="","",Trabajos!N280)</f>
        <v>650</v>
      </c>
      <c r="K280" s="84">
        <f>IF(Trabajos!O280="","",Trabajos!O280)</f>
        <v>32500</v>
      </c>
      <c r="L280" s="84">
        <f>IF(Trabajos!P280="","",Trabajos!P280)</f>
        <v>642970</v>
      </c>
    </row>
    <row r="281" spans="2:12" x14ac:dyDescent="0.25">
      <c r="B281" s="106">
        <f>IF(Trabajos!B281="","",Trabajos!B281)</f>
        <v>45981</v>
      </c>
      <c r="C281" s="70" t="str">
        <f>IF(Trabajos!F281="","",Trabajos!F281)</f>
        <v>Sebastian Martos</v>
      </c>
      <c r="D281" s="70" t="str">
        <f>IF(Trabajos!D281="","",Trabajos!D281)</f>
        <v>Aplicación de cebos</v>
      </c>
      <c r="E281" s="70" t="str">
        <f>IF(Trabajos!G281="","",Trabajos!G281)</f>
        <v>Fasciglione</v>
      </c>
      <c r="F281" s="108">
        <f>IF(Trabajos!H281="","",Trabajos!H281)</f>
        <v>26</v>
      </c>
      <c r="G281" s="84">
        <f>IF(Trabajos!I281="","",Trabajos!I281)</f>
        <v>7257.5</v>
      </c>
      <c r="H281" s="84">
        <f>IF(Trabajos!J281="","",Trabajos!J281)</f>
        <v>188695</v>
      </c>
      <c r="I281" s="107">
        <f>IF(Trabajos!M281="","",Trabajos!M281)</f>
        <v>24</v>
      </c>
      <c r="J281" s="84">
        <f>IF(Trabajos!N281="","",Trabajos!N281)</f>
        <v>650</v>
      </c>
      <c r="K281" s="84">
        <f>IF(Trabajos!O281="","",Trabajos!O281)</f>
        <v>15600</v>
      </c>
      <c r="L281" s="84">
        <f>IF(Trabajos!P281="","",Trabajos!P281)</f>
        <v>204295</v>
      </c>
    </row>
    <row r="282" spans="2:12" x14ac:dyDescent="0.25">
      <c r="B282" s="106">
        <f>IF(Trabajos!B282="","",Trabajos!B282)</f>
        <v>45982</v>
      </c>
      <c r="C282" s="70" t="str">
        <f>IF(Trabajos!F282="","",Trabajos!F282)</f>
        <v>Espartina S.A.</v>
      </c>
      <c r="D282" s="70" t="str">
        <f>IF(Trabajos!D282="","",Trabajos!D282)</f>
        <v>Aplicación de cebos</v>
      </c>
      <c r="E282" s="70" t="str">
        <f>IF(Trabajos!G282="","",Trabajos!G282)</f>
        <v>La Cantera</v>
      </c>
      <c r="F282" s="108">
        <f>IF(Trabajos!H282="","",Trabajos!H282)</f>
        <v>158</v>
      </c>
      <c r="G282" s="84">
        <f>IF(Trabajos!I282="","",Trabajos!I282)</f>
        <v>7267.5</v>
      </c>
      <c r="H282" s="84">
        <f>IF(Trabajos!J282="","",Trabajos!J282)</f>
        <v>1148265</v>
      </c>
      <c r="I282" s="107">
        <f>IF(Trabajos!M282="","",Trabajos!M282)</f>
        <v>50</v>
      </c>
      <c r="J282" s="84">
        <f>IF(Trabajos!N282="","",Trabajos!N282)</f>
        <v>633.85</v>
      </c>
      <c r="K282" s="84">
        <f>IF(Trabajos!O282="","",Trabajos!O282)</f>
        <v>31692.5</v>
      </c>
      <c r="L282" s="84">
        <f>IF(Trabajos!P282="","",Trabajos!P282)</f>
        <v>1179957.5</v>
      </c>
    </row>
    <row r="283" spans="2:12" x14ac:dyDescent="0.25">
      <c r="B283" s="106">
        <f>IF(Trabajos!B283="","",Trabajos!B283)</f>
        <v>45982</v>
      </c>
      <c r="C283" s="70" t="str">
        <f>IF(Trabajos!F283="","",Trabajos!F283)</f>
        <v>Espartina S.A.</v>
      </c>
      <c r="D283" s="70" t="str">
        <f>IF(Trabajos!D283="","",Trabajos!D283)</f>
        <v>Aplicación de cebos</v>
      </c>
      <c r="E283" s="70" t="str">
        <f>IF(Trabajos!G283="","",Trabajos!G283)</f>
        <v>La Baguala</v>
      </c>
      <c r="F283" s="108">
        <f>IF(Trabajos!H283="","",Trabajos!H283)</f>
        <v>43</v>
      </c>
      <c r="G283" s="84">
        <f>IF(Trabajos!I283="","",Trabajos!I283)</f>
        <v>7267.5</v>
      </c>
      <c r="H283" s="84">
        <f>IF(Trabajos!J283="","",Trabajos!J283)</f>
        <v>312502.5</v>
      </c>
      <c r="I283" s="107">
        <f>IF(Trabajos!M283="","",Trabajos!M283)</f>
        <v>156</v>
      </c>
      <c r="J283" s="84">
        <f>IF(Trabajos!N283="","",Trabajos!N283)</f>
        <v>633.85</v>
      </c>
      <c r="K283" s="84">
        <f>IF(Trabajos!O283="","",Trabajos!O283)</f>
        <v>98880.6</v>
      </c>
      <c r="L283" s="84">
        <f>IF(Trabajos!P283="","",Trabajos!P283)</f>
        <v>411383.1</v>
      </c>
    </row>
    <row r="284" spans="2:12" x14ac:dyDescent="0.25">
      <c r="B284" s="106">
        <f>IF(Trabajos!B284="","",Trabajos!B284)</f>
        <v>45982</v>
      </c>
      <c r="C284" s="70" t="str">
        <f>IF(Trabajos!F284="","",Trabajos!F284)</f>
        <v>Espartina S.A.</v>
      </c>
      <c r="D284" s="70" t="str">
        <f>IF(Trabajos!D284="","",Trabajos!D284)</f>
        <v>Aplicación de cebos</v>
      </c>
      <c r="E284" s="70" t="str">
        <f>IF(Trabajos!G284="","",Trabajos!G284)</f>
        <v>La Magdalena</v>
      </c>
      <c r="F284" s="108">
        <f>IF(Trabajos!H284="","",Trabajos!H284)</f>
        <v>187</v>
      </c>
      <c r="G284" s="84">
        <f>IF(Trabajos!I284="","",Trabajos!I284)</f>
        <v>7267.5</v>
      </c>
      <c r="H284" s="84">
        <f>IF(Trabajos!J284="","",Trabajos!J284)</f>
        <v>1359022.5</v>
      </c>
      <c r="I284" s="107">
        <f>IF(Trabajos!M284="","",Trabajos!M284)</f>
        <v>117</v>
      </c>
      <c r="J284" s="84">
        <f>IF(Trabajos!N284="","",Trabajos!N284)</f>
        <v>633.85</v>
      </c>
      <c r="K284" s="84">
        <f>IF(Trabajos!O284="","",Trabajos!O284)</f>
        <v>74160.45</v>
      </c>
      <c r="L284" s="84">
        <f>IF(Trabajos!P284="","",Trabajos!P284)</f>
        <v>1433182.95</v>
      </c>
    </row>
    <row r="285" spans="2:12" x14ac:dyDescent="0.25">
      <c r="B285" s="106">
        <f>IF(Trabajos!B285="","",Trabajos!B285)</f>
        <v>45982</v>
      </c>
      <c r="C285" s="70" t="str">
        <f>IF(Trabajos!F285="","",Trabajos!F285)</f>
        <v>La Nany S.A.</v>
      </c>
      <c r="D285" s="70" t="str">
        <f>IF(Trabajos!D285="","",Trabajos!D285)</f>
        <v>Aplicación de cebos</v>
      </c>
      <c r="E285" s="70" t="str">
        <f>IF(Trabajos!G285="","",Trabajos!G285)</f>
        <v>La Adelia</v>
      </c>
      <c r="F285" s="108">
        <f>IF(Trabajos!H285="","",Trabajos!H285)</f>
        <v>61</v>
      </c>
      <c r="G285" s="84">
        <f>IF(Trabajos!I285="","",Trabajos!I285)</f>
        <v>7237.5</v>
      </c>
      <c r="H285" s="84">
        <f>IF(Trabajos!J285="","",Trabajos!J285)</f>
        <v>441487.5</v>
      </c>
      <c r="I285" s="107">
        <f>IF(Trabajos!M285="","",Trabajos!M285)</f>
        <v>104</v>
      </c>
      <c r="J285" s="84">
        <f>IF(Trabajos!N285="","",Trabajos!N285)</f>
        <v>650</v>
      </c>
      <c r="K285" s="84">
        <f>IF(Trabajos!O285="","",Trabajos!O285)</f>
        <v>67600</v>
      </c>
      <c r="L285" s="84">
        <f>IF(Trabajos!P285="","",Trabajos!P285)</f>
        <v>509087.5</v>
      </c>
    </row>
    <row r="286" spans="2:12" x14ac:dyDescent="0.25">
      <c r="B286" s="106">
        <f>IF(Trabajos!B286="","",Trabajos!B286)</f>
        <v>45982</v>
      </c>
      <c r="C286" s="70" t="str">
        <f>IF(Trabajos!F286="","",Trabajos!F286)</f>
        <v>La Nany S.A.</v>
      </c>
      <c r="D286" s="70" t="str">
        <f>IF(Trabajos!D286="","",Trabajos!D286)</f>
        <v>Aplicación de cebos</v>
      </c>
      <c r="E286" s="70" t="str">
        <f>IF(Trabajos!G286="","",Trabajos!G286)</f>
        <v>La Nany</v>
      </c>
      <c r="F286" s="108">
        <f>IF(Trabajos!H286="","",Trabajos!H286)</f>
        <v>50</v>
      </c>
      <c r="G286" s="84">
        <f>IF(Trabajos!I286="","",Trabajos!I286)</f>
        <v>7237.5</v>
      </c>
      <c r="H286" s="84">
        <f>IF(Trabajos!J286="","",Trabajos!J286)</f>
        <v>361875</v>
      </c>
      <c r="I286" s="107">
        <f>IF(Trabajos!M286="","",Trabajos!M286)</f>
        <v>0</v>
      </c>
      <c r="J286" s="84">
        <f>IF(Trabajos!N286="","",Trabajos!N286)</f>
        <v>650</v>
      </c>
      <c r="K286" s="84">
        <f>IF(Trabajos!O286="","",Trabajos!O286)</f>
        <v>0</v>
      </c>
      <c r="L286" s="84">
        <f>IF(Trabajos!P286="","",Trabajos!P286)</f>
        <v>361875</v>
      </c>
    </row>
    <row r="287" spans="2:12" x14ac:dyDescent="0.25">
      <c r="B287" s="106">
        <f>IF(Trabajos!B287="","",Trabajos!B287)</f>
        <v>45982</v>
      </c>
      <c r="C287" s="70" t="str">
        <f>IF(Trabajos!F287="","",Trabajos!F287)</f>
        <v>Sebastian Martos</v>
      </c>
      <c r="D287" s="70" t="str">
        <f>IF(Trabajos!D287="","",Trabajos!D287)</f>
        <v>Aplicación de cebos</v>
      </c>
      <c r="E287" s="70" t="str">
        <f>IF(Trabajos!G287="","",Trabajos!G287)</f>
        <v>Las Nazarenas</v>
      </c>
      <c r="F287" s="108">
        <f>IF(Trabajos!H287="","",Trabajos!H287)</f>
        <v>115</v>
      </c>
      <c r="G287" s="84">
        <f>IF(Trabajos!I287="","",Trabajos!I287)</f>
        <v>7257.5</v>
      </c>
      <c r="H287" s="84">
        <f>IF(Trabajos!J287="","",Trabajos!J287)</f>
        <v>834612.5</v>
      </c>
      <c r="I287" s="107">
        <f>IF(Trabajos!M287="","",Trabajos!M287)</f>
        <v>64</v>
      </c>
      <c r="J287" s="84">
        <f>IF(Trabajos!N287="","",Trabajos!N287)</f>
        <v>650</v>
      </c>
      <c r="K287" s="84">
        <f>IF(Trabajos!O287="","",Trabajos!O287)</f>
        <v>41600</v>
      </c>
      <c r="L287" s="84">
        <f>IF(Trabajos!P287="","",Trabajos!P287)</f>
        <v>876212.5</v>
      </c>
    </row>
    <row r="288" spans="2:12" x14ac:dyDescent="0.25">
      <c r="B288" s="106">
        <f>IF(Trabajos!B288="","",Trabajos!B288)</f>
        <v>45983</v>
      </c>
      <c r="C288" s="70" t="str">
        <f>IF(Trabajos!F288="","",Trabajos!F288)</f>
        <v>Espartina S.A.</v>
      </c>
      <c r="D288" s="70" t="str">
        <f>IF(Trabajos!D288="","",Trabajos!D288)</f>
        <v>Aplicación de cebos</v>
      </c>
      <c r="E288" s="70" t="str">
        <f>IF(Trabajos!G288="","",Trabajos!G288)</f>
        <v>Loma Blanca</v>
      </c>
      <c r="F288" s="108">
        <f>IF(Trabajos!H288="","",Trabajos!H288)</f>
        <v>60</v>
      </c>
      <c r="G288" s="84">
        <f>IF(Trabajos!I288="","",Trabajos!I288)</f>
        <v>7250</v>
      </c>
      <c r="H288" s="84">
        <f>IF(Trabajos!J288="","",Trabajos!J288)</f>
        <v>435000</v>
      </c>
      <c r="I288" s="107">
        <f>IF(Trabajos!M288="","",Trabajos!M288)</f>
        <v>328</v>
      </c>
      <c r="J288" s="84">
        <f>IF(Trabajos!N288="","",Trabajos!N288)</f>
        <v>633.85</v>
      </c>
      <c r="K288" s="84">
        <f>IF(Trabajos!O288="","",Trabajos!O288)</f>
        <v>207902.80000000002</v>
      </c>
      <c r="L288" s="84">
        <f>IF(Trabajos!P288="","",Trabajos!P288)</f>
        <v>642902.80000000005</v>
      </c>
    </row>
    <row r="289" spans="2:12" x14ac:dyDescent="0.25">
      <c r="B289" s="106">
        <f>IF(Trabajos!B289="","",Trabajos!B289)</f>
        <v>45983</v>
      </c>
      <c r="C289" s="70" t="str">
        <f>IF(Trabajos!F289="","",Trabajos!F289)</f>
        <v>Espartina S.A.</v>
      </c>
      <c r="D289" s="70" t="str">
        <f>IF(Trabajos!D289="","",Trabajos!D289)</f>
        <v>Aplicación de cebos</v>
      </c>
      <c r="E289" s="70" t="str">
        <f>IF(Trabajos!G289="","",Trabajos!G289)</f>
        <v>La Trinidad</v>
      </c>
      <c r="F289" s="108">
        <f>IF(Trabajos!H289="","",Trabajos!H289)</f>
        <v>61</v>
      </c>
      <c r="G289" s="84">
        <f>IF(Trabajos!I289="","",Trabajos!I289)</f>
        <v>7250</v>
      </c>
      <c r="H289" s="84">
        <f>IF(Trabajos!J289="","",Trabajos!J289)</f>
        <v>442250</v>
      </c>
      <c r="I289" s="107">
        <f>IF(Trabajos!M289="","",Trabajos!M289)</f>
        <v>164</v>
      </c>
      <c r="J289" s="84">
        <f>IF(Trabajos!N289="","",Trabajos!N289)</f>
        <v>633.85</v>
      </c>
      <c r="K289" s="84">
        <f>IF(Trabajos!O289="","",Trabajos!O289)</f>
        <v>103951.40000000001</v>
      </c>
      <c r="L289" s="84">
        <f>IF(Trabajos!P289="","",Trabajos!P289)</f>
        <v>546201.4</v>
      </c>
    </row>
    <row r="290" spans="2:12" x14ac:dyDescent="0.25">
      <c r="B290" s="106">
        <f>IF(Trabajos!B290="","",Trabajos!B290)</f>
        <v>45983</v>
      </c>
      <c r="C290" s="70" t="str">
        <f>IF(Trabajos!F290="","",Trabajos!F290)</f>
        <v>Nueva Huella S.R.L.</v>
      </c>
      <c r="D290" s="70" t="str">
        <f>IF(Trabajos!D290="","",Trabajos!D290)</f>
        <v>Aplicación de cebos</v>
      </c>
      <c r="E290" s="70" t="str">
        <f>IF(Trabajos!G290="","",Trabajos!G290)</f>
        <v>La Lourdes</v>
      </c>
      <c r="F290" s="108">
        <f>IF(Trabajos!H290="","",Trabajos!H290)</f>
        <v>73</v>
      </c>
      <c r="G290" s="84">
        <f>IF(Trabajos!I290="","",Trabajos!I290)</f>
        <v>7257.5</v>
      </c>
      <c r="H290" s="84">
        <f>IF(Trabajos!J290="","",Trabajos!J290)</f>
        <v>529797.5</v>
      </c>
      <c r="I290" s="107">
        <f>IF(Trabajos!M290="","",Trabajos!M290)</f>
        <v>38</v>
      </c>
      <c r="J290" s="84">
        <f>IF(Trabajos!N290="","",Trabajos!N290)</f>
        <v>650</v>
      </c>
      <c r="K290" s="84">
        <f>IF(Trabajos!O290="","",Trabajos!O290)</f>
        <v>24700</v>
      </c>
      <c r="L290" s="84">
        <f>IF(Trabajos!P290="","",Trabajos!P290)</f>
        <v>554497.5</v>
      </c>
    </row>
    <row r="291" spans="2:12" x14ac:dyDescent="0.25">
      <c r="B291" s="106">
        <f>IF(Trabajos!B291="","",Trabajos!B291)</f>
        <v>45983</v>
      </c>
      <c r="C291" s="70" t="str">
        <f>IF(Trabajos!F291="","",Trabajos!F291)</f>
        <v>Domingo y Nestor Scioli</v>
      </c>
      <c r="D291" s="70" t="str">
        <f>IF(Trabajos!D291="","",Trabajos!D291)</f>
        <v>Aplicación de cebos</v>
      </c>
      <c r="E291" s="70" t="str">
        <f>IF(Trabajos!G291="","",Trabajos!G291)</f>
        <v>El Volcan</v>
      </c>
      <c r="F291" s="108">
        <f>IF(Trabajos!H291="","",Trabajos!H291)</f>
        <v>32</v>
      </c>
      <c r="G291" s="84">
        <f>IF(Trabajos!I291="","",Trabajos!I291)</f>
        <v>7267.5</v>
      </c>
      <c r="H291" s="84">
        <f>IF(Trabajos!J291="","",Trabajos!J291)</f>
        <v>232560</v>
      </c>
      <c r="I291" s="107">
        <f>IF(Trabajos!M291="","",Trabajos!M291)</f>
        <v>46</v>
      </c>
      <c r="J291" s="84">
        <f>IF(Trabajos!N291="","",Trabajos!N291)</f>
        <v>650</v>
      </c>
      <c r="K291" s="84">
        <f>IF(Trabajos!O291="","",Trabajos!O291)</f>
        <v>29900</v>
      </c>
      <c r="L291" s="84">
        <f>IF(Trabajos!P291="","",Trabajos!P291)</f>
        <v>262460</v>
      </c>
    </row>
    <row r="292" spans="2:12" x14ac:dyDescent="0.25">
      <c r="B292" s="106">
        <f>IF(Trabajos!B292="","",Trabajos!B292)</f>
        <v>45984</v>
      </c>
      <c r="C292" s="70" t="str">
        <f>IF(Trabajos!F292="","",Trabajos!F292)</f>
        <v>Gustavo Erice</v>
      </c>
      <c r="D292" s="70" t="str">
        <f>IF(Trabajos!D292="","",Trabajos!D292)</f>
        <v>Aplicación de cebos</v>
      </c>
      <c r="E292" s="70" t="str">
        <f>IF(Trabajos!G292="","",Trabajos!G292)</f>
        <v>La Esperanza</v>
      </c>
      <c r="F292" s="108">
        <f>IF(Trabajos!H292="","",Trabajos!H292)</f>
        <v>123</v>
      </c>
      <c r="G292" s="84">
        <f>IF(Trabajos!I292="","",Trabajos!I292)</f>
        <v>7267.5</v>
      </c>
      <c r="H292" s="84">
        <f>IF(Trabajos!J292="","",Trabajos!J292)</f>
        <v>893902.5</v>
      </c>
      <c r="I292" s="107">
        <f>IF(Trabajos!M292="","",Trabajos!M292)</f>
        <v>104</v>
      </c>
      <c r="J292" s="84">
        <f>IF(Trabajos!N292="","",Trabajos!N292)</f>
        <v>650</v>
      </c>
      <c r="K292" s="84">
        <f>IF(Trabajos!O292="","",Trabajos!O292)</f>
        <v>67600</v>
      </c>
      <c r="L292" s="84">
        <f>IF(Trabajos!P292="","",Trabajos!P292)</f>
        <v>961502.5</v>
      </c>
    </row>
    <row r="293" spans="2:12" x14ac:dyDescent="0.25">
      <c r="B293" s="106">
        <f>IF(Trabajos!B293="","",Trabajos!B293)</f>
        <v>45985</v>
      </c>
      <c r="C293" s="70" t="str">
        <f>IF(Trabajos!F293="","",Trabajos!F293)</f>
        <v>Espartina S.A.</v>
      </c>
      <c r="D293" s="70" t="str">
        <f>IF(Trabajos!D293="","",Trabajos!D293)</f>
        <v>Monitoreo de bb y bab</v>
      </c>
      <c r="E293" s="70" t="str">
        <f>IF(Trabajos!G293="","",Trabajos!G293)</f>
        <v>El Mirador</v>
      </c>
      <c r="F293" s="108">
        <f>IF(Trabajos!H293="","",Trabajos!H293)</f>
        <v>155</v>
      </c>
      <c r="G293" s="84">
        <f>IF(Trabajos!I293="","",Trabajos!I293)</f>
        <v>3262.5</v>
      </c>
      <c r="H293" s="84">
        <f>IF(Trabajos!J293="","",Trabajos!J293)</f>
        <v>505687.5</v>
      </c>
      <c r="I293" s="107">
        <f>IF(Trabajos!M293="","",Trabajos!M293)</f>
        <v>208</v>
      </c>
      <c r="J293" s="84">
        <f>IF(Trabajos!N293="","",Trabajos!N293)</f>
        <v>633.85</v>
      </c>
      <c r="K293" s="84">
        <f>IF(Trabajos!O293="","",Trabajos!O293)</f>
        <v>131840.80000000002</v>
      </c>
      <c r="L293" s="84">
        <f>IF(Trabajos!P293="","",Trabajos!P293)</f>
        <v>637528.30000000005</v>
      </c>
    </row>
    <row r="294" spans="2:12" x14ac:dyDescent="0.25">
      <c r="B294" s="106">
        <f>IF(Trabajos!B294="","",Trabajos!B294)</f>
        <v>45985</v>
      </c>
      <c r="C294" s="70" t="str">
        <f>IF(Trabajos!F294="","",Trabajos!F294)</f>
        <v>Piray Mini</v>
      </c>
      <c r="D294" s="70" t="str">
        <f>IF(Trabajos!D294="","",Trabajos!D294)</f>
        <v>Aplicación de cebos</v>
      </c>
      <c r="E294" s="70" t="str">
        <f>IF(Trabajos!G294="","",Trabajos!G294)</f>
        <v>Las Mercedes</v>
      </c>
      <c r="F294" s="108">
        <f>IF(Trabajos!H294="","",Trabajos!H294)</f>
        <v>53</v>
      </c>
      <c r="G294" s="84">
        <f>IF(Trabajos!I294="","",Trabajos!I294)</f>
        <v>7257.5</v>
      </c>
      <c r="H294" s="84">
        <f>IF(Trabajos!J294="","",Trabajos!J294)</f>
        <v>384647.5</v>
      </c>
      <c r="I294" s="107">
        <f>IF(Trabajos!M294="","",Trabajos!M294)</f>
        <v>72</v>
      </c>
      <c r="J294" s="84">
        <f>IF(Trabajos!N294="","",Trabajos!N294)</f>
        <v>650</v>
      </c>
      <c r="K294" s="84">
        <f>IF(Trabajos!O294="","",Trabajos!O294)</f>
        <v>46800</v>
      </c>
      <c r="L294" s="84">
        <f>IF(Trabajos!P294="","",Trabajos!P294)</f>
        <v>431447.5</v>
      </c>
    </row>
    <row r="295" spans="2:12" x14ac:dyDescent="0.25">
      <c r="B295" s="106">
        <f>IF(Trabajos!B295="","",Trabajos!B295)</f>
        <v>45986</v>
      </c>
      <c r="C295" s="70" t="str">
        <f>IF(Trabajos!F295="","",Trabajos!F295)</f>
        <v>Espartina S.A.</v>
      </c>
      <c r="D295" s="70" t="str">
        <f>IF(Trabajos!D295="","",Trabajos!D295)</f>
        <v>Aplicación de cebos</v>
      </c>
      <c r="E295" s="70" t="str">
        <f>IF(Trabajos!G295="","",Trabajos!G295)</f>
        <v>Loma Blanca</v>
      </c>
      <c r="F295" s="108">
        <f>IF(Trabajos!H295="","",Trabajos!H295)</f>
        <v>102</v>
      </c>
      <c r="G295" s="84">
        <f>IF(Trabajos!I295="","",Trabajos!I295)</f>
        <v>7250</v>
      </c>
      <c r="H295" s="84">
        <f>IF(Trabajos!J295="","",Trabajos!J295)</f>
        <v>739500</v>
      </c>
      <c r="I295" s="107">
        <f>IF(Trabajos!M295="","",Trabajos!M295)</f>
        <v>328</v>
      </c>
      <c r="J295" s="84">
        <f>IF(Trabajos!N295="","",Trabajos!N295)</f>
        <v>633.85</v>
      </c>
      <c r="K295" s="84">
        <f>IF(Trabajos!O295="","",Trabajos!O295)</f>
        <v>207902.80000000002</v>
      </c>
      <c r="L295" s="84">
        <f>IF(Trabajos!P295="","",Trabajos!P295)</f>
        <v>947402.8</v>
      </c>
    </row>
    <row r="296" spans="2:12" x14ac:dyDescent="0.25">
      <c r="B296" s="106">
        <f>IF(Trabajos!B296="","",Trabajos!B296)</f>
        <v>45986</v>
      </c>
      <c r="C296" s="70" t="str">
        <f>IF(Trabajos!F296="","",Trabajos!F296)</f>
        <v>Espartina S.A.</v>
      </c>
      <c r="D296" s="70" t="str">
        <f>IF(Trabajos!D296="","",Trabajos!D296)</f>
        <v>Aplicación de cebos</v>
      </c>
      <c r="E296" s="70" t="str">
        <f>IF(Trabajos!G296="","",Trabajos!G296)</f>
        <v>Teha</v>
      </c>
      <c r="F296" s="108">
        <f>IF(Trabajos!H296="","",Trabajos!H296)</f>
        <v>193</v>
      </c>
      <c r="G296" s="84">
        <f>IF(Trabajos!I296="","",Trabajos!I296)</f>
        <v>7267.5</v>
      </c>
      <c r="H296" s="84">
        <f>IF(Trabajos!J296="","",Trabajos!J296)</f>
        <v>1402627.5</v>
      </c>
      <c r="I296" s="107">
        <f>IF(Trabajos!M296="","",Trabajos!M296)</f>
        <v>190</v>
      </c>
      <c r="J296" s="84">
        <f>IF(Trabajos!N296="","",Trabajos!N296)</f>
        <v>633.85</v>
      </c>
      <c r="K296" s="84">
        <f>IF(Trabajos!O296="","",Trabajos!O296)</f>
        <v>120431.5</v>
      </c>
      <c r="L296" s="84">
        <f>IF(Trabajos!P296="","",Trabajos!P296)</f>
        <v>1523059</v>
      </c>
    </row>
    <row r="297" spans="2:12" x14ac:dyDescent="0.25">
      <c r="B297" s="106">
        <f>IF(Trabajos!B297="","",Trabajos!B297)</f>
        <v>45987</v>
      </c>
      <c r="C297" s="70" t="str">
        <f>IF(Trabajos!F297="","",Trabajos!F297)</f>
        <v>Espartina S.A.</v>
      </c>
      <c r="D297" s="70" t="str">
        <f>IF(Trabajos!D297="","",Trabajos!D297)</f>
        <v>Aplicación de cebos</v>
      </c>
      <c r="E297" s="70" t="str">
        <f>IF(Trabajos!G297="","",Trabajos!G297)</f>
        <v>El Ceibo</v>
      </c>
      <c r="F297" s="108">
        <f>IF(Trabajos!H297="","",Trabajos!H297)</f>
        <v>95</v>
      </c>
      <c r="G297" s="84">
        <f>IF(Trabajos!I297="","",Trabajos!I297)</f>
        <v>7250</v>
      </c>
      <c r="H297" s="84">
        <f>IF(Trabajos!J297="","",Trabajos!J297)</f>
        <v>688750</v>
      </c>
      <c r="I297" s="107">
        <f>IF(Trabajos!M297="","",Trabajos!M297)</f>
        <v>244</v>
      </c>
      <c r="J297" s="84">
        <f>IF(Trabajos!N297="","",Trabajos!N297)</f>
        <v>633.85</v>
      </c>
      <c r="K297" s="84">
        <f>IF(Trabajos!O297="","",Trabajos!O297)</f>
        <v>154659.4</v>
      </c>
      <c r="L297" s="84">
        <f>IF(Trabajos!P297="","",Trabajos!P297)</f>
        <v>843409.4</v>
      </c>
    </row>
    <row r="298" spans="2:12" x14ac:dyDescent="0.25">
      <c r="B298" s="106">
        <f>IF(Trabajos!B298="","",Trabajos!B298)</f>
        <v>45987</v>
      </c>
      <c r="C298" s="70" t="str">
        <f>IF(Trabajos!F298="","",Trabajos!F298)</f>
        <v>La Nany S.A.</v>
      </c>
      <c r="D298" s="70" t="str">
        <f>IF(Trabajos!D298="","",Trabajos!D298)</f>
        <v>Monitoreo de bb y bab</v>
      </c>
      <c r="E298" s="70" t="str">
        <f>IF(Trabajos!G298="","",Trabajos!G298)</f>
        <v>Ridao</v>
      </c>
      <c r="F298" s="108">
        <f>IF(Trabajos!H298="","",Trabajos!H298)</f>
        <v>55</v>
      </c>
      <c r="G298" s="84">
        <f>IF(Trabajos!I298="","",Trabajos!I298)</f>
        <v>3618.75</v>
      </c>
      <c r="H298" s="84">
        <f>IF(Trabajos!J298="","",Trabajos!J298)</f>
        <v>199031.25</v>
      </c>
      <c r="I298" s="107">
        <f>IF(Trabajos!M298="","",Trabajos!M298)</f>
        <v>20</v>
      </c>
      <c r="J298" s="84">
        <f>IF(Trabajos!N298="","",Trabajos!N298)</f>
        <v>650</v>
      </c>
      <c r="K298" s="84">
        <f>IF(Trabajos!O298="","",Trabajos!O298)</f>
        <v>13000</v>
      </c>
      <c r="L298" s="84">
        <f>IF(Trabajos!P298="","",Trabajos!P298)</f>
        <v>212031.25</v>
      </c>
    </row>
    <row r="299" spans="2:12" x14ac:dyDescent="0.25">
      <c r="B299" s="106">
        <f>IF(Trabajos!B299="","",Trabajos!B299)</f>
        <v>45988</v>
      </c>
      <c r="C299" s="70" t="str">
        <f>IF(Trabajos!F299="","",Trabajos!F299)</f>
        <v>Cosechas del Sur S.R.L.</v>
      </c>
      <c r="D299" s="70" t="str">
        <f>IF(Trabajos!D299="","",Trabajos!D299)</f>
        <v>Aplicación de cebos</v>
      </c>
      <c r="E299" s="70" t="str">
        <f>IF(Trabajos!G299="","",Trabajos!G299)</f>
        <v>El Troquel</v>
      </c>
      <c r="F299" s="108">
        <f>IF(Trabajos!H299="","",Trabajos!H299)</f>
        <v>36</v>
      </c>
      <c r="G299" s="84">
        <f>IF(Trabajos!I299="","",Trabajos!I299)</f>
        <v>7250</v>
      </c>
      <c r="H299" s="84">
        <f>IF(Trabajos!J299="","",Trabajos!J299)</f>
        <v>261000</v>
      </c>
      <c r="I299" s="107">
        <f>IF(Trabajos!M299="","",Trabajos!M299)</f>
        <v>120</v>
      </c>
      <c r="J299" s="84">
        <f>IF(Trabajos!N299="","",Trabajos!N299)</f>
        <v>650</v>
      </c>
      <c r="K299" s="84">
        <f>IF(Trabajos!O299="","",Trabajos!O299)</f>
        <v>78000</v>
      </c>
      <c r="L299" s="84">
        <f>IF(Trabajos!P299="","",Trabajos!P299)</f>
        <v>339000</v>
      </c>
    </row>
    <row r="300" spans="2:12" x14ac:dyDescent="0.25">
      <c r="B300" s="106">
        <f>IF(Trabajos!B300="","",Trabajos!B300)</f>
        <v>45990</v>
      </c>
      <c r="C300" s="70" t="str">
        <f>IF(Trabajos!F300="","",Trabajos!F300)</f>
        <v>Espartina S.A.</v>
      </c>
      <c r="D300" s="70" t="str">
        <f>IF(Trabajos!D300="","",Trabajos!D300)</f>
        <v>Monitoreo de bb y bab</v>
      </c>
      <c r="E300" s="70" t="str">
        <f>IF(Trabajos!G300="","",Trabajos!G300)</f>
        <v>La Magdalena</v>
      </c>
      <c r="F300" s="108">
        <f>IF(Trabajos!H300="","",Trabajos!H300)</f>
        <v>141</v>
      </c>
      <c r="G300" s="84">
        <f>IF(Trabajos!I300="","",Trabajos!I300)</f>
        <v>3318.75</v>
      </c>
      <c r="H300" s="84">
        <f>IF(Trabajos!J300="","",Trabajos!J300)</f>
        <v>467943.75</v>
      </c>
      <c r="I300" s="107">
        <f>IF(Trabajos!M300="","",Trabajos!M300)</f>
        <v>117</v>
      </c>
      <c r="J300" s="84">
        <f>IF(Trabajos!N300="","",Trabajos!N300)</f>
        <v>668.15</v>
      </c>
      <c r="K300" s="84">
        <f>IF(Trabajos!O300="","",Trabajos!O300)</f>
        <v>78173.55</v>
      </c>
      <c r="L300" s="84">
        <f>IF(Trabajos!P300="","",Trabajos!P300)</f>
        <v>546117.30000000005</v>
      </c>
    </row>
    <row r="301" spans="2:12" x14ac:dyDescent="0.25">
      <c r="B301" s="106">
        <f>IF(Trabajos!B301="","",Trabajos!B301)</f>
        <v>45994</v>
      </c>
      <c r="C301" s="70" t="str">
        <f>IF(Trabajos!F301="","",Trabajos!F301)</f>
        <v>Espartina S.A.</v>
      </c>
      <c r="D301" s="70" t="str">
        <f>IF(Trabajos!D301="","",Trabajos!D301)</f>
        <v>Monitoreo de bb y bab</v>
      </c>
      <c r="E301" s="70" t="str">
        <f>IF(Trabajos!G301="","",Trabajos!G301)</f>
        <v>El Mirador</v>
      </c>
      <c r="F301" s="108">
        <f>IF(Trabajos!H301="","",Trabajos!H301)</f>
        <v>20</v>
      </c>
      <c r="G301" s="84">
        <f>IF(Trabajos!I301="","",Trabajos!I301)</f>
        <v>3318.75</v>
      </c>
      <c r="H301" s="84">
        <f>IF(Trabajos!J301="","",Trabajos!J301)</f>
        <v>66375</v>
      </c>
      <c r="I301" s="107">
        <f>IF(Trabajos!M301="","",Trabajos!M301)</f>
        <v>0</v>
      </c>
      <c r="J301" s="84">
        <f>IF(Trabajos!N301="","",Trabajos!N301)</f>
        <v>668.15</v>
      </c>
      <c r="K301" s="84">
        <f>IF(Trabajos!O301="","",Trabajos!O301)</f>
        <v>0</v>
      </c>
      <c r="L301" s="84">
        <f>IF(Trabajos!P301="","",Trabajos!P301)</f>
        <v>66375</v>
      </c>
    </row>
    <row r="302" spans="2:12" x14ac:dyDescent="0.25">
      <c r="B302" s="106">
        <f>IF(Trabajos!B302="","",Trabajos!B302)</f>
        <v>45994</v>
      </c>
      <c r="C302" s="70" t="str">
        <f>IF(Trabajos!F302="","",Trabajos!F302)</f>
        <v>Espartina S.A.</v>
      </c>
      <c r="D302" s="70" t="str">
        <f>IF(Trabajos!D302="","",Trabajos!D302)</f>
        <v>Monitoreo de bb y bab</v>
      </c>
      <c r="E302" s="70" t="str">
        <f>IF(Trabajos!G302="","",Trabajos!G302)</f>
        <v>Mallinco</v>
      </c>
      <c r="F302" s="108">
        <f>IF(Trabajos!H302="","",Trabajos!H302)</f>
        <v>111</v>
      </c>
      <c r="G302" s="84">
        <f>IF(Trabajos!I302="","",Trabajos!I302)</f>
        <v>3318.75</v>
      </c>
      <c r="H302" s="84">
        <f>IF(Trabajos!J302="","",Trabajos!J302)</f>
        <v>368381.25</v>
      </c>
      <c r="I302" s="107">
        <f>IF(Trabajos!M302="","",Trabajos!M302)</f>
        <v>186</v>
      </c>
      <c r="J302" s="84">
        <f>IF(Trabajos!N302="","",Trabajos!N302)</f>
        <v>668.15</v>
      </c>
      <c r="K302" s="84">
        <f>IF(Trabajos!O302="","",Trabajos!O302)</f>
        <v>124275.9</v>
      </c>
      <c r="L302" s="84">
        <f>IF(Trabajos!P302="","",Trabajos!P302)</f>
        <v>492657.15</v>
      </c>
    </row>
    <row r="303" spans="2:12" x14ac:dyDescent="0.25">
      <c r="B303" s="106">
        <f>IF(Trabajos!B303="","",Trabajos!B303)</f>
        <v>45994</v>
      </c>
      <c r="C303" s="70" t="str">
        <f>IF(Trabajos!F303="","",Trabajos!F303)</f>
        <v>Inalco</v>
      </c>
      <c r="D303" s="70" t="str">
        <f>IF(Trabajos!D303="","",Trabajos!D303)</f>
        <v>Aplicación de cebos</v>
      </c>
      <c r="E303" s="70" t="str">
        <f>IF(Trabajos!G303="","",Trabajos!G303)</f>
        <v>El Pamperito</v>
      </c>
      <c r="F303" s="108">
        <f>IF(Trabajos!H303="","",Trabajos!H303)</f>
        <v>71</v>
      </c>
      <c r="G303" s="84">
        <f>IF(Trabajos!I303="","",Trabajos!I303)</f>
        <v>7220</v>
      </c>
      <c r="H303" s="84">
        <f>IF(Trabajos!J303="","",Trabajos!J303)</f>
        <v>512620</v>
      </c>
      <c r="I303" s="107">
        <f>IF(Trabajos!M303="","",Trabajos!M303)</f>
        <v>208</v>
      </c>
      <c r="J303" s="84">
        <f>IF(Trabajos!N303="","",Trabajos!N303)</f>
        <v>650</v>
      </c>
      <c r="K303" s="84">
        <f>IF(Trabajos!O303="","",Trabajos!O303)</f>
        <v>135200</v>
      </c>
      <c r="L303" s="84">
        <f>IF(Trabajos!P303="","",Trabajos!P303)</f>
        <v>647820</v>
      </c>
    </row>
    <row r="304" spans="2:12" x14ac:dyDescent="0.25">
      <c r="B304" s="106">
        <f>IF(Trabajos!B304="","",Trabajos!B304)</f>
        <v>45995</v>
      </c>
      <c r="C304" s="70" t="str">
        <f>IF(Trabajos!F304="","",Trabajos!F304)</f>
        <v>Espartina S.A.</v>
      </c>
      <c r="D304" s="70" t="str">
        <f>IF(Trabajos!D304="","",Trabajos!D304)</f>
        <v>Aplicación de cebos</v>
      </c>
      <c r="E304" s="70" t="str">
        <f>IF(Trabajos!G304="","",Trabajos!G304)</f>
        <v>El Mirador</v>
      </c>
      <c r="F304" s="108">
        <f>IF(Trabajos!H304="","",Trabajos!H304)</f>
        <v>107</v>
      </c>
      <c r="G304" s="84">
        <f>IF(Trabajos!I304="","",Trabajos!I304)</f>
        <v>7250</v>
      </c>
      <c r="H304" s="84">
        <f>IF(Trabajos!J304="","",Trabajos!J304)</f>
        <v>775750</v>
      </c>
      <c r="I304" s="107">
        <f>IF(Trabajos!M304="","",Trabajos!M304)</f>
        <v>0</v>
      </c>
      <c r="J304" s="84">
        <f>IF(Trabajos!N304="","",Trabajos!N304)</f>
        <v>668.15</v>
      </c>
      <c r="K304" s="84">
        <f>IF(Trabajos!O304="","",Trabajos!O304)</f>
        <v>0</v>
      </c>
      <c r="L304" s="84">
        <f>IF(Trabajos!P304="","",Trabajos!P304)</f>
        <v>775750</v>
      </c>
    </row>
    <row r="305" spans="2:12" x14ac:dyDescent="0.25">
      <c r="B305" s="106">
        <f>IF(Trabajos!B305="","",Trabajos!B305)</f>
        <v>45995</v>
      </c>
      <c r="C305" s="70" t="str">
        <f>IF(Trabajos!F305="","",Trabajos!F305)</f>
        <v>Espartina S.A.</v>
      </c>
      <c r="D305" s="70" t="str">
        <f>IF(Trabajos!D305="","",Trabajos!D305)</f>
        <v>Aplicación de cebos</v>
      </c>
      <c r="E305" s="70" t="str">
        <f>IF(Trabajos!G305="","",Trabajos!G305)</f>
        <v>Mallinco</v>
      </c>
      <c r="F305" s="108">
        <f>IF(Trabajos!H305="","",Trabajos!H305)</f>
        <v>92</v>
      </c>
      <c r="G305" s="84">
        <f>IF(Trabajos!I305="","",Trabajos!I305)</f>
        <v>7250</v>
      </c>
      <c r="H305" s="84">
        <f>IF(Trabajos!J305="","",Trabajos!J305)</f>
        <v>667000</v>
      </c>
      <c r="I305" s="107">
        <f>IF(Trabajos!M305="","",Trabajos!M305)</f>
        <v>186</v>
      </c>
      <c r="J305" s="84">
        <f>IF(Trabajos!N305="","",Trabajos!N305)</f>
        <v>668.15</v>
      </c>
      <c r="K305" s="84">
        <f>IF(Trabajos!O305="","",Trabajos!O305)</f>
        <v>124275.9</v>
      </c>
      <c r="L305" s="84">
        <f>IF(Trabajos!P305="","",Trabajos!P305)</f>
        <v>791275.9</v>
      </c>
    </row>
    <row r="306" spans="2:12" x14ac:dyDescent="0.25">
      <c r="B306" s="106">
        <f>IF(Trabajos!B306="","",Trabajos!B306)</f>
        <v>46002</v>
      </c>
      <c r="C306" s="70" t="str">
        <f>IF(Trabajos!F306="","",Trabajos!F306)</f>
        <v>Cofina Agro</v>
      </c>
      <c r="D306" s="70" t="str">
        <f>IF(Trabajos!D306="","",Trabajos!D306)</f>
        <v>Aplicación de cebos</v>
      </c>
      <c r="E306" s="70" t="str">
        <f>IF(Trabajos!G306="","",Trabajos!G306)</f>
        <v>Tres Lagunas</v>
      </c>
      <c r="F306" s="108">
        <f>IF(Trabajos!H306="","",Trabajos!H306)</f>
        <v>30</v>
      </c>
      <c r="G306" s="84">
        <f>IF(Trabajos!I306="","",Trabajos!I306)</f>
        <v>7262.5</v>
      </c>
      <c r="H306" s="84">
        <f>IF(Trabajos!J306="","",Trabajos!J306)</f>
        <v>217875</v>
      </c>
      <c r="I306" s="107">
        <f>IF(Trabajos!M306="","",Trabajos!M306)</f>
        <v>110</v>
      </c>
      <c r="J306" s="84">
        <f>IF(Trabajos!N306="","",Trabajos!N306)</f>
        <v>650</v>
      </c>
      <c r="K306" s="84">
        <f>IF(Trabajos!O306="","",Trabajos!O306)</f>
        <v>71500</v>
      </c>
      <c r="L306" s="84">
        <f>IF(Trabajos!P306="","",Trabajos!P306)</f>
        <v>289375</v>
      </c>
    </row>
    <row r="307" spans="2:12" x14ac:dyDescent="0.25">
      <c r="B307" s="106">
        <f>IF(Trabajos!B307="","",Trabajos!B307)</f>
        <v>46003</v>
      </c>
      <c r="C307" s="70" t="str">
        <f>IF(Trabajos!F307="","",Trabajos!F307)</f>
        <v>Espartina S.A.</v>
      </c>
      <c r="D307" s="70" t="str">
        <f>IF(Trabajos!D307="","",Trabajos!D307)</f>
        <v>Aplicación de cebos</v>
      </c>
      <c r="E307" s="70" t="str">
        <f>IF(Trabajos!G307="","",Trabajos!G307)</f>
        <v>Loma Blanca</v>
      </c>
      <c r="F307" s="108">
        <f>IF(Trabajos!H307="","",Trabajos!H307)</f>
        <v>107</v>
      </c>
      <c r="G307" s="84">
        <f>IF(Trabajos!I307="","",Trabajos!I307)</f>
        <v>7250</v>
      </c>
      <c r="H307" s="84">
        <f>IF(Trabajos!J307="","",Trabajos!J307)</f>
        <v>775750</v>
      </c>
      <c r="I307" s="107">
        <f>IF(Trabajos!M307="","",Trabajos!M307)</f>
        <v>328</v>
      </c>
      <c r="J307" s="84">
        <f>IF(Trabajos!N307="","",Trabajos!N307)</f>
        <v>668.15</v>
      </c>
      <c r="K307" s="84">
        <f>IF(Trabajos!O307="","",Trabajos!O307)</f>
        <v>219153.19999999998</v>
      </c>
      <c r="L307" s="84">
        <f>IF(Trabajos!P307="","",Trabajos!P307)</f>
        <v>994903.2</v>
      </c>
    </row>
    <row r="308" spans="2:12" x14ac:dyDescent="0.25">
      <c r="B308" s="106">
        <f>IF(Trabajos!B308="","",Trabajos!B308)</f>
        <v>46004</v>
      </c>
      <c r="C308" s="70" t="str">
        <f>IF(Trabajos!F308="","",Trabajos!F308)</f>
        <v>Carlos Fernando Fuertes</v>
      </c>
      <c r="D308" s="70" t="str">
        <f>IF(Trabajos!D308="","",Trabajos!D308)</f>
        <v>Aplicación de cebos</v>
      </c>
      <c r="E308" s="70" t="str">
        <f>IF(Trabajos!G308="","",Trabajos!G308)</f>
        <v>La Tolderia</v>
      </c>
      <c r="F308" s="108">
        <f>IF(Trabajos!H308="","",Trabajos!H308)</f>
        <v>72</v>
      </c>
      <c r="G308" s="84">
        <f>IF(Trabajos!I308="","",Trabajos!I308)</f>
        <v>7320</v>
      </c>
      <c r="H308" s="84">
        <f>IF(Trabajos!J308="","",Trabajos!J308)</f>
        <v>527040</v>
      </c>
      <c r="I308" s="107">
        <f>IF(Trabajos!M308="","",Trabajos!M308)</f>
        <v>0</v>
      </c>
      <c r="J308" s="84">
        <f>IF(Trabajos!N308="","",Trabajos!N308)</f>
        <v>650</v>
      </c>
      <c r="K308" s="84">
        <f>IF(Trabajos!O308="","",Trabajos!O308)</f>
        <v>0</v>
      </c>
      <c r="L308" s="84">
        <f>IF(Trabajos!P308="","",Trabajos!P308)</f>
        <v>527040</v>
      </c>
    </row>
    <row r="309" spans="2:12" x14ac:dyDescent="0.25">
      <c r="B309" s="106">
        <f>IF(Trabajos!B309="","",Trabajos!B309)</f>
        <v>46008</v>
      </c>
      <c r="C309" s="70" t="str">
        <f>IF(Trabajos!F309="","",Trabajos!F309)</f>
        <v>Agustin Galeano</v>
      </c>
      <c r="D309" s="70" t="str">
        <f>IF(Trabajos!D309="","",Trabajos!D309)</f>
        <v>Muestreo de suelos</v>
      </c>
      <c r="E309" s="70" t="str">
        <f>IF(Trabajos!G309="","",Trabajos!G309)</f>
        <v>La Tigra</v>
      </c>
      <c r="F309" s="108">
        <f>IF(Trabajos!H309="","",Trabajos!H309)</f>
        <v>240</v>
      </c>
      <c r="G309" s="84">
        <f>IF(Trabajos!I309="","",Trabajos!I309)</f>
        <v>1176</v>
      </c>
      <c r="H309" s="84">
        <f>IF(Trabajos!J309="","",Trabajos!J309)</f>
        <v>282240</v>
      </c>
      <c r="I309" s="107">
        <f>IF(Trabajos!M309="","",Trabajos!M309)</f>
        <v>104</v>
      </c>
      <c r="J309" s="84">
        <f>IF(Trabajos!N309="","",Trabajos!N309)</f>
        <v>650</v>
      </c>
      <c r="K309" s="84">
        <f>IF(Trabajos!O309="","",Trabajos!O309)</f>
        <v>67600</v>
      </c>
      <c r="L309" s="84">
        <f>IF(Trabajos!P309="","",Trabajos!P309)</f>
        <v>349840</v>
      </c>
    </row>
    <row r="310" spans="2:12" x14ac:dyDescent="0.25">
      <c r="B310" s="106">
        <f>IF(Trabajos!B310="","",Trabajos!B310)</f>
        <v>46009</v>
      </c>
      <c r="C310" s="70" t="str">
        <f>IF(Trabajos!F310="","",Trabajos!F310)</f>
        <v>Jose Echeverria e Hijos</v>
      </c>
      <c r="D310" s="70" t="str">
        <f>IF(Trabajos!D310="","",Trabajos!D310)</f>
        <v>Muestreo de suelos</v>
      </c>
      <c r="E310" s="70" t="str">
        <f>IF(Trabajos!G310="","",Trabajos!G310)</f>
        <v>La Barrosa</v>
      </c>
      <c r="F310" s="108">
        <f>IF(Trabajos!H310="","",Trabajos!H310)</f>
        <v>20</v>
      </c>
      <c r="G310" s="84">
        <f>IF(Trabajos!I310="","",Trabajos!I310)</f>
        <v>1430</v>
      </c>
      <c r="H310" s="84">
        <f>IF(Trabajos!J310="","",Trabajos!J310)</f>
        <v>28600</v>
      </c>
      <c r="I310" s="107">
        <f>IF(Trabajos!M310="","",Trabajos!M310)</f>
        <v>20</v>
      </c>
      <c r="J310" s="84">
        <f>IF(Trabajos!N310="","",Trabajos!N310)</f>
        <v>700</v>
      </c>
      <c r="K310" s="84">
        <f>IF(Trabajos!O310="","",Trabajos!O310)</f>
        <v>14000</v>
      </c>
      <c r="L310" s="84">
        <f>IF(Trabajos!P310="","",Trabajos!P310)</f>
        <v>42600</v>
      </c>
    </row>
    <row r="311" spans="2:12" x14ac:dyDescent="0.25">
      <c r="B311" s="106">
        <f>IF(Trabajos!B311="","",Trabajos!B311)</f>
        <v>45993</v>
      </c>
      <c r="C311" s="70" t="str">
        <f>IF(Trabajos!F311="","",Trabajos!F311)</f>
        <v>Espartina S.A.</v>
      </c>
      <c r="D311" s="70" t="str">
        <f>IF(Trabajos!D311="","",Trabajos!D311)</f>
        <v>Aplicación de cebos</v>
      </c>
      <c r="E311" s="70" t="str">
        <f>IF(Trabajos!G311="","",Trabajos!G311)</f>
        <v>Santa Teresa</v>
      </c>
      <c r="F311" s="108">
        <f>IF(Trabajos!H311="","",Trabajos!H311)</f>
        <v>51</v>
      </c>
      <c r="G311" s="84">
        <f>IF(Trabajos!I311="","",Trabajos!I311)</f>
        <v>7250</v>
      </c>
      <c r="H311" s="84">
        <f>IF(Trabajos!J311="","",Trabajos!J311)</f>
        <v>369750</v>
      </c>
      <c r="I311" s="107">
        <f>IF(Trabajos!M311="","",Trabajos!M311)</f>
        <v>296</v>
      </c>
      <c r="J311" s="84">
        <f>IF(Trabajos!N311="","",Trabajos!N311)</f>
        <v>668.15</v>
      </c>
      <c r="K311" s="84">
        <f>IF(Trabajos!O311="","",Trabajos!O311)</f>
        <v>197772.4</v>
      </c>
      <c r="L311" s="84">
        <f>IF(Trabajos!P311="","",Trabajos!P311)</f>
        <v>567522.4</v>
      </c>
    </row>
    <row r="312" spans="2:12" x14ac:dyDescent="0.25">
      <c r="B312" s="106">
        <f>IF(Trabajos!B312="","",Trabajos!B312)</f>
        <v>46013</v>
      </c>
      <c r="C312" s="70" t="str">
        <f>IF(Trabajos!F312="","",Trabajos!F312)</f>
        <v>Espartina S.A.</v>
      </c>
      <c r="D312" s="70" t="str">
        <f>IF(Trabajos!D312="","",Trabajos!D312)</f>
        <v>Aplicación de cebos</v>
      </c>
      <c r="E312" s="70" t="str">
        <f>IF(Trabajos!G312="","",Trabajos!G312)</f>
        <v>Ajuste</v>
      </c>
      <c r="F312" s="108">
        <f>IF(Trabajos!H312="","",Trabajos!H312)</f>
        <v>164</v>
      </c>
      <c r="G312" s="84">
        <f>IF(Trabajos!I312="","",Trabajos!I312)</f>
        <v>7250</v>
      </c>
      <c r="H312" s="84">
        <f>IF(Trabajos!J312="","",Trabajos!J312)</f>
        <v>1189000</v>
      </c>
      <c r="I312" s="107">
        <f>IF(Trabajos!M312="","",Trabajos!M312)</f>
        <v>0</v>
      </c>
      <c r="J312" s="84">
        <f>IF(Trabajos!N312="","",Trabajos!N312)</f>
        <v>633.85</v>
      </c>
      <c r="K312" s="84">
        <f>IF(Trabajos!O312="","",Trabajos!O312)</f>
        <v>0</v>
      </c>
      <c r="L312" s="84">
        <f>IF(Trabajos!P312="","",Trabajos!P312)</f>
        <v>1189000</v>
      </c>
    </row>
    <row r="313" spans="2:12" x14ac:dyDescent="0.25">
      <c r="B313" s="106">
        <f>IF(Trabajos!B313="","",Trabajos!B313)</f>
        <v>45992</v>
      </c>
      <c r="C313" s="70" t="str">
        <f>IF(Trabajos!F313="","",Trabajos!F313)</f>
        <v>Juan Paulo Graf</v>
      </c>
      <c r="D313" s="70" t="str">
        <f>IF(Trabajos!D313="","",Trabajos!D313)</f>
        <v>Aplicación de cebos</v>
      </c>
      <c r="E313" s="70" t="str">
        <f>IF(Trabajos!G313="","",Trabajos!G313)</f>
        <v>San Francisco Bellocq</v>
      </c>
      <c r="F313" s="108">
        <f>IF(Trabajos!H313="","",Trabajos!H313)</f>
        <v>298</v>
      </c>
      <c r="G313" s="84">
        <f>IF(Trabajos!I313="","",Trabajos!I313)</f>
        <v>7260</v>
      </c>
      <c r="H313" s="84">
        <f>IF(Trabajos!J313="","",Trabajos!J313)</f>
        <v>2163480</v>
      </c>
      <c r="I313" s="107">
        <f>IF(Trabajos!M313="","",Trabajos!M313)</f>
        <v>330</v>
      </c>
      <c r="J313" s="84">
        <f>IF(Trabajos!N313="","",Trabajos!N313)</f>
        <v>650</v>
      </c>
      <c r="K313" s="84">
        <f>IF(Trabajos!O313="","",Trabajos!O313)</f>
        <v>214500</v>
      </c>
      <c r="L313" s="84">
        <f>IF(Trabajos!P313="","",Trabajos!P313)</f>
        <v>2377980</v>
      </c>
    </row>
    <row r="314" spans="2:12" x14ac:dyDescent="0.25">
      <c r="B314" s="106">
        <f>IF(Trabajos!B314="","",Trabajos!B314)</f>
        <v>46010</v>
      </c>
      <c r="C314" s="70" t="str">
        <f>IF(Trabajos!F314="","",Trabajos!F314)</f>
        <v>La Gloriosa S.A.</v>
      </c>
      <c r="D314" s="70" t="str">
        <f>IF(Trabajos!D314="","",Trabajos!D314)</f>
        <v>Muestreo de suelos</v>
      </c>
      <c r="E314" s="70" t="str">
        <f>IF(Trabajos!G314="","",Trabajos!G314)</f>
        <v xml:space="preserve">Santa Maria  </v>
      </c>
      <c r="F314" s="108">
        <f>IF(Trabajos!H314="","",Trabajos!H314)</f>
        <v>169</v>
      </c>
      <c r="G314" s="84">
        <f>IF(Trabajos!I314="","",Trabajos!I314)</f>
        <v>1444.5</v>
      </c>
      <c r="H314" s="84">
        <f>IF(Trabajos!J314="","",Trabajos!J314)</f>
        <v>244120.5</v>
      </c>
      <c r="I314" s="107">
        <f>IF(Trabajos!M314="","",Trabajos!M314)</f>
        <v>184</v>
      </c>
      <c r="J314" s="84">
        <f>IF(Trabajos!N314="","",Trabajos!N314)</f>
        <v>700</v>
      </c>
      <c r="K314" s="84">
        <f>IF(Trabajos!O314="","",Trabajos!O314)</f>
        <v>128800</v>
      </c>
      <c r="L314" s="84">
        <f>IF(Trabajos!P314="","",Trabajos!P314)</f>
        <v>372920.5</v>
      </c>
    </row>
    <row r="315" spans="2:12" x14ac:dyDescent="0.25">
      <c r="B315" s="106">
        <f>IF(Trabajos!B315="","",Trabajos!B315)</f>
        <v>46017</v>
      </c>
      <c r="C315" s="70" t="str">
        <f>IF(Trabajos!F315="","",Trabajos!F315)</f>
        <v>La Gloriosa S.A.</v>
      </c>
      <c r="D315" s="70" t="str">
        <f>IF(Trabajos!D315="","",Trabajos!D315)</f>
        <v>Muestreo de suelos</v>
      </c>
      <c r="E315" s="70" t="str">
        <f>IF(Trabajos!G315="","",Trabajos!G315)</f>
        <v>La Margarita</v>
      </c>
      <c r="F315" s="108">
        <f>IF(Trabajos!H315="","",Trabajos!H315)</f>
        <v>400</v>
      </c>
      <c r="G315" s="84">
        <f>IF(Trabajos!I315="","",Trabajos!I315)</f>
        <v>1444.5</v>
      </c>
      <c r="H315" s="84">
        <f>IF(Trabajos!J315="","",Trabajos!J315)</f>
        <v>577800</v>
      </c>
      <c r="I315" s="107">
        <f>IF(Trabajos!M315="","",Trabajos!M315)</f>
        <v>106</v>
      </c>
      <c r="J315" s="84">
        <f>IF(Trabajos!N315="","",Trabajos!N315)</f>
        <v>700</v>
      </c>
      <c r="K315" s="84">
        <f>IF(Trabajos!O315="","",Trabajos!O315)</f>
        <v>74200</v>
      </c>
      <c r="L315" s="84">
        <f>IF(Trabajos!P315="","",Trabajos!P315)</f>
        <v>652000</v>
      </c>
    </row>
    <row r="316" spans="2:12" x14ac:dyDescent="0.25">
      <c r="B316" s="106">
        <f>IF(Trabajos!B316="","",Trabajos!B316)</f>
        <v>46018</v>
      </c>
      <c r="C316" s="70" t="str">
        <f>IF(Trabajos!F316="","",Trabajos!F316)</f>
        <v>La Gloriosa S.A.</v>
      </c>
      <c r="D316" s="70" t="str">
        <f>IF(Trabajos!D316="","",Trabajos!D316)</f>
        <v>Muestreo de suelos</v>
      </c>
      <c r="E316" s="70" t="str">
        <f>IF(Trabajos!G316="","",Trabajos!G316)</f>
        <v>La Margarita</v>
      </c>
      <c r="F316" s="108">
        <f>IF(Trabajos!H316="","",Trabajos!H316)</f>
        <v>435</v>
      </c>
      <c r="G316" s="84">
        <f>IF(Trabajos!I316="","",Trabajos!I316)</f>
        <v>1444.5</v>
      </c>
      <c r="H316" s="84">
        <f>IF(Trabajos!J316="","",Trabajos!J316)</f>
        <v>628357.5</v>
      </c>
      <c r="I316" s="107">
        <f>IF(Trabajos!M316="","",Trabajos!M316)</f>
        <v>106</v>
      </c>
      <c r="J316" s="84">
        <f>IF(Trabajos!N316="","",Trabajos!N316)</f>
        <v>700</v>
      </c>
      <c r="K316" s="84">
        <f>IF(Trabajos!O316="","",Trabajos!O316)</f>
        <v>74200</v>
      </c>
      <c r="L316" s="84">
        <f>IF(Trabajos!P316="","",Trabajos!P316)</f>
        <v>702557.5</v>
      </c>
    </row>
    <row r="317" spans="2:12" x14ac:dyDescent="0.25">
      <c r="B317" s="106">
        <f>IF(Trabajos!B317="","",Trabajos!B317)</f>
        <v>46012</v>
      </c>
      <c r="C317" s="70" t="str">
        <f>IF(Trabajos!F317="","",Trabajos!F317)</f>
        <v>Espartina S.A.</v>
      </c>
      <c r="D317" s="70" t="str">
        <f>IF(Trabajos!D317="","",Trabajos!D317)</f>
        <v>Muestreo de suelos</v>
      </c>
      <c r="E317" s="70" t="str">
        <f>IF(Trabajos!G317="","",Trabajos!G317)</f>
        <v>La Juanita</v>
      </c>
      <c r="F317" s="108">
        <f>IF(Trabajos!H317="","",Trabajos!H317)</f>
        <v>50</v>
      </c>
      <c r="G317" s="84">
        <f>IF(Trabajos!I317="","",Trabajos!I317)</f>
        <v>1475</v>
      </c>
      <c r="H317" s="84">
        <f>IF(Trabajos!J317="","",Trabajos!J317)</f>
        <v>73750</v>
      </c>
      <c r="I317" s="107">
        <f>IF(Trabajos!M317="","",Trabajos!M317)</f>
        <v>60</v>
      </c>
      <c r="J317" s="84">
        <f>IF(Trabajos!N317="","",Trabajos!N317)</f>
        <v>668.15</v>
      </c>
      <c r="K317" s="84">
        <f>IF(Trabajos!O317="","",Trabajos!O317)</f>
        <v>40089</v>
      </c>
      <c r="L317" s="84">
        <f>IF(Trabajos!P317="","",Trabajos!P317)</f>
        <v>113839</v>
      </c>
    </row>
    <row r="318" spans="2:12" x14ac:dyDescent="0.25">
      <c r="B318" s="106">
        <f>IF(Trabajos!B318="","",Trabajos!B318)</f>
        <v>46037</v>
      </c>
      <c r="C318" s="70" t="str">
        <f>IF(Trabajos!F318="","",Trabajos!F318)</f>
        <v>La Gloriosa S.A.</v>
      </c>
      <c r="D318" s="70" t="str">
        <f>IF(Trabajos!D318="","",Trabajos!D318)</f>
        <v>Muestreo de suelos</v>
      </c>
      <c r="E318" s="70" t="str">
        <f>IF(Trabajos!G318="","",Trabajos!G318)</f>
        <v>La Margarita</v>
      </c>
      <c r="F318" s="108">
        <f>IF(Trabajos!H318="","",Trabajos!H318)</f>
        <v>500</v>
      </c>
      <c r="G318" s="84">
        <f>IF(Trabajos!I318="","",Trabajos!I318)</f>
        <v>866.7</v>
      </c>
      <c r="H318" s="84">
        <f>IF(Trabajos!J318="","",Trabajos!J318)</f>
        <v>433350</v>
      </c>
      <c r="I318" s="107">
        <f>IF(Trabajos!M318="","",Trabajos!M318)</f>
        <v>106</v>
      </c>
      <c r="J318" s="84">
        <f>IF(Trabajos!N318="","",Trabajos!N318)</f>
        <v>700</v>
      </c>
      <c r="K318" s="84">
        <f>IF(Trabajos!O318="","",Trabajos!O318)</f>
        <v>74200</v>
      </c>
      <c r="L318" s="84">
        <f>IF(Trabajos!P318="","",Trabajos!P318)</f>
        <v>507550</v>
      </c>
    </row>
    <row r="319" spans="2:12" x14ac:dyDescent="0.25">
      <c r="B319" s="106">
        <f>IF(Trabajos!B319="","",Trabajos!B319)</f>
        <v>46038</v>
      </c>
      <c r="C319" s="70" t="str">
        <f>IF(Trabajos!F319="","",Trabajos!F319)</f>
        <v>La Gloriosa S.A.</v>
      </c>
      <c r="D319" s="70" t="str">
        <f>IF(Trabajos!D319="","",Trabajos!D319)</f>
        <v>Muestreo de suelos</v>
      </c>
      <c r="E319" s="70" t="str">
        <f>IF(Trabajos!G319="","",Trabajos!G319)</f>
        <v>La Margarita</v>
      </c>
      <c r="F319" s="108">
        <f>IF(Trabajos!H319="","",Trabajos!H319)</f>
        <v>500</v>
      </c>
      <c r="G319" s="84">
        <f>IF(Trabajos!I319="","",Trabajos!I319)</f>
        <v>866.7</v>
      </c>
      <c r="H319" s="84">
        <f>IF(Trabajos!J319="","",Trabajos!J319)</f>
        <v>433350</v>
      </c>
      <c r="I319" s="107">
        <f>IF(Trabajos!M319="","",Trabajos!M319)</f>
        <v>106</v>
      </c>
      <c r="J319" s="84">
        <f>IF(Trabajos!N319="","",Trabajos!N319)</f>
        <v>700</v>
      </c>
      <c r="K319" s="84">
        <f>IF(Trabajos!O319="","",Trabajos!O319)</f>
        <v>74200</v>
      </c>
      <c r="L319" s="84">
        <f>IF(Trabajos!P319="","",Trabajos!P319)</f>
        <v>507550</v>
      </c>
    </row>
    <row r="320" spans="2:12" x14ac:dyDescent="0.25">
      <c r="B320" s="106">
        <f>IF(Trabajos!B320="","",Trabajos!B320)</f>
        <v>46049</v>
      </c>
      <c r="C320" s="70" t="str">
        <f>IF(Trabajos!F320="","",Trabajos!F320)</f>
        <v>La Gloriosa S.A.</v>
      </c>
      <c r="D320" s="70" t="str">
        <f>IF(Trabajos!D320="","",Trabajos!D320)</f>
        <v>Muestreo de suelos</v>
      </c>
      <c r="E320" s="70" t="str">
        <f>IF(Trabajos!G320="","",Trabajos!G320)</f>
        <v>La Margarita</v>
      </c>
      <c r="F320" s="108">
        <f>IF(Trabajos!H320="","",Trabajos!H320)</f>
        <v>577</v>
      </c>
      <c r="G320" s="84">
        <f>IF(Trabajos!I320="","",Trabajos!I320)</f>
        <v>866.7</v>
      </c>
      <c r="H320" s="84">
        <f>IF(Trabajos!J320="","",Trabajos!J320)</f>
        <v>500085.9</v>
      </c>
      <c r="I320" s="107">
        <f>IF(Trabajos!M320="","",Trabajos!M320)</f>
        <v>106</v>
      </c>
      <c r="J320" s="84">
        <f>IF(Trabajos!N320="","",Trabajos!N320)</f>
        <v>700</v>
      </c>
      <c r="K320" s="84">
        <f>IF(Trabajos!O320="","",Trabajos!O320)</f>
        <v>74200</v>
      </c>
      <c r="L320" s="84">
        <f>IF(Trabajos!P320="","",Trabajos!P320)</f>
        <v>574285.9</v>
      </c>
    </row>
    <row r="321" spans="2:12" x14ac:dyDescent="0.25">
      <c r="B321" s="106">
        <f>IF(Trabajos!B321="","",Trabajos!B321)</f>
        <v>46039</v>
      </c>
      <c r="C321" s="70" t="str">
        <f>IF(Trabajos!F321="","",Trabajos!F321)</f>
        <v>Espartina S.A.</v>
      </c>
      <c r="D321" s="70" t="str">
        <f>IF(Trabajos!D321="","",Trabajos!D321)</f>
        <v>Aplicación de cebos</v>
      </c>
      <c r="E321" s="70" t="str">
        <f>IF(Trabajos!G321="","",Trabajos!G321)</f>
        <v>Mallinco</v>
      </c>
      <c r="F321" s="108">
        <f>IF(Trabajos!H321="","",Trabajos!H321)</f>
        <v>50</v>
      </c>
      <c r="G321" s="84">
        <f>IF(Trabajos!I321="","",Trabajos!I321)</f>
        <v>7212.5</v>
      </c>
      <c r="H321" s="84">
        <f>IF(Trabajos!J321="","",Trabajos!J321)</f>
        <v>360625</v>
      </c>
      <c r="I321" s="107">
        <f>IF(Trabajos!M321="","",Trabajos!M321)</f>
        <v>186</v>
      </c>
      <c r="J321" s="84">
        <f>IF(Trabajos!N321="","",Trabajos!N321)</f>
        <v>668.15</v>
      </c>
      <c r="K321" s="84">
        <f>IF(Trabajos!O321="","",Trabajos!O321)</f>
        <v>124275.9</v>
      </c>
      <c r="L321" s="84">
        <f>IF(Trabajos!P321="","",Trabajos!P321)</f>
        <v>484900.9</v>
      </c>
    </row>
    <row r="322" spans="2:12" x14ac:dyDescent="0.25">
      <c r="B322" s="106">
        <f>IF(Trabajos!B322="","",Trabajos!B322)</f>
        <v>46158</v>
      </c>
      <c r="C322" s="70" t="str">
        <f>IF(Trabajos!F322="","",Trabajos!F322)</f>
        <v>Polixen S.A.</v>
      </c>
      <c r="D322" s="70" t="str">
        <f>IF(Trabajos!D322="","",Trabajos!D322)</f>
        <v>Aplicación de cebos</v>
      </c>
      <c r="E322" s="70" t="str">
        <f>IF(Trabajos!G322="","",Trabajos!G322)</f>
        <v>Cerro Paulino</v>
      </c>
      <c r="F322" s="108">
        <f>IF(Trabajos!H322="","",Trabajos!H322)</f>
        <v>50</v>
      </c>
      <c r="G322" s="84">
        <f>IF(Trabajos!I322="","",Trabajos!I322)</f>
        <v>7015</v>
      </c>
      <c r="H322" s="84">
        <f>IF(Trabajos!J322="","",Trabajos!J322)</f>
        <v>350750</v>
      </c>
      <c r="I322" s="107">
        <f>IF(Trabajos!M322="","",Trabajos!M322)</f>
        <v>0</v>
      </c>
      <c r="J322" s="84">
        <f>IF(Trabajos!N322="","",Trabajos!N322)</f>
        <v>700</v>
      </c>
      <c r="K322" s="84">
        <f>IF(Trabajos!O322="","",Trabajos!O322)</f>
        <v>0</v>
      </c>
      <c r="L322" s="84">
        <f>IF(Trabajos!P322="","",Trabajos!P322)</f>
        <v>350750</v>
      </c>
    </row>
    <row r="323" spans="2:12" x14ac:dyDescent="0.25">
      <c r="B323" s="106">
        <f>IF(Trabajos!B323="","",Trabajos!B323)</f>
        <v>46164</v>
      </c>
      <c r="C323" s="70" t="str">
        <f>IF(Trabajos!F323="","",Trabajos!F323)</f>
        <v>Mackrey Agropecuaria</v>
      </c>
      <c r="D323" s="70" t="str">
        <f>IF(Trabajos!D323="","",Trabajos!D323)</f>
        <v>Muestreo de suelos</v>
      </c>
      <c r="E323" s="70" t="str">
        <f>IF(Trabajos!G323="","",Trabajos!G323)</f>
        <v>El Cerro</v>
      </c>
      <c r="F323" s="108">
        <f>IF(Trabajos!H323="","",Trabajos!H323)</f>
        <v>25</v>
      </c>
      <c r="G323" s="84">
        <f>IF(Trabajos!I323="","",Trabajos!I323)</f>
        <v>1488</v>
      </c>
      <c r="H323" s="84">
        <f>IF(Trabajos!J323="","",Trabajos!J323)</f>
        <v>37200</v>
      </c>
      <c r="I323" s="107">
        <f>IF(Trabajos!M323="","",Trabajos!M323)</f>
        <v>22</v>
      </c>
      <c r="J323" s="84">
        <f>IF(Trabajos!N323="","",Trabajos!N323)</f>
        <v>850</v>
      </c>
      <c r="K323" s="84">
        <f>IF(Trabajos!O323="","",Trabajos!O323)</f>
        <v>18700</v>
      </c>
      <c r="L323" s="84">
        <f>IF(Trabajos!P323="","",Trabajos!P323)</f>
        <v>55900</v>
      </c>
    </row>
    <row r="324" spans="2:12" x14ac:dyDescent="0.25">
      <c r="B324" s="106">
        <f>IF(Trabajos!B324="","",Trabajos!B324)</f>
        <v>46165</v>
      </c>
      <c r="C324" s="70" t="str">
        <f>IF(Trabajos!F324="","",Trabajos!F324)</f>
        <v>Purtierra</v>
      </c>
      <c r="D324" s="70" t="str">
        <f>IF(Trabajos!D324="","",Trabajos!D324)</f>
        <v>Mapeo Dron</v>
      </c>
      <c r="E324" s="70" t="str">
        <f>IF(Trabajos!G324="","",Trabajos!G324)</f>
        <v>Ojo de Agua</v>
      </c>
      <c r="F324" s="108">
        <f>IF(Trabajos!H324="","",Trabajos!H324)</f>
        <v>147</v>
      </c>
      <c r="G324" s="84">
        <f>IF(Trabajos!I324="","",Trabajos!I324)</f>
        <v>4431</v>
      </c>
      <c r="H324" s="84">
        <f>IF(Trabajos!J324="","",Trabajos!J324)</f>
        <v>651357</v>
      </c>
      <c r="I324" s="107">
        <f>IF(Trabajos!M324="","",Trabajos!M324)</f>
        <v>92</v>
      </c>
      <c r="J324" s="84">
        <f>IF(Trabajos!N324="","",Trabajos!N324)</f>
        <v>850</v>
      </c>
      <c r="K324" s="84">
        <f>IF(Trabajos!O324="","",Trabajos!O324)</f>
        <v>78200</v>
      </c>
      <c r="L324" s="84">
        <f>IF(Trabajos!P324="","",Trabajos!P324)</f>
        <v>729557</v>
      </c>
    </row>
    <row r="325" spans="2:12" x14ac:dyDescent="0.25">
      <c r="B325" s="106">
        <f>IF(Trabajos!B325="","",Trabajos!B325)</f>
        <v>46168</v>
      </c>
      <c r="C325" s="70" t="str">
        <f>IF(Trabajos!F325="","",Trabajos!F325)</f>
        <v>La Nany S.A.</v>
      </c>
      <c r="D325" s="70" t="str">
        <f>IF(Trabajos!D325="","",Trabajos!D325)</f>
        <v>Muestreo de suelos</v>
      </c>
      <c r="E325" s="70" t="str">
        <f>IF(Trabajos!G325="","",Trabajos!G325)</f>
        <v>La Nany</v>
      </c>
      <c r="F325" s="108">
        <f>IF(Trabajos!H325="","",Trabajos!H325)</f>
        <v>305</v>
      </c>
      <c r="G325" s="84">
        <f>IF(Trabajos!I325="","",Trabajos!I325)</f>
        <v>1440.5</v>
      </c>
      <c r="H325" s="84">
        <f>IF(Trabajos!J325="","",Trabajos!J325)</f>
        <v>439352.5</v>
      </c>
      <c r="I325" s="107">
        <f>IF(Trabajos!M325="","",Trabajos!M325)</f>
        <v>0</v>
      </c>
      <c r="J325" s="84">
        <f>IF(Trabajos!N325="","",Trabajos!N325)</f>
        <v>850</v>
      </c>
      <c r="K325" s="84">
        <f>IF(Trabajos!O325="","",Trabajos!O325)</f>
        <v>0</v>
      </c>
      <c r="L325" s="84">
        <f>IF(Trabajos!P325="","",Trabajos!P325)</f>
        <v>439352.5</v>
      </c>
    </row>
    <row r="326" spans="2:12" x14ac:dyDescent="0.25">
      <c r="B326" s="106">
        <f>IF(Trabajos!B326="","",Trabajos!B326)</f>
        <v>46168</v>
      </c>
      <c r="C326" s="70" t="str">
        <f>IF(Trabajos!F326="","",Trabajos!F326)</f>
        <v>La Nany S.A.</v>
      </c>
      <c r="D326" s="70" t="str">
        <f>IF(Trabajos!D326="","",Trabajos!D326)</f>
        <v>Muestreo de suelos</v>
      </c>
      <c r="E326" s="70" t="str">
        <f>IF(Trabajos!G326="","",Trabajos!G326)</f>
        <v>La Adelia</v>
      </c>
      <c r="F326" s="108">
        <f>IF(Trabajos!H326="","",Trabajos!H326)</f>
        <v>147</v>
      </c>
      <c r="G326" s="84">
        <f>IF(Trabajos!I326="","",Trabajos!I326)</f>
        <v>1440.5</v>
      </c>
      <c r="H326" s="84">
        <f>IF(Trabajos!J326="","",Trabajos!J326)</f>
        <v>211753.5</v>
      </c>
      <c r="I326" s="107">
        <f>IF(Trabajos!M326="","",Trabajos!M326)</f>
        <v>104</v>
      </c>
      <c r="J326" s="84">
        <f>IF(Trabajos!N326="","",Trabajos!N326)</f>
        <v>850</v>
      </c>
      <c r="K326" s="84">
        <f>IF(Trabajos!O326="","",Trabajos!O326)</f>
        <v>88400</v>
      </c>
      <c r="L326" s="84">
        <f>IF(Trabajos!P326="","",Trabajos!P326)</f>
        <v>300153.5</v>
      </c>
    </row>
    <row r="327" spans="2:12" x14ac:dyDescent="0.25">
      <c r="B327" s="106">
        <f>IF(Trabajos!B327="","",Trabajos!B327)</f>
        <v>46200</v>
      </c>
      <c r="C327" s="70" t="str">
        <f>IF(Trabajos!F327="","",Trabajos!F327)</f>
        <v>Jose Velazco</v>
      </c>
      <c r="D327" s="70" t="str">
        <f>IF(Trabajos!D327="","",Trabajos!D327)</f>
        <v>Muestreo de suelos</v>
      </c>
      <c r="E327" s="70" t="str">
        <f>IF(Trabajos!G327="","",Trabajos!G327)</f>
        <v>El Junco</v>
      </c>
      <c r="F327" s="108">
        <f>IF(Trabajos!H327="","",Trabajos!H327)</f>
        <v>105</v>
      </c>
      <c r="G327" s="84">
        <f>IF(Trabajos!I327="","",Trabajos!I327)</f>
        <v>1777.8</v>
      </c>
      <c r="H327" s="84">
        <f>IF(Trabajos!J327="","",Trabajos!J327)</f>
        <v>186669</v>
      </c>
      <c r="I327" s="107">
        <f>IF(Trabajos!M327="","",Trabajos!M327)</f>
        <v>0</v>
      </c>
      <c r="J327" s="84">
        <f>IF(Trabajos!N327="","",Trabajos!N327)</f>
        <v>850</v>
      </c>
      <c r="K327" s="84">
        <f>IF(Trabajos!O327="","",Trabajos!O327)</f>
        <v>0</v>
      </c>
      <c r="L327" s="84">
        <f>IF(Trabajos!P327="","",Trabajos!P327)</f>
        <v>186669</v>
      </c>
    </row>
    <row r="328" spans="2:12" x14ac:dyDescent="0.25">
      <c r="B328" s="106">
        <f>IF(Trabajos!B328="","",Trabajos!B328)</f>
        <v>46171</v>
      </c>
      <c r="C328" s="70" t="str">
        <f>IF(Trabajos!F328="","",Trabajos!F328)</f>
        <v>Espartina S.A.</v>
      </c>
      <c r="D328" s="70" t="str">
        <f>IF(Trabajos!D328="","",Trabajos!D328)</f>
        <v>Muestreo de suelos</v>
      </c>
      <c r="E328" s="70" t="str">
        <f>IF(Trabajos!G328="","",Trabajos!G328)</f>
        <v>Las Overas</v>
      </c>
      <c r="F328" s="108">
        <f>IF(Trabajos!H328="","",Trabajos!H328)</f>
        <v>80</v>
      </c>
      <c r="G328" s="84">
        <f>IF(Trabajos!I328="","",Trabajos!I328)</f>
        <v>1854.0555555555</v>
      </c>
      <c r="H328" s="84">
        <f>IF(Trabajos!J328="","",Trabajos!J328)</f>
        <v>148324.44444443999</v>
      </c>
      <c r="I328" s="107">
        <f>IF(Trabajos!M328="","",Trabajos!M328)</f>
        <v>0</v>
      </c>
      <c r="J328" s="84">
        <f>IF(Trabajos!N328="","",Trabajos!N328)</f>
        <v>711.6</v>
      </c>
      <c r="K328" s="84">
        <f>IF(Trabajos!O328="","",Trabajos!O328)</f>
        <v>0</v>
      </c>
      <c r="L328" s="84">
        <f>IF(Trabajos!P328="","",Trabajos!P328)</f>
        <v>148324.44444443999</v>
      </c>
    </row>
    <row r="329" spans="2:12" x14ac:dyDescent="0.25">
      <c r="B329" s="106">
        <f>IF(Trabajos!B329="","",Trabajos!B329)</f>
        <v>46173</v>
      </c>
      <c r="C329" s="70" t="str">
        <f>IF(Trabajos!F329="","",Trabajos!F329)</f>
        <v>Guillermo Pugliese</v>
      </c>
      <c r="D329" s="70" t="str">
        <f>IF(Trabajos!D329="","",Trabajos!D329)</f>
        <v>Seguimiento NDVI</v>
      </c>
      <c r="E329" s="70" t="str">
        <f>IF(Trabajos!G329="","",Trabajos!G329)</f>
        <v>Varios</v>
      </c>
      <c r="F329" s="108">
        <f>IF(Trabajos!H329="","",Trabajos!H329)</f>
        <v>10149</v>
      </c>
      <c r="G329" s="84">
        <f>IF(Trabajos!I329="","",Trabajos!I329)</f>
        <v>422.4</v>
      </c>
      <c r="H329" s="84">
        <f>IF(Trabajos!J329="","",Trabajos!J329)</f>
        <v>4286937.5999999996</v>
      </c>
      <c r="I329" s="107">
        <f>IF(Trabajos!M329="","",Trabajos!M329)</f>
        <v>0</v>
      </c>
      <c r="J329" s="84">
        <f>IF(Trabajos!N329="","",Trabajos!N329)</f>
        <v>850</v>
      </c>
      <c r="K329" s="84">
        <f>IF(Trabajos!O329="","",Trabajos!O329)</f>
        <v>0</v>
      </c>
      <c r="L329" s="84">
        <f>IF(Trabajos!P329="","",Trabajos!P329)</f>
        <v>4286937.5999999996</v>
      </c>
    </row>
    <row r="330" spans="2:12" x14ac:dyDescent="0.25">
      <c r="B330" s="106">
        <f>IF(Trabajos!B330="","",Trabajos!B330)</f>
        <v>46175</v>
      </c>
      <c r="C330" s="70" t="str">
        <f>IF(Trabajos!F330="","",Trabajos!F330)</f>
        <v>Espartina S.A.</v>
      </c>
      <c r="D330" s="70" t="str">
        <f>IF(Trabajos!D330="","",Trabajos!D330)</f>
        <v>Muestreo de suelos</v>
      </c>
      <c r="E330" s="70" t="str">
        <f>IF(Trabajos!G330="","",Trabajos!G330)</f>
        <v>Las Overas</v>
      </c>
      <c r="F330" s="108">
        <f>IF(Trabajos!H330="","",Trabajos!H330)</f>
        <v>80</v>
      </c>
      <c r="G330" s="84">
        <f>IF(Trabajos!I330="","",Trabajos!I330)</f>
        <v>1854.0555555555</v>
      </c>
      <c r="H330" s="84">
        <f>IF(Trabajos!J330="","",Trabajos!J330)</f>
        <v>148324.44444443999</v>
      </c>
      <c r="I330" s="107">
        <f>IF(Trabajos!M330="","",Trabajos!M330)</f>
        <v>236</v>
      </c>
      <c r="J330" s="84">
        <f>IF(Trabajos!N330="","",Trabajos!N330)</f>
        <v>711.6</v>
      </c>
      <c r="K330" s="84">
        <f>IF(Trabajos!O330="","",Trabajos!O330)</f>
        <v>167937.6</v>
      </c>
      <c r="L330" s="84">
        <f>IF(Trabajos!P330="","",Trabajos!P330)</f>
        <v>316262.04444443999</v>
      </c>
    </row>
    <row r="331" spans="2:12" x14ac:dyDescent="0.25">
      <c r="B331" s="106">
        <f>IF(Trabajos!B331="","",Trabajos!B331)</f>
        <v>46175</v>
      </c>
      <c r="C331" s="70" t="str">
        <f>IF(Trabajos!F331="","",Trabajos!F331)</f>
        <v>Espartina S.A.</v>
      </c>
      <c r="D331" s="70" t="str">
        <f>IF(Trabajos!D331="","",Trabajos!D331)</f>
        <v>Muestreo de suelos</v>
      </c>
      <c r="E331" s="70" t="str">
        <f>IF(Trabajos!G331="","",Trabajos!G331)</f>
        <v>Doña Hilda</v>
      </c>
      <c r="F331" s="108">
        <f>IF(Trabajos!H331="","",Trabajos!H331)</f>
        <v>80</v>
      </c>
      <c r="G331" s="84">
        <f>IF(Trabajos!I331="","",Trabajos!I331)</f>
        <v>1854.0555555555</v>
      </c>
      <c r="H331" s="84">
        <f>IF(Trabajos!J331="","",Trabajos!J331)</f>
        <v>148324.44444443999</v>
      </c>
      <c r="I331" s="107">
        <f>IF(Trabajos!M331="","",Trabajos!M331)</f>
        <v>202</v>
      </c>
      <c r="J331" s="84">
        <f>IF(Trabajos!N331="","",Trabajos!N331)</f>
        <v>711.6</v>
      </c>
      <c r="K331" s="84">
        <f>IF(Trabajos!O331="","",Trabajos!O331)</f>
        <v>143743.20000000001</v>
      </c>
      <c r="L331" s="84">
        <f>IF(Trabajos!P331="","",Trabajos!P331)</f>
        <v>292067.64444444003</v>
      </c>
    </row>
    <row r="332" spans="2:12" x14ac:dyDescent="0.25">
      <c r="B332" s="106">
        <f>IF(Trabajos!B332="","",Trabajos!B332)</f>
        <v>46175</v>
      </c>
      <c r="C332" s="70" t="str">
        <f>IF(Trabajos!F332="","",Trabajos!F332)</f>
        <v>Espartina S.A.</v>
      </c>
      <c r="D332" s="70" t="str">
        <f>IF(Trabajos!D332="","",Trabajos!D332)</f>
        <v>Muestreo de suelos</v>
      </c>
      <c r="E332" s="70" t="str">
        <f>IF(Trabajos!G332="","",Trabajos!G332)</f>
        <v>San Lorenzo</v>
      </c>
      <c r="F332" s="108">
        <f>IF(Trabajos!H332="","",Trabajos!H332)</f>
        <v>80</v>
      </c>
      <c r="G332" s="84">
        <f>IF(Trabajos!I332="","",Trabajos!I332)</f>
        <v>1854.0555555555</v>
      </c>
      <c r="H332" s="84">
        <f>IF(Trabajos!J332="","",Trabajos!J332)</f>
        <v>148324.44444443999</v>
      </c>
      <c r="I332" s="107">
        <f>IF(Trabajos!M332="","",Trabajos!M332)</f>
        <v>0</v>
      </c>
      <c r="J332" s="84">
        <f>IF(Trabajos!N332="","",Trabajos!N332)</f>
        <v>711.6</v>
      </c>
      <c r="K332" s="84">
        <f>IF(Trabajos!O332="","",Trabajos!O332)</f>
        <v>0</v>
      </c>
      <c r="L332" s="84">
        <f>IF(Trabajos!P332="","",Trabajos!P332)</f>
        <v>148324.44444443999</v>
      </c>
    </row>
    <row r="333" spans="2:12" x14ac:dyDescent="0.25">
      <c r="B333" s="106">
        <f>IF(Trabajos!B333="","",Trabajos!B333)</f>
        <v>46175</v>
      </c>
      <c r="C333" s="70" t="str">
        <f>IF(Trabajos!F333="","",Trabajos!F333)</f>
        <v>Espartina S.A.</v>
      </c>
      <c r="D333" s="70" t="str">
        <f>IF(Trabajos!D333="","",Trabajos!D333)</f>
        <v>Muestreo de suelos</v>
      </c>
      <c r="E333" s="70" t="str">
        <f>IF(Trabajos!G333="","",Trabajos!G333)</f>
        <v>Mallinco</v>
      </c>
      <c r="F333" s="108">
        <f>IF(Trabajos!H333="","",Trabajos!H333)</f>
        <v>80</v>
      </c>
      <c r="G333" s="84">
        <f>IF(Trabajos!I333="","",Trabajos!I333)</f>
        <v>1854.0555555555</v>
      </c>
      <c r="H333" s="84">
        <f>IF(Trabajos!J333="","",Trabajos!J333)</f>
        <v>148324.44444443999</v>
      </c>
      <c r="I333" s="107">
        <f>IF(Trabajos!M333="","",Trabajos!M333)</f>
        <v>186</v>
      </c>
      <c r="J333" s="84">
        <f>IF(Trabajos!N333="","",Trabajos!N333)</f>
        <v>711.6</v>
      </c>
      <c r="K333" s="84">
        <f>IF(Trabajos!O333="","",Trabajos!O333)</f>
        <v>132357.6</v>
      </c>
      <c r="L333" s="84">
        <f>IF(Trabajos!P333="","",Trabajos!P333)</f>
        <v>280682.04444443999</v>
      </c>
    </row>
    <row r="334" spans="2:12" x14ac:dyDescent="0.25">
      <c r="B334" s="106">
        <f>IF(Trabajos!B334="","",Trabajos!B334)</f>
        <v>46175</v>
      </c>
      <c r="C334" s="70" t="str">
        <f>IF(Trabajos!F334="","",Trabajos!F334)</f>
        <v>Espartina S.A.</v>
      </c>
      <c r="D334" s="70" t="str">
        <f>IF(Trabajos!D334="","",Trabajos!D334)</f>
        <v>Muestreo de suelos</v>
      </c>
      <c r="E334" s="70" t="str">
        <f>IF(Trabajos!G334="","",Trabajos!G334)</f>
        <v>Santa Isabel</v>
      </c>
      <c r="F334" s="108">
        <f>IF(Trabajos!H334="","",Trabajos!H334)</f>
        <v>80</v>
      </c>
      <c r="G334" s="84">
        <f>IF(Trabajos!I334="","",Trabajos!I334)</f>
        <v>1854.0555555555</v>
      </c>
      <c r="H334" s="84">
        <f>IF(Trabajos!J334="","",Trabajos!J334)</f>
        <v>148324.44444443999</v>
      </c>
      <c r="I334" s="107">
        <f>IF(Trabajos!M334="","",Trabajos!M334)</f>
        <v>0</v>
      </c>
      <c r="J334" s="84">
        <f>IF(Trabajos!N334="","",Trabajos!N334)</f>
        <v>711.6</v>
      </c>
      <c r="K334" s="84">
        <f>IF(Trabajos!O334="","",Trabajos!O334)</f>
        <v>0</v>
      </c>
      <c r="L334" s="84">
        <f>IF(Trabajos!P334="","",Trabajos!P334)</f>
        <v>148324.44444443999</v>
      </c>
    </row>
    <row r="335" spans="2:12" x14ac:dyDescent="0.25">
      <c r="B335" s="106">
        <f>IF(Trabajos!B335="","",Trabajos!B335)</f>
        <v>46176</v>
      </c>
      <c r="C335" s="70" t="str">
        <f>IF(Trabajos!F335="","",Trabajos!F335)</f>
        <v>Espartina S.A.</v>
      </c>
      <c r="D335" s="70" t="str">
        <f>IF(Trabajos!D335="","",Trabajos!D335)</f>
        <v>Muestreo de suelos</v>
      </c>
      <c r="E335" s="70" t="str">
        <f>IF(Trabajos!G335="","",Trabajos!G335)</f>
        <v>Tres Marias</v>
      </c>
      <c r="F335" s="108">
        <f>IF(Trabajos!H335="","",Trabajos!H335)</f>
        <v>80</v>
      </c>
      <c r="G335" s="84">
        <f>IF(Trabajos!I335="","",Trabajos!I335)</f>
        <v>1854.0555555555</v>
      </c>
      <c r="H335" s="84">
        <f>IF(Trabajos!J335="","",Trabajos!J335)</f>
        <v>148324.44444443999</v>
      </c>
      <c r="I335" s="107">
        <f>IF(Trabajos!M335="","",Trabajos!M335)</f>
        <v>210</v>
      </c>
      <c r="J335" s="84">
        <f>IF(Trabajos!N335="","",Trabajos!N335)</f>
        <v>711.6</v>
      </c>
      <c r="K335" s="84">
        <f>IF(Trabajos!O335="","",Trabajos!O335)</f>
        <v>149436</v>
      </c>
      <c r="L335" s="84">
        <f>IF(Trabajos!P335="","",Trabajos!P335)</f>
        <v>297760.44444443996</v>
      </c>
    </row>
    <row r="336" spans="2:12" x14ac:dyDescent="0.25">
      <c r="B336" s="106">
        <f>IF(Trabajos!B336="","",Trabajos!B336)</f>
        <v>46176</v>
      </c>
      <c r="C336" s="70" t="str">
        <f>IF(Trabajos!F336="","",Trabajos!F336)</f>
        <v>Baltan Agropecuaria</v>
      </c>
      <c r="D336" s="70" t="str">
        <f>IF(Trabajos!D336="","",Trabajos!D336)</f>
        <v>Muestreo de suelos</v>
      </c>
      <c r="E336" s="70" t="str">
        <f>IF(Trabajos!G336="","",Trabajos!G336)</f>
        <v>Tres Esquinas</v>
      </c>
      <c r="F336" s="108">
        <f>IF(Trabajos!H336="","",Trabajos!H336)</f>
        <v>39</v>
      </c>
      <c r="G336" s="84">
        <f>IF(Trabajos!I336="","",Trabajos!I336)</f>
        <v>1440.5</v>
      </c>
      <c r="H336" s="84">
        <f>IF(Trabajos!J336="","",Trabajos!J336)</f>
        <v>56179.5</v>
      </c>
      <c r="I336" s="107">
        <f>IF(Trabajos!M336="","",Trabajos!M336)</f>
        <v>36</v>
      </c>
      <c r="J336" s="84">
        <f>IF(Trabajos!N336="","",Trabajos!N336)</f>
        <v>850</v>
      </c>
      <c r="K336" s="84">
        <f>IF(Trabajos!O336="","",Trabajos!O336)</f>
        <v>30600</v>
      </c>
      <c r="L336" s="84">
        <f>IF(Trabajos!P336="","",Trabajos!P336)</f>
        <v>86779.5</v>
      </c>
    </row>
    <row r="337" spans="2:12" x14ac:dyDescent="0.25">
      <c r="B337" s="106">
        <f>IF(Trabajos!B337="","",Trabajos!B337)</f>
        <v>46167</v>
      </c>
      <c r="C337" s="70" t="str">
        <f>IF(Trabajos!F337="","",Trabajos!F337)</f>
        <v>Alejandro Massigoge</v>
      </c>
      <c r="D337" s="70" t="str">
        <f>IF(Trabajos!D337="","",Trabajos!D337)</f>
        <v>Muestreo de suelos</v>
      </c>
      <c r="E337" s="70" t="str">
        <f>IF(Trabajos!G337="","",Trabajos!G337)</f>
        <v>La Chacra</v>
      </c>
      <c r="F337" s="108">
        <f>IF(Trabajos!H337="","",Trabajos!H337)</f>
        <v>214</v>
      </c>
      <c r="G337" s="84">
        <f>IF(Trabajos!I337="","",Trabajos!I337)</f>
        <v>1446.5</v>
      </c>
      <c r="H337" s="84">
        <f>IF(Trabajos!J337="","",Trabajos!J337)</f>
        <v>309551</v>
      </c>
      <c r="I337" s="107">
        <f>IF(Trabajos!M337="","",Trabajos!M337)</f>
        <v>0</v>
      </c>
      <c r="J337" s="84">
        <f>IF(Trabajos!N337="","",Trabajos!N337)</f>
        <v>850</v>
      </c>
      <c r="K337" s="84">
        <f>IF(Trabajos!O337="","",Trabajos!O337)</f>
        <v>0</v>
      </c>
      <c r="L337" s="84">
        <f>IF(Trabajos!P337="","",Trabajos!P337)</f>
        <v>309551</v>
      </c>
    </row>
    <row r="338" spans="2:12" x14ac:dyDescent="0.25">
      <c r="B338" s="106">
        <f>IF(Trabajos!B338="","",Trabajos!B338)</f>
        <v>46184</v>
      </c>
      <c r="C338" s="70" t="str">
        <f>IF(Trabajos!F338="","",Trabajos!F338)</f>
        <v>Purtierra</v>
      </c>
      <c r="D338" s="70" t="str">
        <f>IF(Trabajos!D338="","",Trabajos!D338)</f>
        <v>Mapeo Dron</v>
      </c>
      <c r="E338" s="70" t="str">
        <f>IF(Trabajos!G338="","",Trabajos!G338)</f>
        <v>Ojo de Agua</v>
      </c>
      <c r="F338" s="108">
        <f>IF(Trabajos!H338="","",Trabajos!H338)</f>
        <v>137</v>
      </c>
      <c r="G338" s="84">
        <f>IF(Trabajos!I338="","",Trabajos!I338)</f>
        <v>4431</v>
      </c>
      <c r="H338" s="84">
        <f>IF(Trabajos!J338="","",Trabajos!J338)</f>
        <v>607047</v>
      </c>
      <c r="I338" s="107">
        <f>IF(Trabajos!M338="","",Trabajos!M338)</f>
        <v>92</v>
      </c>
      <c r="J338" s="84">
        <f>IF(Trabajos!N338="","",Trabajos!N338)</f>
        <v>850</v>
      </c>
      <c r="K338" s="84">
        <f>IF(Trabajos!O338="","",Trabajos!O338)</f>
        <v>78200</v>
      </c>
      <c r="L338" s="84">
        <f>IF(Trabajos!P338="","",Trabajos!P338)</f>
        <v>685247</v>
      </c>
    </row>
    <row r="339" spans="2:12" x14ac:dyDescent="0.25">
      <c r="B339" s="106">
        <f>IF(Trabajos!B339="","",Trabajos!B339)</f>
        <v>46185</v>
      </c>
      <c r="C339" s="70" t="str">
        <f>IF(Trabajos!F339="","",Trabajos!F339)</f>
        <v>Nugas S.A.</v>
      </c>
      <c r="D339" s="70" t="str">
        <f>IF(Trabajos!D339="","",Trabajos!D339)</f>
        <v>Muestreo de suelos</v>
      </c>
      <c r="E339" s="70" t="str">
        <f>IF(Trabajos!G339="","",Trabajos!G339)</f>
        <v>La Alborada</v>
      </c>
      <c r="F339" s="108">
        <f>IF(Trabajos!H339="","",Trabajos!H339)</f>
        <v>124</v>
      </c>
      <c r="G339" s="84">
        <f>IF(Trabajos!I339="","",Trabajos!I339)</f>
        <v>1786.2</v>
      </c>
      <c r="H339" s="84">
        <f>IF(Trabajos!J339="","",Trabajos!J339)</f>
        <v>221488.80000000002</v>
      </c>
      <c r="I339" s="107">
        <f>IF(Trabajos!M339="","",Trabajos!M339)</f>
        <v>160</v>
      </c>
      <c r="J339" s="84">
        <f>IF(Trabajos!N339="","",Trabajos!N339)</f>
        <v>850</v>
      </c>
      <c r="K339" s="84">
        <f>IF(Trabajos!O339="","",Trabajos!O339)</f>
        <v>136000</v>
      </c>
      <c r="L339" s="84">
        <f>IF(Trabajos!P339="","",Trabajos!P339)</f>
        <v>357488.80000000005</v>
      </c>
    </row>
    <row r="340" spans="2:12" x14ac:dyDescent="0.25">
      <c r="B340" s="106">
        <f>IF(Trabajos!B340="","",Trabajos!B340)</f>
        <v>46185</v>
      </c>
      <c r="C340" s="70" t="str">
        <f>IF(Trabajos!F340="","",Trabajos!F340)</f>
        <v>Nugas S.A.</v>
      </c>
      <c r="D340" s="70" t="str">
        <f>IF(Trabajos!D340="","",Trabajos!D340)</f>
        <v>Muestreo de suelos</v>
      </c>
      <c r="E340" s="70" t="str">
        <f>IF(Trabajos!G340="","",Trabajos!G340)</f>
        <v>La Alborada</v>
      </c>
      <c r="F340" s="108">
        <f>IF(Trabajos!H340="","",Trabajos!H340)</f>
        <v>105</v>
      </c>
      <c r="G340" s="84">
        <f>IF(Trabajos!I340="","",Trabajos!I340)</f>
        <v>1190.8</v>
      </c>
      <c r="H340" s="84">
        <f>IF(Trabajos!J340="","",Trabajos!J340)</f>
        <v>125034</v>
      </c>
      <c r="I340" s="107">
        <f>IF(Trabajos!M340="","",Trabajos!M340)</f>
        <v>0</v>
      </c>
      <c r="J340" s="84">
        <f>IF(Trabajos!N340="","",Trabajos!N340)</f>
        <v>850</v>
      </c>
      <c r="K340" s="84">
        <f>IF(Trabajos!O340="","",Trabajos!O340)</f>
        <v>0</v>
      </c>
      <c r="L340" s="84">
        <f>IF(Trabajos!P340="","",Trabajos!P340)</f>
        <v>125034</v>
      </c>
    </row>
    <row r="341" spans="2:12" x14ac:dyDescent="0.25">
      <c r="B341" s="106">
        <f>IF(Trabajos!B341="","",Trabajos!B341)</f>
        <v>46185</v>
      </c>
      <c r="C341" s="70" t="str">
        <f>IF(Trabajos!F341="","",Trabajos!F341)</f>
        <v>Alfredo Hitce</v>
      </c>
      <c r="D341" s="70" t="str">
        <f>IF(Trabajos!D341="","",Trabajos!D341)</f>
        <v>Muestreo de suelos</v>
      </c>
      <c r="E341" s="70" t="str">
        <f>IF(Trabajos!G341="","",Trabajos!G341)</f>
        <v>Tres Lomas</v>
      </c>
      <c r="F341" s="108">
        <f>IF(Trabajos!H341="","",Trabajos!H341)</f>
        <v>99</v>
      </c>
      <c r="G341" s="84">
        <f>IF(Trabajos!I341="","",Trabajos!I341)</f>
        <v>1488</v>
      </c>
      <c r="H341" s="84">
        <f>IF(Trabajos!J341="","",Trabajos!J341)</f>
        <v>147312</v>
      </c>
      <c r="I341" s="107">
        <f>IF(Trabajos!M341="","",Trabajos!M341)</f>
        <v>136</v>
      </c>
      <c r="J341" s="84">
        <f>IF(Trabajos!N341="","",Trabajos!N341)</f>
        <v>850</v>
      </c>
      <c r="K341" s="84">
        <f>IF(Trabajos!O341="","",Trabajos!O341)</f>
        <v>115600</v>
      </c>
      <c r="L341" s="84">
        <f>IF(Trabajos!P341="","",Trabajos!P341)</f>
        <v>262912</v>
      </c>
    </row>
    <row r="342" spans="2:12" x14ac:dyDescent="0.25">
      <c r="B342" s="106">
        <f>IF(Trabajos!B342="","",Trabajos!B342)</f>
        <v>46185</v>
      </c>
      <c r="C342" s="70" t="str">
        <f>IF(Trabajos!F342="","",Trabajos!F342)</f>
        <v>Espartina S.A.</v>
      </c>
      <c r="D342" s="70" t="str">
        <f>IF(Trabajos!D342="","",Trabajos!D342)</f>
        <v>Muestreo de suelos</v>
      </c>
      <c r="E342" s="70" t="str">
        <f>IF(Trabajos!G342="","",Trabajos!G342)</f>
        <v>Millantuel</v>
      </c>
      <c r="F342" s="108">
        <f>IF(Trabajos!H342="","",Trabajos!H342)</f>
        <v>80</v>
      </c>
      <c r="G342" s="84">
        <f>IF(Trabajos!I342="","",Trabajos!I342)</f>
        <v>1854.0555555555</v>
      </c>
      <c r="H342" s="84">
        <f>IF(Trabajos!J342="","",Trabajos!J342)</f>
        <v>148324.44444443999</v>
      </c>
      <c r="I342" s="107">
        <f>IF(Trabajos!M342="","",Trabajos!M342)</f>
        <v>248</v>
      </c>
      <c r="J342" s="84">
        <f>IF(Trabajos!N342="","",Trabajos!N342)</f>
        <v>711.6</v>
      </c>
      <c r="K342" s="84">
        <f>IF(Trabajos!O342="","",Trabajos!O342)</f>
        <v>176476.80000000002</v>
      </c>
      <c r="L342" s="84">
        <f>IF(Trabajos!P342="","",Trabajos!P342)</f>
        <v>324801.24444444</v>
      </c>
    </row>
    <row r="343" spans="2:12" x14ac:dyDescent="0.25">
      <c r="B343" s="106">
        <f>IF(Trabajos!B343="","",Trabajos!B343)</f>
        <v>46185</v>
      </c>
      <c r="C343" s="70" t="str">
        <f>IF(Trabajos!F343="","",Trabajos!F343)</f>
        <v>Espartina S.A.</v>
      </c>
      <c r="D343" s="70" t="str">
        <f>IF(Trabajos!D343="","",Trabajos!D343)</f>
        <v>Muestreo de suelos</v>
      </c>
      <c r="E343" s="70" t="str">
        <f>IF(Trabajos!G343="","",Trabajos!G343)</f>
        <v>Santa Teresa</v>
      </c>
      <c r="F343" s="108">
        <f>IF(Trabajos!H343="","",Trabajos!H343)</f>
        <v>80</v>
      </c>
      <c r="G343" s="84">
        <f>IF(Trabajos!I343="","",Trabajos!I343)</f>
        <v>1854.0555555555</v>
      </c>
      <c r="H343" s="84">
        <f>IF(Trabajos!J343="","",Trabajos!J343)</f>
        <v>148324.44444443999</v>
      </c>
      <c r="I343" s="107">
        <f>IF(Trabajos!M343="","",Trabajos!M343)</f>
        <v>0</v>
      </c>
      <c r="J343" s="84">
        <f>IF(Trabajos!N343="","",Trabajos!N343)</f>
        <v>711.6</v>
      </c>
      <c r="K343" s="84">
        <f>IF(Trabajos!O343="","",Trabajos!O343)</f>
        <v>0</v>
      </c>
      <c r="L343" s="84">
        <f>IF(Trabajos!P343="","",Trabajos!P343)</f>
        <v>148324.44444443999</v>
      </c>
    </row>
    <row r="344" spans="2:12" x14ac:dyDescent="0.25">
      <c r="B344" s="106">
        <f>IF(Trabajos!B344="","",Trabajos!B344)</f>
        <v>46189</v>
      </c>
      <c r="C344" s="70" t="str">
        <f>IF(Trabajos!F344="","",Trabajos!F344)</f>
        <v>Fernando Pili</v>
      </c>
      <c r="D344" s="70" t="str">
        <f>IF(Trabajos!D344="","",Trabajos!D344)</f>
        <v>Mapeo Dron</v>
      </c>
      <c r="E344" s="70" t="str">
        <f>IF(Trabajos!G344="","",Trabajos!G344)</f>
        <v>El Colorado</v>
      </c>
      <c r="F344" s="108">
        <f>IF(Trabajos!H344="","",Trabajos!H344)</f>
        <v>129</v>
      </c>
      <c r="G344" s="84">
        <f>IF(Trabajos!I344="","",Trabajos!I344)</f>
        <v>8186.75</v>
      </c>
      <c r="H344" s="84">
        <f>IF(Trabajos!J344="","",Trabajos!J344)</f>
        <v>1056090.75</v>
      </c>
      <c r="I344" s="107">
        <f>IF(Trabajos!M344="","",Trabajos!M344)</f>
        <v>0</v>
      </c>
      <c r="J344" s="84">
        <f>IF(Trabajos!N344="","",Trabajos!N344)</f>
        <v>850</v>
      </c>
      <c r="K344" s="84">
        <f>IF(Trabajos!O344="","",Trabajos!O344)</f>
        <v>0</v>
      </c>
      <c r="L344" s="84">
        <f>IF(Trabajos!P344="","",Trabajos!P344)</f>
        <v>1056090.75</v>
      </c>
    </row>
    <row r="345" spans="2:12" x14ac:dyDescent="0.25">
      <c r="B345" s="106">
        <f>IF(Trabajos!B345="","",Trabajos!B345)</f>
        <v>46190</v>
      </c>
      <c r="C345" s="70" t="str">
        <f>IF(Trabajos!F345="","",Trabajos!F345)</f>
        <v>Espartina S.A.</v>
      </c>
      <c r="D345" s="70" t="str">
        <f>IF(Trabajos!D345="","",Trabajos!D345)</f>
        <v>Muestreo de suelos</v>
      </c>
      <c r="E345" s="70" t="str">
        <f>IF(Trabajos!G345="","",Trabajos!G345)</f>
        <v>Santa Maria del Moro</v>
      </c>
      <c r="F345" s="108">
        <f>IF(Trabajos!H345="","",Trabajos!H345)</f>
        <v>80</v>
      </c>
      <c r="G345" s="84">
        <f>IF(Trabajos!I345="","",Trabajos!I345)</f>
        <v>930</v>
      </c>
      <c r="H345" s="84">
        <f>IF(Trabajos!J345="","",Trabajos!J345)</f>
        <v>74400</v>
      </c>
      <c r="I345" s="107">
        <f>IF(Trabajos!M345="","",Trabajos!M345)</f>
        <v>220</v>
      </c>
      <c r="J345" s="84">
        <f>IF(Trabajos!N345="","",Trabajos!N345)</f>
        <v>711.6</v>
      </c>
      <c r="K345" s="84">
        <f>IF(Trabajos!O345="","",Trabajos!O345)</f>
        <v>156552</v>
      </c>
      <c r="L345" s="84">
        <f>IF(Trabajos!P345="","",Trabajos!P345)</f>
        <v>230952</v>
      </c>
    </row>
    <row r="346" spans="2:12" x14ac:dyDescent="0.25">
      <c r="B346" s="106">
        <f>IF(Trabajos!B346="","",Trabajos!B346)</f>
        <v>46190</v>
      </c>
      <c r="C346" s="70" t="str">
        <f>IF(Trabajos!F346="","",Trabajos!F346)</f>
        <v>Espartina S.A.</v>
      </c>
      <c r="D346" s="70" t="str">
        <f>IF(Trabajos!D346="","",Trabajos!D346)</f>
        <v>Muestreo de suelos</v>
      </c>
      <c r="E346" s="70" t="str">
        <f>IF(Trabajos!G346="","",Trabajos!G346)</f>
        <v>Manucam del Moro</v>
      </c>
      <c r="F346" s="108">
        <f>IF(Trabajos!H346="","",Trabajos!H346)</f>
        <v>80</v>
      </c>
      <c r="G346" s="84">
        <f>IF(Trabajos!I346="","",Trabajos!I346)</f>
        <v>930</v>
      </c>
      <c r="H346" s="84">
        <f>IF(Trabajos!J346="","",Trabajos!J346)</f>
        <v>74400</v>
      </c>
      <c r="I346" s="107">
        <f>IF(Trabajos!M346="","",Trabajos!M346)</f>
        <v>0</v>
      </c>
      <c r="J346" s="84">
        <f>IF(Trabajos!N346="","",Trabajos!N346)</f>
        <v>711.6</v>
      </c>
      <c r="K346" s="84">
        <f>IF(Trabajos!O346="","",Trabajos!O346)</f>
        <v>0</v>
      </c>
      <c r="L346" s="84">
        <f>IF(Trabajos!P346="","",Trabajos!P346)</f>
        <v>74400</v>
      </c>
    </row>
    <row r="347" spans="2:12" x14ac:dyDescent="0.25">
      <c r="B347" s="106">
        <f>IF(Trabajos!B347="","",Trabajos!B347)</f>
        <v>46196</v>
      </c>
      <c r="C347" s="70" t="str">
        <f>IF(Trabajos!F347="","",Trabajos!F347)</f>
        <v>Espartina S.A.</v>
      </c>
      <c r="D347" s="70" t="str">
        <f>IF(Trabajos!D347="","",Trabajos!D347)</f>
        <v>Muestreo de suelos</v>
      </c>
      <c r="E347" s="70" t="str">
        <f>IF(Trabajos!G347="","",Trabajos!G347)</f>
        <v>La Magdalena</v>
      </c>
      <c r="F347" s="108">
        <f>IF(Trabajos!H347="","",Trabajos!H347)</f>
        <v>80</v>
      </c>
      <c r="G347" s="84">
        <f>IF(Trabajos!I347="","",Trabajos!I347)</f>
        <v>930</v>
      </c>
      <c r="H347" s="84">
        <f>IF(Trabajos!J347="","",Trabajos!J347)</f>
        <v>74400</v>
      </c>
      <c r="I347" s="107">
        <f>IF(Trabajos!M347="","",Trabajos!M347)</f>
        <v>179</v>
      </c>
      <c r="J347" s="84">
        <f>IF(Trabajos!N347="","",Trabajos!N347)</f>
        <v>711.6</v>
      </c>
      <c r="K347" s="84">
        <f>IF(Trabajos!O347="","",Trabajos!O347)</f>
        <v>127376.40000000001</v>
      </c>
      <c r="L347" s="84">
        <f>IF(Trabajos!P347="","",Trabajos!P347)</f>
        <v>201776.40000000002</v>
      </c>
    </row>
    <row r="348" spans="2:12" x14ac:dyDescent="0.25">
      <c r="B348" s="106">
        <f>IF(Trabajos!B348="","",Trabajos!B348)</f>
        <v>46196</v>
      </c>
      <c r="C348" s="70" t="str">
        <f>IF(Trabajos!F348="","",Trabajos!F348)</f>
        <v>Nugas S.A.</v>
      </c>
      <c r="D348" s="70" t="str">
        <f>IF(Trabajos!D348="","",Trabajos!D348)</f>
        <v>Muestreo de suelos</v>
      </c>
      <c r="E348" s="70" t="str">
        <f>IF(Trabajos!G348="","",Trabajos!G348)</f>
        <v>La Alborada</v>
      </c>
      <c r="F348" s="108">
        <f>IF(Trabajos!H348="","",Trabajos!H348)</f>
        <v>56</v>
      </c>
      <c r="G348" s="84">
        <f>IF(Trabajos!I348="","",Trabajos!I348)</f>
        <v>1786.2</v>
      </c>
      <c r="H348" s="84">
        <f>IF(Trabajos!J348="","",Trabajos!J348)</f>
        <v>100027.2</v>
      </c>
      <c r="I348" s="107">
        <f>IF(Trabajos!M348="","",Trabajos!M348)</f>
        <v>120</v>
      </c>
      <c r="J348" s="84">
        <f>IF(Trabajos!N348="","",Trabajos!N348)</f>
        <v>850</v>
      </c>
      <c r="K348" s="84">
        <f>IF(Trabajos!O348="","",Trabajos!O348)</f>
        <v>102000</v>
      </c>
      <c r="L348" s="84">
        <f>IF(Trabajos!P348="","",Trabajos!P348)</f>
        <v>202027.2</v>
      </c>
    </row>
    <row r="349" spans="2:12" x14ac:dyDescent="0.25">
      <c r="B349" s="106">
        <f>IF(Trabajos!B349="","",Trabajos!B349)</f>
        <v>46196</v>
      </c>
      <c r="C349" s="70" t="str">
        <f>IF(Trabajos!F349="","",Trabajos!F349)</f>
        <v>Alfredo Hitce</v>
      </c>
      <c r="D349" s="70" t="str">
        <f>IF(Trabajos!D349="","",Trabajos!D349)</f>
        <v>Muestreo de suelos</v>
      </c>
      <c r="E349" s="70" t="str">
        <f>IF(Trabajos!G349="","",Trabajos!G349)</f>
        <v>Tres Lomas</v>
      </c>
      <c r="F349" s="108">
        <f>IF(Trabajos!H349="","",Trabajos!H349)</f>
        <v>59</v>
      </c>
      <c r="G349" s="84">
        <f>IF(Trabajos!I349="","",Trabajos!I349)</f>
        <v>1488</v>
      </c>
      <c r="H349" s="84">
        <f>IF(Trabajos!J349="","",Trabajos!J349)</f>
        <v>87792</v>
      </c>
      <c r="I349" s="107">
        <f>IF(Trabajos!M349="","",Trabajos!M349)</f>
        <v>90</v>
      </c>
      <c r="J349" s="84">
        <f>IF(Trabajos!N349="","",Trabajos!N349)</f>
        <v>850</v>
      </c>
      <c r="K349" s="84">
        <f>IF(Trabajos!O349="","",Trabajos!O349)</f>
        <v>76500</v>
      </c>
      <c r="L349" s="84">
        <f>IF(Trabajos!P349="","",Trabajos!P349)</f>
        <v>164292</v>
      </c>
    </row>
    <row r="350" spans="2:12" x14ac:dyDescent="0.25">
      <c r="B350" s="106">
        <f>IF(Trabajos!B350="","",Trabajos!B350)</f>
        <v>46196</v>
      </c>
      <c r="C350" s="70" t="str">
        <f>IF(Trabajos!F350="","",Trabajos!F350)</f>
        <v>Mackrey Agropecuaria</v>
      </c>
      <c r="D350" s="70" t="str">
        <f>IF(Trabajos!D350="","",Trabajos!D350)</f>
        <v>Muestreo de suelos</v>
      </c>
      <c r="E350" s="70" t="str">
        <f>IF(Trabajos!G350="","",Trabajos!G350)</f>
        <v>Buena Vista</v>
      </c>
      <c r="F350" s="108">
        <f>IF(Trabajos!H350="","",Trabajos!H350)</f>
        <v>62</v>
      </c>
      <c r="G350" s="84">
        <f>IF(Trabajos!I350="","",Trabajos!I350)</f>
        <v>1488</v>
      </c>
      <c r="H350" s="84">
        <f>IF(Trabajos!J350="","",Trabajos!J350)</f>
        <v>92256</v>
      </c>
      <c r="I350" s="107">
        <f>IF(Trabajos!M350="","",Trabajos!M350)</f>
        <v>28</v>
      </c>
      <c r="J350" s="84">
        <f>IF(Trabajos!N350="","",Trabajos!N350)</f>
        <v>850</v>
      </c>
      <c r="K350" s="84">
        <f>IF(Trabajos!O350="","",Trabajos!O350)</f>
        <v>23800</v>
      </c>
      <c r="L350" s="84">
        <f>IF(Trabajos!P350="","",Trabajos!P350)</f>
        <v>116056</v>
      </c>
    </row>
    <row r="351" spans="2:12" x14ac:dyDescent="0.25">
      <c r="B351" s="106">
        <f>IF(Trabajos!B351="","",Trabajos!B351)</f>
        <v>46204</v>
      </c>
      <c r="C351" s="70" t="str">
        <f>IF(Trabajos!F351="","",Trabajos!F351)</f>
        <v>Espartina S.A.</v>
      </c>
      <c r="D351" s="70" t="str">
        <f>IF(Trabajos!D351="","",Trabajos!D351)</f>
        <v>Muestreo de suelos</v>
      </c>
      <c r="E351" s="70" t="str">
        <f>IF(Trabajos!G351="","",Trabajos!G351)</f>
        <v>La Baguala</v>
      </c>
      <c r="F351" s="108">
        <f>IF(Trabajos!H351="","",Trabajos!H351)</f>
        <v>80</v>
      </c>
      <c r="G351" s="84">
        <f>IF(Trabajos!I351="","",Trabajos!I351)</f>
        <v>930</v>
      </c>
      <c r="H351" s="84">
        <f>IF(Trabajos!J351="","",Trabajos!J351)</f>
        <v>74400</v>
      </c>
      <c r="I351" s="107">
        <f>IF(Trabajos!M351="","",Trabajos!M351)</f>
        <v>208</v>
      </c>
      <c r="J351" s="84">
        <f>IF(Trabajos!N351="","",Trabajos!N351)</f>
        <v>711.6</v>
      </c>
      <c r="K351" s="84">
        <f>IF(Trabajos!O351="","",Trabajos!O351)</f>
        <v>148012.80000000002</v>
      </c>
      <c r="L351" s="84">
        <f>IF(Trabajos!P351="","",Trabajos!P351)</f>
        <v>222412.80000000002</v>
      </c>
    </row>
    <row r="352" spans="2:12" x14ac:dyDescent="0.25">
      <c r="B352" s="106">
        <f>IF(Trabajos!B352="","",Trabajos!B352)</f>
        <v>46204</v>
      </c>
      <c r="C352" s="70" t="str">
        <f>IF(Trabajos!F352="","",Trabajos!F352)</f>
        <v>Espartina S.A.</v>
      </c>
      <c r="D352" s="70" t="str">
        <f>IF(Trabajos!D352="","",Trabajos!D352)</f>
        <v>Muestreo de suelos</v>
      </c>
      <c r="E352" s="70" t="str">
        <f>IF(Trabajos!G352="","",Trabajos!G352)</f>
        <v>El Moro Viejo</v>
      </c>
      <c r="F352" s="108">
        <f>IF(Trabajos!H352="","",Trabajos!H352)</f>
        <v>80</v>
      </c>
      <c r="G352" s="84">
        <f>IF(Trabajos!I352="","",Trabajos!I352)</f>
        <v>930</v>
      </c>
      <c r="H352" s="84">
        <f>IF(Trabajos!J352="","",Trabajos!J352)</f>
        <v>74400</v>
      </c>
      <c r="I352" s="107">
        <f>IF(Trabajos!M352="","",Trabajos!M352)</f>
        <v>0</v>
      </c>
      <c r="J352" s="84">
        <f>IF(Trabajos!N352="","",Trabajos!N352)</f>
        <v>711.6</v>
      </c>
      <c r="K352" s="84">
        <f>IF(Trabajos!O352="","",Trabajos!O352)</f>
        <v>0</v>
      </c>
      <c r="L352" s="84">
        <f>IF(Trabajos!P352="","",Trabajos!P352)</f>
        <v>74400</v>
      </c>
    </row>
    <row r="353" spans="2:12" x14ac:dyDescent="0.25">
      <c r="B353" s="106">
        <f>IF(Trabajos!B353="","",Trabajos!B353)</f>
        <v>46204</v>
      </c>
      <c r="C353" s="70" t="str">
        <f>IF(Trabajos!F353="","",Trabajos!F353)</f>
        <v>Espartina S.A.</v>
      </c>
      <c r="D353" s="70" t="str">
        <f>IF(Trabajos!D353="","",Trabajos!D353)</f>
        <v>Muestreo de suelos</v>
      </c>
      <c r="E353" s="70" t="str">
        <f>IF(Trabajos!G353="","",Trabajos!G353)</f>
        <v>Aprea</v>
      </c>
      <c r="F353" s="108">
        <f>IF(Trabajos!H353="","",Trabajos!H353)</f>
        <v>80</v>
      </c>
      <c r="G353" s="84">
        <f>IF(Trabajos!I353="","",Trabajos!I353)</f>
        <v>930</v>
      </c>
      <c r="H353" s="84">
        <f>IF(Trabajos!J353="","",Trabajos!J353)</f>
        <v>74400</v>
      </c>
      <c r="I353" s="107">
        <f>IF(Trabajos!M353="","",Trabajos!M353)</f>
        <v>0</v>
      </c>
      <c r="J353" s="84">
        <f>IF(Trabajos!N353="","",Trabajos!N353)</f>
        <v>711.6</v>
      </c>
      <c r="K353" s="84">
        <f>IF(Trabajos!O353="","",Trabajos!O353)</f>
        <v>0</v>
      </c>
      <c r="L353" s="84">
        <f>IF(Trabajos!P353="","",Trabajos!P353)</f>
        <v>74400</v>
      </c>
    </row>
    <row r="354" spans="2:12" x14ac:dyDescent="0.25">
      <c r="B354" s="106">
        <f>IF(Trabajos!B354="","",Trabajos!B354)</f>
        <v>46204</v>
      </c>
      <c r="C354" s="70" t="str">
        <f>IF(Trabajos!F354="","",Trabajos!F354)</f>
        <v>Espartina S.A.</v>
      </c>
      <c r="D354" s="70" t="str">
        <f>IF(Trabajos!D354="","",Trabajos!D354)</f>
        <v>Muestreo de suelos</v>
      </c>
      <c r="E354" s="70" t="str">
        <f>IF(Trabajos!G354="","",Trabajos!G354)</f>
        <v>La Graciela</v>
      </c>
      <c r="F354" s="108">
        <f>IF(Trabajos!H354="","",Trabajos!H354)</f>
        <v>80</v>
      </c>
      <c r="G354" s="84">
        <f>IF(Trabajos!I354="","",Trabajos!I354)</f>
        <v>930</v>
      </c>
      <c r="H354" s="84">
        <f>IF(Trabajos!J354="","",Trabajos!J354)</f>
        <v>74400</v>
      </c>
      <c r="I354" s="107">
        <f>IF(Trabajos!M354="","",Trabajos!M354)</f>
        <v>112</v>
      </c>
      <c r="J354" s="84">
        <f>IF(Trabajos!N354="","",Trabajos!N354)</f>
        <v>711.6</v>
      </c>
      <c r="K354" s="84">
        <f>IF(Trabajos!O354="","",Trabajos!O354)</f>
        <v>79699.199999999997</v>
      </c>
      <c r="L354" s="84">
        <f>IF(Trabajos!P354="","",Trabajos!P354)</f>
        <v>154099.20000000001</v>
      </c>
    </row>
    <row r="355" spans="2:12" x14ac:dyDescent="0.25">
      <c r="B355" s="106">
        <f>IF(Trabajos!B355="","",Trabajos!B355)</f>
        <v>46205</v>
      </c>
      <c r="C355" s="70" t="str">
        <f>IF(Trabajos!F355="","",Trabajos!F355)</f>
        <v>Espartina S.A.</v>
      </c>
      <c r="D355" s="70" t="str">
        <f>IF(Trabajos!D355="","",Trabajos!D355)</f>
        <v>Muestreo de suelos</v>
      </c>
      <c r="E355" s="70" t="str">
        <f>IF(Trabajos!G355="","",Trabajos!G355)</f>
        <v>San Marcos</v>
      </c>
      <c r="F355" s="108">
        <f>IF(Trabajos!H355="","",Trabajos!H355)</f>
        <v>80</v>
      </c>
      <c r="G355" s="84">
        <f>IF(Trabajos!I355="","",Trabajos!I355)</f>
        <v>930</v>
      </c>
      <c r="H355" s="84">
        <f>IF(Trabajos!J355="","",Trabajos!J355)</f>
        <v>74400</v>
      </c>
      <c r="I355" s="107">
        <f>IF(Trabajos!M355="","",Trabajos!M355)</f>
        <v>220</v>
      </c>
      <c r="J355" s="84">
        <f>IF(Trabajos!N355="","",Trabajos!N355)</f>
        <v>711.6</v>
      </c>
      <c r="K355" s="84">
        <f>IF(Trabajos!O355="","",Trabajos!O355)</f>
        <v>156552</v>
      </c>
      <c r="L355" s="84">
        <f>IF(Trabajos!P355="","",Trabajos!P355)</f>
        <v>230952</v>
      </c>
    </row>
    <row r="356" spans="2:12" x14ac:dyDescent="0.25">
      <c r="B356" s="106">
        <f>IF(Trabajos!B356="","",Trabajos!B356)</f>
        <v>46205</v>
      </c>
      <c r="C356" s="70" t="str">
        <f>IF(Trabajos!F356="","",Trabajos!F356)</f>
        <v>Espartina S.A.</v>
      </c>
      <c r="D356" s="70" t="str">
        <f>IF(Trabajos!D356="","",Trabajos!D356)</f>
        <v>Muestreo de suelos</v>
      </c>
      <c r="E356" s="70" t="str">
        <f>IF(Trabajos!G356="","",Trabajos!G356)</f>
        <v>Santa Ana Cobo</v>
      </c>
      <c r="F356" s="108">
        <f>IF(Trabajos!H356="","",Trabajos!H356)</f>
        <v>80</v>
      </c>
      <c r="G356" s="84">
        <f>IF(Trabajos!I356="","",Trabajos!I356)</f>
        <v>930</v>
      </c>
      <c r="H356" s="84">
        <f>IF(Trabajos!J356="","",Trabajos!J356)</f>
        <v>74400</v>
      </c>
      <c r="I356" s="107">
        <f>IF(Trabajos!M356="","",Trabajos!M356)</f>
        <v>0</v>
      </c>
      <c r="J356" s="84">
        <f>IF(Trabajos!N356="","",Trabajos!N356)</f>
        <v>711.6</v>
      </c>
      <c r="K356" s="84">
        <f>IF(Trabajos!O356="","",Trabajos!O356)</f>
        <v>0</v>
      </c>
      <c r="L356" s="84">
        <f>IF(Trabajos!P356="","",Trabajos!P356)</f>
        <v>74400</v>
      </c>
    </row>
    <row r="357" spans="2:12" x14ac:dyDescent="0.25">
      <c r="B357" s="106">
        <f>IF(Trabajos!B357="","",Trabajos!B357)</f>
        <v>46205</v>
      </c>
      <c r="C357" s="70" t="str">
        <f>IF(Trabajos!F357="","",Trabajos!F357)</f>
        <v>Espartina S.A.</v>
      </c>
      <c r="D357" s="70" t="str">
        <f>IF(Trabajos!D357="","",Trabajos!D357)</f>
        <v>Muestreo de suelos</v>
      </c>
      <c r="E357" s="70" t="str">
        <f>IF(Trabajos!G357="","",Trabajos!G357)</f>
        <v>Aitona</v>
      </c>
      <c r="F357" s="108">
        <f>IF(Trabajos!H357="","",Trabajos!H357)</f>
        <v>80</v>
      </c>
      <c r="G357" s="84">
        <f>IF(Trabajos!I357="","",Trabajos!I357)</f>
        <v>930</v>
      </c>
      <c r="H357" s="84">
        <f>IF(Trabajos!J357="","",Trabajos!J357)</f>
        <v>74400</v>
      </c>
      <c r="I357" s="107">
        <f>IF(Trabajos!M357="","",Trabajos!M357)</f>
        <v>0</v>
      </c>
      <c r="J357" s="84">
        <f>IF(Trabajos!N357="","",Trabajos!N357)</f>
        <v>711.6</v>
      </c>
      <c r="K357" s="84">
        <f>IF(Trabajos!O357="","",Trabajos!O357)</f>
        <v>0</v>
      </c>
      <c r="L357" s="84">
        <f>IF(Trabajos!P357="","",Trabajos!P357)</f>
        <v>74400</v>
      </c>
    </row>
    <row r="358" spans="2:12" x14ac:dyDescent="0.25">
      <c r="B358" s="106">
        <f>IF(Trabajos!B358="","",Trabajos!B358)</f>
        <v>46205</v>
      </c>
      <c r="C358" s="70" t="str">
        <f>IF(Trabajos!F358="","",Trabajos!F358)</f>
        <v>Espartina S.A.</v>
      </c>
      <c r="D358" s="70" t="str">
        <f>IF(Trabajos!D358="","",Trabajos!D358)</f>
        <v>Muestreo de suelos</v>
      </c>
      <c r="E358" s="70" t="str">
        <f>IF(Trabajos!G358="","",Trabajos!G358)</f>
        <v>Las Bagualas</v>
      </c>
      <c r="F358" s="108">
        <f>IF(Trabajos!H358="","",Trabajos!H358)</f>
        <v>80</v>
      </c>
      <c r="G358" s="84">
        <f>IF(Trabajos!I358="","",Trabajos!I358)</f>
        <v>930</v>
      </c>
      <c r="H358" s="84">
        <f>IF(Trabajos!J358="","",Trabajos!J358)</f>
        <v>74400</v>
      </c>
      <c r="I358" s="107">
        <f>IF(Trabajos!M358="","",Trabajos!M358)</f>
        <v>0</v>
      </c>
      <c r="J358" s="84">
        <f>IF(Trabajos!N358="","",Trabajos!N358)</f>
        <v>711.6</v>
      </c>
      <c r="K358" s="84">
        <f>IF(Trabajos!O358="","",Trabajos!O358)</f>
        <v>0</v>
      </c>
      <c r="L358" s="84">
        <f>IF(Trabajos!P358="","",Trabajos!P358)</f>
        <v>74400</v>
      </c>
    </row>
    <row r="359" spans="2:12" x14ac:dyDescent="0.25">
      <c r="B359" s="106">
        <f>IF(Trabajos!B359="","",Trabajos!B359)</f>
        <v>46206</v>
      </c>
      <c r="C359" s="70" t="str">
        <f>IF(Trabajos!F359="","",Trabajos!F359)</f>
        <v>La Gloriosa S.A.</v>
      </c>
      <c r="D359" s="70" t="str">
        <f>IF(Trabajos!D359="","",Trabajos!D359)</f>
        <v>Muestreo de suelos</v>
      </c>
      <c r="E359" s="70" t="str">
        <f>IF(Trabajos!G359="","",Trabajos!G359)</f>
        <v>Santa Maria</v>
      </c>
      <c r="F359" s="108">
        <f>IF(Trabajos!H359="","",Trabajos!H359)</f>
        <v>494</v>
      </c>
      <c r="G359" s="84">
        <f>IF(Trabajos!I359="","",Trabajos!I359)</f>
        <v>1785.6</v>
      </c>
      <c r="H359" s="84">
        <f>IF(Trabajos!J359="","",Trabajos!J359)</f>
        <v>882086.39999999991</v>
      </c>
      <c r="I359" s="107">
        <f>IF(Trabajos!M359="","",Trabajos!M359)</f>
        <v>184</v>
      </c>
      <c r="J359" s="84">
        <f>IF(Trabajos!N359="","",Trabajos!N359)</f>
        <v>850</v>
      </c>
      <c r="K359" s="84">
        <f>IF(Trabajos!O359="","",Trabajos!O359)</f>
        <v>156400</v>
      </c>
      <c r="L359" s="84">
        <f>IF(Trabajos!P359="","",Trabajos!P359)</f>
        <v>1038486.3999999999</v>
      </c>
    </row>
    <row r="360" spans="2:12" x14ac:dyDescent="0.25">
      <c r="B360" s="106">
        <f>IF(Trabajos!B360="","",Trabajos!B360)</f>
        <v>46212</v>
      </c>
      <c r="C360" s="70" t="str">
        <f>IF(Trabajos!F360="","",Trabajos!F360)</f>
        <v>Espartina S.A.</v>
      </c>
      <c r="D360" s="70" t="str">
        <f>IF(Trabajos!D360="","",Trabajos!D360)</f>
        <v>Muestreo de suelos</v>
      </c>
      <c r="E360" s="70" t="str">
        <f>IF(Trabajos!G360="","",Trabajos!G360)</f>
        <v>Santa Barbara</v>
      </c>
      <c r="F360" s="108">
        <f>IF(Trabajos!H360="","",Trabajos!H360)</f>
        <v>80</v>
      </c>
      <c r="G360" s="84">
        <f>IF(Trabajos!I360="","",Trabajos!I360)</f>
        <v>930</v>
      </c>
      <c r="H360" s="84">
        <f>IF(Trabajos!J360="","",Trabajos!J360)</f>
        <v>74400</v>
      </c>
      <c r="I360" s="107">
        <f>IF(Trabajos!M360="","",Trabajos!M360)</f>
        <v>100</v>
      </c>
      <c r="J360" s="84">
        <f>IF(Trabajos!N360="","",Trabajos!N360)</f>
        <v>711.6</v>
      </c>
      <c r="K360" s="84">
        <f>IF(Trabajos!O360="","",Trabajos!O360)</f>
        <v>71160</v>
      </c>
      <c r="L360" s="84">
        <f>IF(Trabajos!P360="","",Trabajos!P360)</f>
        <v>145560</v>
      </c>
    </row>
    <row r="361" spans="2:12" x14ac:dyDescent="0.25">
      <c r="B361" s="106">
        <f>IF(Trabajos!B361="","",Trabajos!B361)</f>
        <v>46212</v>
      </c>
      <c r="C361" s="70" t="str">
        <f>IF(Trabajos!F361="","",Trabajos!F361)</f>
        <v>Espartina S.A.</v>
      </c>
      <c r="D361" s="70" t="str">
        <f>IF(Trabajos!D361="","",Trabajos!D361)</f>
        <v>Muestreo de suelos</v>
      </c>
      <c r="E361" s="70" t="str">
        <f>IF(Trabajos!G361="","",Trabajos!G361)</f>
        <v xml:space="preserve">San Francisco </v>
      </c>
      <c r="F361" s="108">
        <f>IF(Trabajos!H361="","",Trabajos!H361)</f>
        <v>80</v>
      </c>
      <c r="G361" s="84">
        <f>IF(Trabajos!I361="","",Trabajos!I361)</f>
        <v>930</v>
      </c>
      <c r="H361" s="84">
        <f>IF(Trabajos!J361="","",Trabajos!J361)</f>
        <v>74400</v>
      </c>
      <c r="I361" s="107">
        <f>IF(Trabajos!M361="","",Trabajos!M361)</f>
        <v>0</v>
      </c>
      <c r="J361" s="84">
        <f>IF(Trabajos!N361="","",Trabajos!N361)</f>
        <v>711.6</v>
      </c>
      <c r="K361" s="84">
        <f>IF(Trabajos!O361="","",Trabajos!O361)</f>
        <v>0</v>
      </c>
      <c r="L361" s="84">
        <f>IF(Trabajos!P361="","",Trabajos!P361)</f>
        <v>74400</v>
      </c>
    </row>
    <row r="362" spans="2:12" x14ac:dyDescent="0.25">
      <c r="B362" s="106">
        <f>IF(Trabajos!B362="","",Trabajos!B362)</f>
        <v>46212</v>
      </c>
      <c r="C362" s="70" t="str">
        <f>IF(Trabajos!F362="","",Trabajos!F362)</f>
        <v>Espartina S.A.</v>
      </c>
      <c r="D362" s="70" t="str">
        <f>IF(Trabajos!D362="","",Trabajos!D362)</f>
        <v>Muestreo de suelos</v>
      </c>
      <c r="E362" s="70" t="str">
        <f>IF(Trabajos!G362="","",Trabajos!G362)</f>
        <v>La Juanita</v>
      </c>
      <c r="F362" s="108">
        <f>IF(Trabajos!H362="","",Trabajos!H362)</f>
        <v>80</v>
      </c>
      <c r="G362" s="84">
        <f>IF(Trabajos!I362="","",Trabajos!I362)</f>
        <v>930</v>
      </c>
      <c r="H362" s="84">
        <f>IF(Trabajos!J362="","",Trabajos!J362)</f>
        <v>74400</v>
      </c>
      <c r="I362" s="107">
        <f>IF(Trabajos!M362="","",Trabajos!M362)</f>
        <v>0</v>
      </c>
      <c r="J362" s="84">
        <f>IF(Trabajos!N362="","",Trabajos!N362)</f>
        <v>711.6</v>
      </c>
      <c r="K362" s="84">
        <f>IF(Trabajos!O362="","",Trabajos!O362)</f>
        <v>0</v>
      </c>
      <c r="L362" s="84">
        <f>IF(Trabajos!P362="","",Trabajos!P362)</f>
        <v>74400</v>
      </c>
    </row>
    <row r="363" spans="2:12" x14ac:dyDescent="0.25">
      <c r="B363" s="106">
        <f>IF(Trabajos!B363="","",Trabajos!B363)</f>
        <v>46213</v>
      </c>
      <c r="C363" s="70" t="str">
        <f>IF(Trabajos!F363="","",Trabajos!F363)</f>
        <v>Tres Mil Tres S.A.</v>
      </c>
      <c r="D363" s="70" t="str">
        <f>IF(Trabajos!D363="","",Trabajos!D363)</f>
        <v>Muestreo de suelos</v>
      </c>
      <c r="E363" s="70" t="str">
        <f>IF(Trabajos!G363="","",Trabajos!G363)</f>
        <v>Tres Mil Tres</v>
      </c>
      <c r="F363" s="108">
        <f>IF(Trabajos!H363="","",Trabajos!H363)</f>
        <v>225</v>
      </c>
      <c r="G363" s="84">
        <f>IF(Trabajos!I363="","",Trabajos!I363)</f>
        <v>1482</v>
      </c>
      <c r="H363" s="84">
        <f>IF(Trabajos!J363="","",Trabajos!J363)</f>
        <v>333450</v>
      </c>
      <c r="I363" s="107">
        <f>IF(Trabajos!M363="","",Trabajos!M363)</f>
        <v>31</v>
      </c>
      <c r="J363" s="84">
        <f>IF(Trabajos!N363="","",Trabajos!N363)</f>
        <v>850</v>
      </c>
      <c r="K363" s="84">
        <f>IF(Trabajos!O363="","",Trabajos!O363)</f>
        <v>26350</v>
      </c>
      <c r="L363" s="84">
        <f>IF(Trabajos!P363="","",Trabajos!P363)</f>
        <v>359800</v>
      </c>
    </row>
    <row r="364" spans="2:12" x14ac:dyDescent="0.25">
      <c r="B364" s="106">
        <f>IF(Trabajos!B364="","",Trabajos!B364)</f>
        <v>46225</v>
      </c>
      <c r="C364" s="70" t="str">
        <f>IF(Trabajos!F364="","",Trabajos!F364)</f>
        <v>Cristian Rybner</v>
      </c>
      <c r="D364" s="70" t="str">
        <f>IF(Trabajos!D364="","",Trabajos!D364)</f>
        <v>Seguimiento NDVI</v>
      </c>
      <c r="E364" s="70" t="str">
        <f>IF(Trabajos!G364="","",Trabajos!G364)</f>
        <v>Varios</v>
      </c>
      <c r="F364" s="108">
        <f>IF(Trabajos!H364="","",Trabajos!H364)</f>
        <v>650</v>
      </c>
      <c r="G364" s="84">
        <f>IF(Trabajos!I364="","",Trabajos!I364)</f>
        <v>729.19</v>
      </c>
      <c r="H364" s="84">
        <f>IF(Trabajos!J364="","",Trabajos!J364)</f>
        <v>473973.50000000006</v>
      </c>
      <c r="I364" s="107">
        <f>IF(Trabajos!M364="","",Trabajos!M364)</f>
        <v>0</v>
      </c>
      <c r="J364" s="84">
        <f>IF(Trabajos!N364="","",Trabajos!N364)</f>
        <v>850</v>
      </c>
      <c r="K364" s="84">
        <f>IF(Trabajos!O364="","",Trabajos!O364)</f>
        <v>0</v>
      </c>
      <c r="L364" s="84">
        <f>IF(Trabajos!P364="","",Trabajos!P364)</f>
        <v>473973.50000000006</v>
      </c>
    </row>
    <row r="365" spans="2:12" x14ac:dyDescent="0.25">
      <c r="B365" s="106">
        <f>IF(Trabajos!B365="","",Trabajos!B365)</f>
        <v>46225</v>
      </c>
      <c r="C365" s="70" t="str">
        <f>IF(Trabajos!F365="","",Trabajos!F365)</f>
        <v>Espartina S.A.</v>
      </c>
      <c r="D365" s="70" t="str">
        <f>IF(Trabajos!D365="","",Trabajos!D365)</f>
        <v>Muestreo de suelos</v>
      </c>
      <c r="E365" s="70" t="str">
        <f>IF(Trabajos!G365="","",Trabajos!G365)</f>
        <v>Trauco</v>
      </c>
      <c r="F365" s="108">
        <f>IF(Trabajos!H365="","",Trabajos!H365)</f>
        <v>80</v>
      </c>
      <c r="G365" s="84">
        <f>IF(Trabajos!I365="","",Trabajos!I365)</f>
        <v>0</v>
      </c>
      <c r="H365" s="84">
        <f>IF(Trabajos!J365="","",Trabajos!J365)</f>
        <v>0</v>
      </c>
      <c r="I365" s="107">
        <f>IF(Trabajos!M365="","",Trabajos!M365)</f>
        <v>180</v>
      </c>
      <c r="J365" s="84">
        <f>IF(Trabajos!N365="","",Trabajos!N365)</f>
        <v>716.7</v>
      </c>
      <c r="K365" s="84">
        <f>IF(Trabajos!O365="","",Trabajos!O365)</f>
        <v>129006.00000000001</v>
      </c>
      <c r="L365" s="84">
        <f>IF(Trabajos!P365="","",Trabajos!P365)</f>
        <v>129006.00000000001</v>
      </c>
    </row>
    <row r="366" spans="2:12" x14ac:dyDescent="0.25">
      <c r="B366" s="106">
        <f>IF(Trabajos!B366="","",Trabajos!B366)</f>
        <v>46226</v>
      </c>
      <c r="C366" s="70" t="str">
        <f>IF(Trabajos!F366="","",Trabajos!F366)</f>
        <v>Espartina S.A.</v>
      </c>
      <c r="D366" s="70" t="str">
        <f>IF(Trabajos!D366="","",Trabajos!D366)</f>
        <v>Muestreo de suelos</v>
      </c>
      <c r="E366" s="70" t="str">
        <f>IF(Trabajos!G366="","",Trabajos!G366)</f>
        <v>Doña Hilda</v>
      </c>
      <c r="F366" s="108">
        <f>IF(Trabajos!H366="","",Trabajos!H366)</f>
        <v>80</v>
      </c>
      <c r="G366" s="84">
        <f>IF(Trabajos!I366="","",Trabajos!I366)</f>
        <v>0</v>
      </c>
      <c r="H366" s="84">
        <f>IF(Trabajos!J366="","",Trabajos!J366)</f>
        <v>0</v>
      </c>
      <c r="I366" s="107">
        <f>IF(Trabajos!M366="","",Trabajos!M366)</f>
        <v>260</v>
      </c>
      <c r="J366" s="84">
        <f>IF(Trabajos!N366="","",Trabajos!N366)</f>
        <v>716.7</v>
      </c>
      <c r="K366" s="84">
        <f>IF(Trabajos!O366="","",Trabajos!O366)</f>
        <v>186342</v>
      </c>
      <c r="L366" s="84">
        <f>IF(Trabajos!P366="","",Trabajos!P366)</f>
        <v>186342</v>
      </c>
    </row>
    <row r="367" spans="2:12" x14ac:dyDescent="0.25">
      <c r="B367" s="106">
        <f>IF(Trabajos!B367="","",Trabajos!B367)</f>
        <v>46226</v>
      </c>
      <c r="C367" s="70" t="str">
        <f>IF(Trabajos!F367="","",Trabajos!F367)</f>
        <v>Espartina S.A.</v>
      </c>
      <c r="D367" s="70" t="str">
        <f>IF(Trabajos!D367="","",Trabajos!D367)</f>
        <v>Muestreo de suelos</v>
      </c>
      <c r="E367" s="70" t="str">
        <f>IF(Trabajos!G367="","",Trabajos!G367)</f>
        <v>Las Overas</v>
      </c>
      <c r="F367" s="108">
        <f>IF(Trabajos!H367="","",Trabajos!H367)</f>
        <v>80</v>
      </c>
      <c r="G367" s="84">
        <f>IF(Trabajos!I367="","",Trabajos!I367)</f>
        <v>0</v>
      </c>
      <c r="H367" s="84">
        <f>IF(Trabajos!J367="","",Trabajos!J367)</f>
        <v>0</v>
      </c>
      <c r="I367" s="107">
        <f>IF(Trabajos!M367="","",Trabajos!M367)</f>
        <v>0</v>
      </c>
      <c r="J367" s="84">
        <f>IF(Trabajos!N367="","",Trabajos!N367)</f>
        <v>716.7</v>
      </c>
      <c r="K367" s="84">
        <f>IF(Trabajos!O367="","",Trabajos!O367)</f>
        <v>0</v>
      </c>
      <c r="L367" s="84">
        <f>IF(Trabajos!P367="","",Trabajos!P367)</f>
        <v>0</v>
      </c>
    </row>
    <row r="368" spans="2:12" x14ac:dyDescent="0.25">
      <c r="B368" s="106" t="str">
        <f>IF(Trabajos!B368="","",Trabajos!B368)</f>
        <v/>
      </c>
      <c r="C368" s="70" t="str">
        <f>IF(Trabajos!F368="","",Trabajos!F368)</f>
        <v/>
      </c>
      <c r="D368" s="70" t="str">
        <f>IF(Trabajos!D368="","",Trabajos!D368)</f>
        <v/>
      </c>
      <c r="E368" s="70" t="str">
        <f>IF(Trabajos!G368="","",Trabajos!G368)</f>
        <v/>
      </c>
      <c r="F368" s="108" t="str">
        <f>IF(Trabajos!H368="","",Trabajos!H368)</f>
        <v/>
      </c>
      <c r="G368" s="84" t="str">
        <f>IF(Trabajos!I368="","",Trabajos!I368)</f>
        <v/>
      </c>
      <c r="H368" s="84" t="str">
        <f>IF(Trabajos!J368="","",Trabajos!J368)</f>
        <v/>
      </c>
      <c r="I368" s="107" t="str">
        <f>IF(Trabajos!M368="","",Trabajos!M368)</f>
        <v/>
      </c>
      <c r="J368" s="84" t="str">
        <f>IF(Trabajos!N368="","",Trabajos!N368)</f>
        <v/>
      </c>
      <c r="K368" s="84" t="str">
        <f>IF(Trabajos!O368="","",Trabajos!O368)</f>
        <v/>
      </c>
      <c r="L368" s="84" t="str">
        <f>IF(Trabajos!P368="","",Trabajos!P368)</f>
        <v/>
      </c>
    </row>
    <row r="369" spans="2:12" x14ac:dyDescent="0.25">
      <c r="B369" s="106" t="str">
        <f>IF(Trabajos!B369="","",Trabajos!B369)</f>
        <v/>
      </c>
      <c r="C369" s="70" t="str">
        <f>IF(Trabajos!F369="","",Trabajos!F369)</f>
        <v/>
      </c>
      <c r="D369" s="70" t="str">
        <f>IF(Trabajos!D369="","",Trabajos!D369)</f>
        <v/>
      </c>
      <c r="E369" s="70" t="str">
        <f>IF(Trabajos!G369="","",Trabajos!G369)</f>
        <v/>
      </c>
      <c r="F369" s="108" t="str">
        <f>IF(Trabajos!H369="","",Trabajos!H369)</f>
        <v/>
      </c>
      <c r="G369" s="84" t="str">
        <f>IF(Trabajos!I369="","",Trabajos!I369)</f>
        <v/>
      </c>
      <c r="H369" s="84" t="str">
        <f>IF(Trabajos!J369="","",Trabajos!J369)</f>
        <v/>
      </c>
      <c r="I369" s="107" t="str">
        <f>IF(Trabajos!M369="","",Trabajos!M369)</f>
        <v/>
      </c>
      <c r="J369" s="84" t="str">
        <f>IF(Trabajos!N369="","",Trabajos!N369)</f>
        <v/>
      </c>
      <c r="K369" s="84" t="str">
        <f>IF(Trabajos!O369="","",Trabajos!O369)</f>
        <v/>
      </c>
      <c r="L369" s="84" t="str">
        <f>IF(Trabajos!P369="","",Trabajos!P369)</f>
        <v/>
      </c>
    </row>
    <row r="370" spans="2:12" x14ac:dyDescent="0.25">
      <c r="B370" s="106" t="str">
        <f>IF(Trabajos!B370="","",Trabajos!B370)</f>
        <v/>
      </c>
      <c r="C370" s="70" t="str">
        <f>IF(Trabajos!F370="","",Trabajos!F370)</f>
        <v/>
      </c>
      <c r="D370" s="70" t="str">
        <f>IF(Trabajos!D370="","",Trabajos!D370)</f>
        <v/>
      </c>
      <c r="E370" s="70" t="str">
        <f>IF(Trabajos!G370="","",Trabajos!G370)</f>
        <v/>
      </c>
      <c r="F370" s="108" t="str">
        <f>IF(Trabajos!H370="","",Trabajos!H370)</f>
        <v/>
      </c>
      <c r="G370" s="84" t="str">
        <f>IF(Trabajos!I370="","",Trabajos!I370)</f>
        <v/>
      </c>
      <c r="H370" s="84" t="str">
        <f>IF(Trabajos!J370="","",Trabajos!J370)</f>
        <v/>
      </c>
      <c r="I370" s="107" t="str">
        <f>IF(Trabajos!M370="","",Trabajos!M370)</f>
        <v/>
      </c>
      <c r="J370" s="84" t="str">
        <f>IF(Trabajos!N370="","",Trabajos!N370)</f>
        <v/>
      </c>
      <c r="K370" s="84" t="str">
        <f>IF(Trabajos!O370="","",Trabajos!O370)</f>
        <v/>
      </c>
      <c r="L370" s="84" t="str">
        <f>IF(Trabajos!P370="","",Trabajos!P370)</f>
        <v/>
      </c>
    </row>
    <row r="371" spans="2:12" x14ac:dyDescent="0.25">
      <c r="B371" s="106" t="str">
        <f>IF(Trabajos!B371="","",Trabajos!B371)</f>
        <v/>
      </c>
      <c r="C371" s="70" t="str">
        <f>IF(Trabajos!F371="","",Trabajos!F371)</f>
        <v/>
      </c>
      <c r="D371" s="70" t="str">
        <f>IF(Trabajos!D371="","",Trabajos!D371)</f>
        <v/>
      </c>
      <c r="E371" s="70" t="str">
        <f>IF(Trabajos!G371="","",Trabajos!G371)</f>
        <v/>
      </c>
      <c r="F371" s="108" t="str">
        <f>IF(Trabajos!H371="","",Trabajos!H371)</f>
        <v/>
      </c>
      <c r="G371" s="84" t="str">
        <f>IF(Trabajos!I371="","",Trabajos!I371)</f>
        <v/>
      </c>
      <c r="H371" s="84" t="str">
        <f>IF(Trabajos!J371="","",Trabajos!J371)</f>
        <v/>
      </c>
      <c r="I371" s="107" t="str">
        <f>IF(Trabajos!M371="","",Trabajos!M371)</f>
        <v/>
      </c>
      <c r="J371" s="84" t="str">
        <f>IF(Trabajos!N371="","",Trabajos!N371)</f>
        <v/>
      </c>
      <c r="K371" s="84" t="str">
        <f>IF(Trabajos!O371="","",Trabajos!O371)</f>
        <v/>
      </c>
      <c r="L371" s="84" t="str">
        <f>IF(Trabajos!P371="","",Trabajos!P371)</f>
        <v/>
      </c>
    </row>
    <row r="372" spans="2:12" x14ac:dyDescent="0.25">
      <c r="B372" s="106" t="str">
        <f>IF(Trabajos!B372="","",Trabajos!B372)</f>
        <v/>
      </c>
      <c r="C372" s="70" t="str">
        <f>IF(Trabajos!F372="","",Trabajos!F372)</f>
        <v/>
      </c>
      <c r="D372" s="70" t="str">
        <f>IF(Trabajos!D372="","",Trabajos!D372)</f>
        <v/>
      </c>
      <c r="E372" s="70" t="str">
        <f>IF(Trabajos!G372="","",Trabajos!G372)</f>
        <v/>
      </c>
      <c r="F372" s="108" t="str">
        <f>IF(Trabajos!H372="","",Trabajos!H372)</f>
        <v/>
      </c>
      <c r="G372" s="84" t="str">
        <f>IF(Trabajos!I372="","",Trabajos!I372)</f>
        <v/>
      </c>
      <c r="H372" s="84" t="str">
        <f>IF(Trabajos!J372="","",Trabajos!J372)</f>
        <v/>
      </c>
      <c r="I372" s="107" t="str">
        <f>IF(Trabajos!M372="","",Trabajos!M372)</f>
        <v/>
      </c>
      <c r="J372" s="84" t="str">
        <f>IF(Trabajos!N372="","",Trabajos!N372)</f>
        <v/>
      </c>
      <c r="K372" s="84" t="str">
        <f>IF(Trabajos!O372="","",Trabajos!O372)</f>
        <v/>
      </c>
      <c r="L372" s="84" t="str">
        <f>IF(Trabajos!P372="","",Trabajos!P372)</f>
        <v/>
      </c>
    </row>
    <row r="373" spans="2:12" x14ac:dyDescent="0.25">
      <c r="B373" s="106" t="str">
        <f>IF(Trabajos!B373="","",Trabajos!B373)</f>
        <v/>
      </c>
      <c r="C373" s="70" t="str">
        <f>IF(Trabajos!F373="","",Trabajos!F373)</f>
        <v/>
      </c>
      <c r="D373" s="70" t="str">
        <f>IF(Trabajos!D373="","",Trabajos!D373)</f>
        <v/>
      </c>
      <c r="E373" s="70" t="str">
        <f>IF(Trabajos!G373="","",Trabajos!G373)</f>
        <v/>
      </c>
      <c r="F373" s="108" t="str">
        <f>IF(Trabajos!H373="","",Trabajos!H373)</f>
        <v/>
      </c>
      <c r="G373" s="84" t="str">
        <f>IF(Trabajos!I373="","",Trabajos!I373)</f>
        <v/>
      </c>
      <c r="H373" s="84" t="str">
        <f>IF(Trabajos!J373="","",Trabajos!J373)</f>
        <v/>
      </c>
      <c r="I373" s="107" t="str">
        <f>IF(Trabajos!M373="","",Trabajos!M373)</f>
        <v/>
      </c>
      <c r="J373" s="84" t="str">
        <f>IF(Trabajos!N373="","",Trabajos!N373)</f>
        <v/>
      </c>
      <c r="K373" s="84" t="str">
        <f>IF(Trabajos!O373="","",Trabajos!O373)</f>
        <v/>
      </c>
      <c r="L373" s="84" t="str">
        <f>IF(Trabajos!P373="","",Trabajos!P373)</f>
        <v/>
      </c>
    </row>
    <row r="374" spans="2:12" x14ac:dyDescent="0.25">
      <c r="B374" s="106" t="str">
        <f>IF(Trabajos!B374="","",Trabajos!B374)</f>
        <v/>
      </c>
      <c r="C374" s="70" t="str">
        <f>IF(Trabajos!F374="","",Trabajos!F374)</f>
        <v/>
      </c>
      <c r="D374" s="70" t="str">
        <f>IF(Trabajos!D374="","",Trabajos!D374)</f>
        <v/>
      </c>
      <c r="E374" s="70" t="str">
        <f>IF(Trabajos!G374="","",Trabajos!G374)</f>
        <v/>
      </c>
      <c r="F374" s="108" t="str">
        <f>IF(Trabajos!H374="","",Trabajos!H374)</f>
        <v/>
      </c>
      <c r="G374" s="84" t="str">
        <f>IF(Trabajos!I374="","",Trabajos!I374)</f>
        <v/>
      </c>
      <c r="H374" s="84" t="str">
        <f>IF(Trabajos!J374="","",Trabajos!J374)</f>
        <v/>
      </c>
      <c r="I374" s="107" t="str">
        <f>IF(Trabajos!M374="","",Trabajos!M374)</f>
        <v/>
      </c>
      <c r="J374" s="84" t="str">
        <f>IF(Trabajos!N374="","",Trabajos!N374)</f>
        <v/>
      </c>
      <c r="K374" s="84" t="str">
        <f>IF(Trabajos!O374="","",Trabajos!O374)</f>
        <v/>
      </c>
      <c r="L374" s="84" t="str">
        <f>IF(Trabajos!P374="","",Trabajos!P374)</f>
        <v/>
      </c>
    </row>
    <row r="375" spans="2:12" x14ac:dyDescent="0.25">
      <c r="B375" s="106" t="str">
        <f>IF(Trabajos!B375="","",Trabajos!B375)</f>
        <v/>
      </c>
      <c r="C375" s="70" t="str">
        <f>IF(Trabajos!F375="","",Trabajos!F375)</f>
        <v/>
      </c>
      <c r="D375" s="70" t="str">
        <f>IF(Trabajos!D375="","",Trabajos!D375)</f>
        <v/>
      </c>
      <c r="E375" s="70" t="str">
        <f>IF(Trabajos!G375="","",Trabajos!G375)</f>
        <v/>
      </c>
      <c r="F375" s="108" t="str">
        <f>IF(Trabajos!H375="","",Trabajos!H375)</f>
        <v/>
      </c>
      <c r="G375" s="84" t="str">
        <f>IF(Trabajos!I375="","",Trabajos!I375)</f>
        <v/>
      </c>
      <c r="H375" s="84" t="str">
        <f>IF(Trabajos!J375="","",Trabajos!J375)</f>
        <v/>
      </c>
      <c r="I375" s="107" t="str">
        <f>IF(Trabajos!M375="","",Trabajos!M375)</f>
        <v/>
      </c>
      <c r="J375" s="84" t="str">
        <f>IF(Trabajos!N375="","",Trabajos!N375)</f>
        <v/>
      </c>
      <c r="K375" s="84" t="str">
        <f>IF(Trabajos!O375="","",Trabajos!O375)</f>
        <v/>
      </c>
      <c r="L375" s="84" t="str">
        <f>IF(Trabajos!P375="","",Trabajos!P375)</f>
        <v/>
      </c>
    </row>
    <row r="376" spans="2:12" x14ac:dyDescent="0.25">
      <c r="B376" s="106" t="str">
        <f>IF(Trabajos!B376="","",Trabajos!B376)</f>
        <v/>
      </c>
      <c r="C376" s="70" t="str">
        <f>IF(Trabajos!F376="","",Trabajos!F376)</f>
        <v/>
      </c>
      <c r="D376" s="70" t="str">
        <f>IF(Trabajos!D376="","",Trabajos!D376)</f>
        <v/>
      </c>
      <c r="E376" s="70" t="str">
        <f>IF(Trabajos!G376="","",Trabajos!G376)</f>
        <v/>
      </c>
      <c r="F376" s="108" t="str">
        <f>IF(Trabajos!H376="","",Trabajos!H376)</f>
        <v/>
      </c>
      <c r="G376" s="84" t="str">
        <f>IF(Trabajos!I376="","",Trabajos!I376)</f>
        <v/>
      </c>
      <c r="H376" s="84" t="str">
        <f>IF(Trabajos!J376="","",Trabajos!J376)</f>
        <v/>
      </c>
      <c r="I376" s="107" t="str">
        <f>IF(Trabajos!M376="","",Trabajos!M376)</f>
        <v/>
      </c>
      <c r="J376" s="84" t="str">
        <f>IF(Trabajos!N376="","",Trabajos!N376)</f>
        <v/>
      </c>
      <c r="K376" s="84" t="str">
        <f>IF(Trabajos!O376="","",Trabajos!O376)</f>
        <v/>
      </c>
      <c r="L376" s="84" t="str">
        <f>IF(Trabajos!P376="","",Trabajos!P376)</f>
        <v/>
      </c>
    </row>
    <row r="377" spans="2:12" x14ac:dyDescent="0.25">
      <c r="B377" s="106" t="str">
        <f>IF(Trabajos!B377="","",Trabajos!B377)</f>
        <v/>
      </c>
      <c r="C377" s="70" t="str">
        <f>IF(Trabajos!F377="","",Trabajos!F377)</f>
        <v/>
      </c>
      <c r="D377" s="70" t="str">
        <f>IF(Trabajos!D377="","",Trabajos!D377)</f>
        <v/>
      </c>
      <c r="E377" s="70" t="str">
        <f>IF(Trabajos!G377="","",Trabajos!G377)</f>
        <v/>
      </c>
      <c r="F377" s="108" t="str">
        <f>IF(Trabajos!H377="","",Trabajos!H377)</f>
        <v/>
      </c>
      <c r="G377" s="84" t="str">
        <f>IF(Trabajos!I377="","",Trabajos!I377)</f>
        <v/>
      </c>
      <c r="H377" s="84" t="str">
        <f>IF(Trabajos!J377="","",Trabajos!J377)</f>
        <v/>
      </c>
      <c r="I377" s="107" t="str">
        <f>IF(Trabajos!M377="","",Trabajos!M377)</f>
        <v/>
      </c>
      <c r="J377" s="84" t="str">
        <f>IF(Trabajos!N377="","",Trabajos!N377)</f>
        <v/>
      </c>
      <c r="K377" s="84" t="str">
        <f>IF(Trabajos!O377="","",Trabajos!O377)</f>
        <v/>
      </c>
      <c r="L377" s="84" t="str">
        <f>IF(Trabajos!P377="","",Trabajos!P377)</f>
        <v/>
      </c>
    </row>
    <row r="378" spans="2:12" x14ac:dyDescent="0.25">
      <c r="B378" s="106" t="str">
        <f>IF(Trabajos!B378="","",Trabajos!B378)</f>
        <v/>
      </c>
      <c r="C378" s="70" t="str">
        <f>IF(Trabajos!F378="","",Trabajos!F378)</f>
        <v/>
      </c>
      <c r="D378" s="70" t="str">
        <f>IF(Trabajos!D378="","",Trabajos!D378)</f>
        <v/>
      </c>
      <c r="E378" s="70" t="str">
        <f>IF(Trabajos!G378="","",Trabajos!G378)</f>
        <v/>
      </c>
      <c r="F378" s="108" t="str">
        <f>IF(Trabajos!H378="","",Trabajos!H378)</f>
        <v/>
      </c>
      <c r="G378" s="84" t="str">
        <f>IF(Trabajos!I378="","",Trabajos!I378)</f>
        <v/>
      </c>
      <c r="H378" s="84" t="str">
        <f>IF(Trabajos!J378="","",Trabajos!J378)</f>
        <v/>
      </c>
      <c r="I378" s="107" t="str">
        <f>IF(Trabajos!M378="","",Trabajos!M378)</f>
        <v/>
      </c>
      <c r="J378" s="84" t="str">
        <f>IF(Trabajos!N378="","",Trabajos!N378)</f>
        <v/>
      </c>
      <c r="K378" s="84" t="str">
        <f>IF(Trabajos!O378="","",Trabajos!O378)</f>
        <v/>
      </c>
      <c r="L378" s="84" t="str">
        <f>IF(Trabajos!P378="","",Trabajos!P378)</f>
        <v/>
      </c>
    </row>
    <row r="379" spans="2:12" x14ac:dyDescent="0.25">
      <c r="B379" s="106" t="str">
        <f>IF(Trabajos!B379="","",Trabajos!B379)</f>
        <v/>
      </c>
      <c r="C379" s="70" t="str">
        <f>IF(Trabajos!F379="","",Trabajos!F379)</f>
        <v/>
      </c>
      <c r="D379" s="70" t="str">
        <f>IF(Trabajos!D379="","",Trabajos!D379)</f>
        <v/>
      </c>
      <c r="E379" s="70" t="str">
        <f>IF(Trabajos!G379="","",Trabajos!G379)</f>
        <v/>
      </c>
      <c r="F379" s="108" t="str">
        <f>IF(Trabajos!H379="","",Trabajos!H379)</f>
        <v/>
      </c>
      <c r="G379" s="84" t="str">
        <f>IF(Trabajos!I379="","",Trabajos!I379)</f>
        <v/>
      </c>
      <c r="H379" s="84" t="str">
        <f>IF(Trabajos!J379="","",Trabajos!J379)</f>
        <v/>
      </c>
      <c r="I379" s="107" t="str">
        <f>IF(Trabajos!M379="","",Trabajos!M379)</f>
        <v/>
      </c>
      <c r="J379" s="84" t="str">
        <f>IF(Trabajos!N379="","",Trabajos!N379)</f>
        <v/>
      </c>
      <c r="K379" s="84" t="str">
        <f>IF(Trabajos!O379="","",Trabajos!O379)</f>
        <v/>
      </c>
      <c r="L379" s="84" t="str">
        <f>IF(Trabajos!P379="","",Trabajos!P379)</f>
        <v/>
      </c>
    </row>
    <row r="380" spans="2:12" x14ac:dyDescent="0.25">
      <c r="B380" s="106" t="str">
        <f>IF(Trabajos!B380="","",Trabajos!B380)</f>
        <v/>
      </c>
      <c r="C380" s="70" t="str">
        <f>IF(Trabajos!F380="","",Trabajos!F380)</f>
        <v/>
      </c>
      <c r="D380" s="70" t="str">
        <f>IF(Trabajos!D380="","",Trabajos!D380)</f>
        <v/>
      </c>
      <c r="E380" s="70" t="str">
        <f>IF(Trabajos!G380="","",Trabajos!G380)</f>
        <v/>
      </c>
      <c r="F380" s="108" t="str">
        <f>IF(Trabajos!H380="","",Trabajos!H380)</f>
        <v/>
      </c>
      <c r="G380" s="84" t="str">
        <f>IF(Trabajos!I380="","",Trabajos!I380)</f>
        <v/>
      </c>
      <c r="H380" s="84" t="str">
        <f>IF(Trabajos!J380="","",Trabajos!J380)</f>
        <v/>
      </c>
      <c r="I380" s="107" t="str">
        <f>IF(Trabajos!M380="","",Trabajos!M380)</f>
        <v/>
      </c>
      <c r="J380" s="84" t="str">
        <f>IF(Trabajos!N380="","",Trabajos!N380)</f>
        <v/>
      </c>
      <c r="K380" s="84" t="str">
        <f>IF(Trabajos!O380="","",Trabajos!O380)</f>
        <v/>
      </c>
      <c r="L380" s="84" t="str">
        <f>IF(Trabajos!P380="","",Trabajos!P380)</f>
        <v/>
      </c>
    </row>
    <row r="381" spans="2:12" x14ac:dyDescent="0.25">
      <c r="B381" s="106" t="str">
        <f>IF(Trabajos!B381="","",Trabajos!B381)</f>
        <v/>
      </c>
      <c r="C381" s="70" t="str">
        <f>IF(Trabajos!F381="","",Trabajos!F381)</f>
        <v/>
      </c>
      <c r="D381" s="70" t="str">
        <f>IF(Trabajos!D381="","",Trabajos!D381)</f>
        <v/>
      </c>
      <c r="E381" s="70" t="str">
        <f>IF(Trabajos!G381="","",Trabajos!G381)</f>
        <v/>
      </c>
      <c r="F381" s="108" t="str">
        <f>IF(Trabajos!H381="","",Trabajos!H381)</f>
        <v/>
      </c>
      <c r="G381" s="84" t="str">
        <f>IF(Trabajos!I381="","",Trabajos!I381)</f>
        <v/>
      </c>
      <c r="H381" s="84" t="str">
        <f>IF(Trabajos!J381="","",Trabajos!J381)</f>
        <v/>
      </c>
      <c r="I381" s="107" t="str">
        <f>IF(Trabajos!M381="","",Trabajos!M381)</f>
        <v/>
      </c>
      <c r="J381" s="84" t="str">
        <f>IF(Trabajos!N381="","",Trabajos!N381)</f>
        <v/>
      </c>
      <c r="K381" s="84" t="str">
        <f>IF(Trabajos!O381="","",Trabajos!O381)</f>
        <v/>
      </c>
      <c r="L381" s="84" t="str">
        <f>IF(Trabajos!P381="","",Trabajos!P381)</f>
        <v/>
      </c>
    </row>
    <row r="382" spans="2:12" x14ac:dyDescent="0.25">
      <c r="B382" s="106" t="str">
        <f>IF(Trabajos!B382="","",Trabajos!B382)</f>
        <v/>
      </c>
      <c r="C382" s="70" t="str">
        <f>IF(Trabajos!F382="","",Trabajos!F382)</f>
        <v/>
      </c>
      <c r="D382" s="70" t="str">
        <f>IF(Trabajos!D382="","",Trabajos!D382)</f>
        <v/>
      </c>
      <c r="E382" s="70" t="str">
        <f>IF(Trabajos!G382="","",Trabajos!G382)</f>
        <v/>
      </c>
      <c r="F382" s="108" t="str">
        <f>IF(Trabajos!H382="","",Trabajos!H382)</f>
        <v/>
      </c>
      <c r="G382" s="84" t="str">
        <f>IF(Trabajos!I382="","",Trabajos!I382)</f>
        <v/>
      </c>
      <c r="H382" s="84" t="str">
        <f>IF(Trabajos!J382="","",Trabajos!J382)</f>
        <v/>
      </c>
      <c r="I382" s="107" t="str">
        <f>IF(Trabajos!M382="","",Trabajos!M382)</f>
        <v/>
      </c>
      <c r="J382" s="84" t="str">
        <f>IF(Trabajos!N382="","",Trabajos!N382)</f>
        <v/>
      </c>
      <c r="K382" s="84" t="str">
        <f>IF(Trabajos!O382="","",Trabajos!O382)</f>
        <v/>
      </c>
      <c r="L382" s="84" t="str">
        <f>IF(Trabajos!P382="","",Trabajos!P382)</f>
        <v/>
      </c>
    </row>
    <row r="383" spans="2:12" x14ac:dyDescent="0.25">
      <c r="B383" s="106" t="str">
        <f>IF(Trabajos!B383="","",Trabajos!B383)</f>
        <v/>
      </c>
      <c r="C383" s="70" t="str">
        <f>IF(Trabajos!F383="","",Trabajos!F383)</f>
        <v/>
      </c>
      <c r="D383" s="70" t="str">
        <f>IF(Trabajos!D383="","",Trabajos!D383)</f>
        <v/>
      </c>
      <c r="E383" s="70" t="str">
        <f>IF(Trabajos!G383="","",Trabajos!G383)</f>
        <v/>
      </c>
      <c r="F383" s="108" t="str">
        <f>IF(Trabajos!H383="","",Trabajos!H383)</f>
        <v/>
      </c>
      <c r="G383" s="84" t="str">
        <f>IF(Trabajos!I383="","",Trabajos!I383)</f>
        <v/>
      </c>
      <c r="H383" s="84" t="str">
        <f>IF(Trabajos!J383="","",Trabajos!J383)</f>
        <v/>
      </c>
      <c r="I383" s="107" t="str">
        <f>IF(Trabajos!M383="","",Trabajos!M383)</f>
        <v/>
      </c>
      <c r="J383" s="84" t="str">
        <f>IF(Trabajos!N383="","",Trabajos!N383)</f>
        <v/>
      </c>
      <c r="K383" s="84" t="str">
        <f>IF(Trabajos!O383="","",Trabajos!O383)</f>
        <v/>
      </c>
      <c r="L383" s="84" t="str">
        <f>IF(Trabajos!P383="","",Trabajos!P383)</f>
        <v/>
      </c>
    </row>
    <row r="384" spans="2:12" x14ac:dyDescent="0.25">
      <c r="B384" s="106" t="str">
        <f>IF(Trabajos!B384="","",Trabajos!B384)</f>
        <v/>
      </c>
      <c r="C384" s="70" t="str">
        <f>IF(Trabajos!F384="","",Trabajos!F384)</f>
        <v/>
      </c>
      <c r="D384" s="70" t="str">
        <f>IF(Trabajos!D384="","",Trabajos!D384)</f>
        <v/>
      </c>
      <c r="E384" s="70" t="str">
        <f>IF(Trabajos!G384="","",Trabajos!G384)</f>
        <v/>
      </c>
      <c r="F384" s="108" t="str">
        <f>IF(Trabajos!H384="","",Trabajos!H384)</f>
        <v/>
      </c>
      <c r="G384" s="84" t="str">
        <f>IF(Trabajos!I384="","",Trabajos!I384)</f>
        <v/>
      </c>
      <c r="H384" s="84" t="str">
        <f>IF(Trabajos!J384="","",Trabajos!J384)</f>
        <v/>
      </c>
      <c r="I384" s="107" t="str">
        <f>IF(Trabajos!M384="","",Trabajos!M384)</f>
        <v/>
      </c>
      <c r="J384" s="84" t="str">
        <f>IF(Trabajos!N384="","",Trabajos!N384)</f>
        <v/>
      </c>
      <c r="K384" s="84" t="str">
        <f>IF(Trabajos!O384="","",Trabajos!O384)</f>
        <v/>
      </c>
      <c r="L384" s="84" t="str">
        <f>IF(Trabajos!P384="","",Trabajos!P384)</f>
        <v/>
      </c>
    </row>
    <row r="385" spans="2:12" x14ac:dyDescent="0.25">
      <c r="B385" s="106" t="str">
        <f>IF(Trabajos!B385="","",Trabajos!B385)</f>
        <v/>
      </c>
      <c r="C385" s="70" t="str">
        <f>IF(Trabajos!F385="","",Trabajos!F385)</f>
        <v/>
      </c>
      <c r="D385" s="70" t="str">
        <f>IF(Trabajos!D385="","",Trabajos!D385)</f>
        <v/>
      </c>
      <c r="E385" s="70" t="str">
        <f>IF(Trabajos!G385="","",Trabajos!G385)</f>
        <v/>
      </c>
      <c r="F385" s="108" t="str">
        <f>IF(Trabajos!H385="","",Trabajos!H385)</f>
        <v/>
      </c>
      <c r="G385" s="84" t="str">
        <f>IF(Trabajos!I385="","",Trabajos!I385)</f>
        <v/>
      </c>
      <c r="H385" s="84" t="str">
        <f>IF(Trabajos!J385="","",Trabajos!J385)</f>
        <v/>
      </c>
      <c r="I385" s="107" t="str">
        <f>IF(Trabajos!M385="","",Trabajos!M385)</f>
        <v/>
      </c>
      <c r="J385" s="84" t="str">
        <f>IF(Trabajos!N385="","",Trabajos!N385)</f>
        <v/>
      </c>
      <c r="K385" s="84" t="str">
        <f>IF(Trabajos!O385="","",Trabajos!O385)</f>
        <v/>
      </c>
      <c r="L385" s="84" t="str">
        <f>IF(Trabajos!P385="","",Trabajos!P385)</f>
        <v/>
      </c>
    </row>
    <row r="386" spans="2:12" x14ac:dyDescent="0.25">
      <c r="B386" s="106" t="str">
        <f>IF(Trabajos!B386="","",Trabajos!B386)</f>
        <v/>
      </c>
      <c r="C386" s="70" t="str">
        <f>IF(Trabajos!F386="","",Trabajos!F386)</f>
        <v/>
      </c>
      <c r="D386" s="70" t="str">
        <f>IF(Trabajos!D386="","",Trabajos!D386)</f>
        <v/>
      </c>
      <c r="E386" s="70" t="str">
        <f>IF(Trabajos!G386="","",Trabajos!G386)</f>
        <v/>
      </c>
      <c r="F386" s="108" t="str">
        <f>IF(Trabajos!H386="","",Trabajos!H386)</f>
        <v/>
      </c>
      <c r="G386" s="84" t="str">
        <f>IF(Trabajos!I386="","",Trabajos!I386)</f>
        <v/>
      </c>
      <c r="H386" s="84" t="str">
        <f>IF(Trabajos!J386="","",Trabajos!J386)</f>
        <v/>
      </c>
      <c r="I386" s="107" t="str">
        <f>IF(Trabajos!M386="","",Trabajos!M386)</f>
        <v/>
      </c>
      <c r="J386" s="84" t="str">
        <f>IF(Trabajos!N386="","",Trabajos!N386)</f>
        <v/>
      </c>
      <c r="K386" s="84" t="str">
        <f>IF(Trabajos!O386="","",Trabajos!O386)</f>
        <v/>
      </c>
      <c r="L386" s="84" t="str">
        <f>IF(Trabajos!P386="","",Trabajos!P386)</f>
        <v/>
      </c>
    </row>
    <row r="387" spans="2:12" x14ac:dyDescent="0.25">
      <c r="B387" s="106" t="str">
        <f>IF(Trabajos!B387="","",Trabajos!B387)</f>
        <v/>
      </c>
      <c r="C387" s="70" t="str">
        <f>IF(Trabajos!F387="","",Trabajos!F387)</f>
        <v/>
      </c>
      <c r="D387" s="70" t="str">
        <f>IF(Trabajos!D387="","",Trabajos!D387)</f>
        <v/>
      </c>
      <c r="E387" s="70" t="str">
        <f>IF(Trabajos!G387="","",Trabajos!G387)</f>
        <v/>
      </c>
      <c r="F387" s="108" t="str">
        <f>IF(Trabajos!H387="","",Trabajos!H387)</f>
        <v/>
      </c>
      <c r="G387" s="84" t="str">
        <f>IF(Trabajos!I387="","",Trabajos!I387)</f>
        <v/>
      </c>
      <c r="H387" s="84" t="str">
        <f>IF(Trabajos!J387="","",Trabajos!J387)</f>
        <v/>
      </c>
      <c r="I387" s="107" t="str">
        <f>IF(Trabajos!M387="","",Trabajos!M387)</f>
        <v/>
      </c>
      <c r="J387" s="84" t="str">
        <f>IF(Trabajos!N387="","",Trabajos!N387)</f>
        <v/>
      </c>
      <c r="K387" s="84" t="str">
        <f>IF(Trabajos!O387="","",Trabajos!O387)</f>
        <v/>
      </c>
      <c r="L387" s="84" t="str">
        <f>IF(Trabajos!P387="","",Trabajos!P387)</f>
        <v/>
      </c>
    </row>
    <row r="388" spans="2:12" x14ac:dyDescent="0.25">
      <c r="B388" s="106" t="str">
        <f>IF(Trabajos!B388="","",Trabajos!B388)</f>
        <v/>
      </c>
      <c r="C388" s="70" t="str">
        <f>IF(Trabajos!F388="","",Trabajos!F388)</f>
        <v/>
      </c>
      <c r="D388" s="70" t="str">
        <f>IF(Trabajos!D388="","",Trabajos!D388)</f>
        <v/>
      </c>
      <c r="E388" s="70" t="str">
        <f>IF(Trabajos!G388="","",Trabajos!G388)</f>
        <v/>
      </c>
      <c r="F388" s="108" t="str">
        <f>IF(Trabajos!H388="","",Trabajos!H388)</f>
        <v/>
      </c>
      <c r="G388" s="84" t="str">
        <f>IF(Trabajos!I388="","",Trabajos!I388)</f>
        <v/>
      </c>
      <c r="H388" s="84" t="str">
        <f>IF(Trabajos!J388="","",Trabajos!J388)</f>
        <v/>
      </c>
      <c r="I388" s="107" t="str">
        <f>IF(Trabajos!M388="","",Trabajos!M388)</f>
        <v/>
      </c>
      <c r="J388" s="84" t="str">
        <f>IF(Trabajos!N388="","",Trabajos!N388)</f>
        <v/>
      </c>
      <c r="K388" s="84" t="str">
        <f>IF(Trabajos!O388="","",Trabajos!O388)</f>
        <v/>
      </c>
      <c r="L388" s="84" t="str">
        <f>IF(Trabajos!P388="","",Trabajos!P388)</f>
        <v/>
      </c>
    </row>
    <row r="389" spans="2:12" x14ac:dyDescent="0.25">
      <c r="B389" s="106" t="str">
        <f>IF(Trabajos!B389="","",Trabajos!B389)</f>
        <v/>
      </c>
      <c r="C389" s="70" t="str">
        <f>IF(Trabajos!F389="","",Trabajos!F389)</f>
        <v/>
      </c>
      <c r="D389" s="70" t="str">
        <f>IF(Trabajos!D389="","",Trabajos!D389)</f>
        <v/>
      </c>
      <c r="E389" s="70" t="str">
        <f>IF(Trabajos!G389="","",Trabajos!G389)</f>
        <v/>
      </c>
      <c r="F389" s="108" t="str">
        <f>IF(Trabajos!H389="","",Trabajos!H389)</f>
        <v/>
      </c>
      <c r="G389" s="84" t="str">
        <f>IF(Trabajos!I389="","",Trabajos!I389)</f>
        <v/>
      </c>
      <c r="H389" s="84" t="str">
        <f>IF(Trabajos!J389="","",Trabajos!J389)</f>
        <v/>
      </c>
      <c r="I389" s="107" t="str">
        <f>IF(Trabajos!M389="","",Trabajos!M389)</f>
        <v/>
      </c>
      <c r="J389" s="84" t="str">
        <f>IF(Trabajos!N389="","",Trabajos!N389)</f>
        <v/>
      </c>
      <c r="K389" s="84" t="str">
        <f>IF(Trabajos!O389="","",Trabajos!O389)</f>
        <v/>
      </c>
      <c r="L389" s="84" t="str">
        <f>IF(Trabajos!P389="","",Trabajos!P389)</f>
        <v/>
      </c>
    </row>
    <row r="390" spans="2:12" x14ac:dyDescent="0.25">
      <c r="B390" s="106" t="str">
        <f>IF(Trabajos!B390="","",Trabajos!B390)</f>
        <v/>
      </c>
      <c r="C390" s="70" t="str">
        <f>IF(Trabajos!F390="","",Trabajos!F390)</f>
        <v/>
      </c>
      <c r="D390" s="70" t="str">
        <f>IF(Trabajos!D390="","",Trabajos!D390)</f>
        <v/>
      </c>
      <c r="E390" s="70" t="str">
        <f>IF(Trabajos!G390="","",Trabajos!G390)</f>
        <v/>
      </c>
      <c r="F390" s="108" t="str">
        <f>IF(Trabajos!H390="","",Trabajos!H390)</f>
        <v/>
      </c>
      <c r="G390" s="84" t="str">
        <f>IF(Trabajos!I390="","",Trabajos!I390)</f>
        <v/>
      </c>
      <c r="H390" s="84" t="str">
        <f>IF(Trabajos!J390="","",Trabajos!J390)</f>
        <v/>
      </c>
      <c r="I390" s="107" t="str">
        <f>IF(Trabajos!M390="","",Trabajos!M390)</f>
        <v/>
      </c>
      <c r="J390" s="84" t="str">
        <f>IF(Trabajos!N390="","",Trabajos!N390)</f>
        <v/>
      </c>
      <c r="K390" s="84" t="str">
        <f>IF(Trabajos!O390="","",Trabajos!O390)</f>
        <v/>
      </c>
      <c r="L390" s="84" t="str">
        <f>IF(Trabajos!P390="","",Trabajos!P390)</f>
        <v/>
      </c>
    </row>
    <row r="391" spans="2:12" x14ac:dyDescent="0.25">
      <c r="B391" s="106" t="str">
        <f>IF(Trabajos!B391="","",Trabajos!B391)</f>
        <v/>
      </c>
      <c r="C391" s="70" t="str">
        <f>IF(Trabajos!F391="","",Trabajos!F391)</f>
        <v/>
      </c>
      <c r="D391" s="70" t="str">
        <f>IF(Trabajos!D391="","",Trabajos!D391)</f>
        <v/>
      </c>
      <c r="E391" s="70" t="str">
        <f>IF(Trabajos!G391="","",Trabajos!G391)</f>
        <v/>
      </c>
      <c r="F391" s="108" t="str">
        <f>IF(Trabajos!H391="","",Trabajos!H391)</f>
        <v/>
      </c>
      <c r="G391" s="84" t="str">
        <f>IF(Trabajos!I391="","",Trabajos!I391)</f>
        <v/>
      </c>
      <c r="H391" s="84" t="str">
        <f>IF(Trabajos!J391="","",Trabajos!J391)</f>
        <v/>
      </c>
      <c r="I391" s="107" t="str">
        <f>IF(Trabajos!M391="","",Trabajos!M391)</f>
        <v/>
      </c>
      <c r="J391" s="84" t="str">
        <f>IF(Trabajos!N391="","",Trabajos!N391)</f>
        <v/>
      </c>
      <c r="K391" s="84" t="str">
        <f>IF(Trabajos!O391="","",Trabajos!O391)</f>
        <v/>
      </c>
      <c r="L391" s="84" t="str">
        <f>IF(Trabajos!P391="","",Trabajos!P391)</f>
        <v/>
      </c>
    </row>
    <row r="392" spans="2:12" x14ac:dyDescent="0.25">
      <c r="B392" s="106" t="str">
        <f>IF(Trabajos!B392="","",Trabajos!B392)</f>
        <v/>
      </c>
      <c r="C392" s="70" t="str">
        <f>IF(Trabajos!F392="","",Trabajos!F392)</f>
        <v/>
      </c>
      <c r="D392" s="70" t="str">
        <f>IF(Trabajos!D392="","",Trabajos!D392)</f>
        <v/>
      </c>
      <c r="E392" s="70" t="str">
        <f>IF(Trabajos!G392="","",Trabajos!G392)</f>
        <v/>
      </c>
      <c r="F392" s="108" t="str">
        <f>IF(Trabajos!H392="","",Trabajos!H392)</f>
        <v/>
      </c>
      <c r="G392" s="84" t="str">
        <f>IF(Trabajos!I392="","",Trabajos!I392)</f>
        <v/>
      </c>
      <c r="H392" s="84" t="str">
        <f>IF(Trabajos!J392="","",Trabajos!J392)</f>
        <v/>
      </c>
      <c r="I392" s="107" t="str">
        <f>IF(Trabajos!M392="","",Trabajos!M392)</f>
        <v/>
      </c>
      <c r="J392" s="84" t="str">
        <f>IF(Trabajos!N392="","",Trabajos!N392)</f>
        <v/>
      </c>
      <c r="K392" s="84" t="str">
        <f>IF(Trabajos!O392="","",Trabajos!O392)</f>
        <v/>
      </c>
      <c r="L392" s="84" t="str">
        <f>IF(Trabajos!P392="","",Trabajos!P392)</f>
        <v/>
      </c>
    </row>
    <row r="393" spans="2:12" x14ac:dyDescent="0.25">
      <c r="B393" s="106" t="str">
        <f>IF(Trabajos!B393="","",Trabajos!B393)</f>
        <v/>
      </c>
      <c r="C393" s="70" t="str">
        <f>IF(Trabajos!F393="","",Trabajos!F393)</f>
        <v/>
      </c>
      <c r="D393" s="70" t="str">
        <f>IF(Trabajos!D393="","",Trabajos!D393)</f>
        <v/>
      </c>
      <c r="E393" s="70" t="str">
        <f>IF(Trabajos!G393="","",Trabajos!G393)</f>
        <v/>
      </c>
      <c r="F393" s="108" t="str">
        <f>IF(Trabajos!H393="","",Trabajos!H393)</f>
        <v/>
      </c>
      <c r="G393" s="84" t="str">
        <f>IF(Trabajos!I393="","",Trabajos!I393)</f>
        <v/>
      </c>
      <c r="H393" s="84" t="str">
        <f>IF(Trabajos!J393="","",Trabajos!J393)</f>
        <v/>
      </c>
      <c r="I393" s="107" t="str">
        <f>IF(Trabajos!M393="","",Trabajos!M393)</f>
        <v/>
      </c>
      <c r="J393" s="84" t="str">
        <f>IF(Trabajos!N393="","",Trabajos!N393)</f>
        <v/>
      </c>
      <c r="K393" s="84" t="str">
        <f>IF(Trabajos!O393="","",Trabajos!O393)</f>
        <v/>
      </c>
      <c r="L393" s="84" t="str">
        <f>IF(Trabajos!P393="","",Trabajos!P393)</f>
        <v/>
      </c>
    </row>
    <row r="394" spans="2:12" x14ac:dyDescent="0.25">
      <c r="B394" s="106" t="str">
        <f>IF(Trabajos!B394="","",Trabajos!B394)</f>
        <v/>
      </c>
      <c r="C394" s="70" t="str">
        <f>IF(Trabajos!F394="","",Trabajos!F394)</f>
        <v/>
      </c>
      <c r="D394" s="70" t="str">
        <f>IF(Trabajos!D394="","",Trabajos!D394)</f>
        <v/>
      </c>
      <c r="E394" s="70" t="str">
        <f>IF(Trabajos!G394="","",Trabajos!G394)</f>
        <v/>
      </c>
      <c r="F394" s="108" t="str">
        <f>IF(Trabajos!H394="","",Trabajos!H394)</f>
        <v/>
      </c>
      <c r="G394" s="84" t="str">
        <f>IF(Trabajos!I394="","",Trabajos!I394)</f>
        <v/>
      </c>
      <c r="H394" s="84" t="str">
        <f>IF(Trabajos!J394="","",Trabajos!J394)</f>
        <v/>
      </c>
      <c r="I394" s="107" t="str">
        <f>IF(Trabajos!M394="","",Trabajos!M394)</f>
        <v/>
      </c>
      <c r="J394" s="84" t="str">
        <f>IF(Trabajos!N394="","",Trabajos!N394)</f>
        <v/>
      </c>
      <c r="K394" s="84" t="str">
        <f>IF(Trabajos!O394="","",Trabajos!O394)</f>
        <v/>
      </c>
      <c r="L394" s="84" t="str">
        <f>IF(Trabajos!P394="","",Trabajos!P394)</f>
        <v/>
      </c>
    </row>
    <row r="395" spans="2:12" x14ac:dyDescent="0.25">
      <c r="B395" s="82" t="s">
        <v>9</v>
      </c>
      <c r="C395" s="82"/>
      <c r="D395" s="82"/>
      <c r="E395" s="85"/>
      <c r="F395" s="214">
        <f>SUBTOTAL(9,F5:F394)</f>
        <v>57801</v>
      </c>
      <c r="G395" s="85"/>
      <c r="H395" s="85"/>
      <c r="I395" s="109">
        <f>SUBTOTAL(9,I5:I394)</f>
        <v>46207</v>
      </c>
      <c r="J395" s="85"/>
      <c r="K395" s="85"/>
      <c r="L395" s="86">
        <f>SUBTOTAL(9,L5:L394)</f>
        <v>224272343.92999965</v>
      </c>
    </row>
    <row r="397" spans="2:12" x14ac:dyDescent="0.25">
      <c r="D397" t="s">
        <v>4</v>
      </c>
    </row>
    <row r="401" spans="4:12" x14ac:dyDescent="0.25">
      <c r="D401" t="s">
        <v>4</v>
      </c>
      <c r="I401" t="s">
        <v>4</v>
      </c>
    </row>
    <row r="403" spans="4:12" x14ac:dyDescent="0.25">
      <c r="F403" t="s">
        <v>4</v>
      </c>
    </row>
    <row r="406" spans="4:12" x14ac:dyDescent="0.25">
      <c r="L406" t="s">
        <v>4</v>
      </c>
    </row>
  </sheetData>
  <autoFilter ref="B4:N39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153"/>
  <sheetViews>
    <sheetView showGridLines="0" topLeftCell="A9" workbookViewId="0">
      <selection activeCell="I158" sqref="I158"/>
    </sheetView>
  </sheetViews>
  <sheetFormatPr baseColWidth="10" defaultRowHeight="15" x14ac:dyDescent="0.25"/>
  <cols>
    <col min="1" max="1" width="6.85546875" customWidth="1"/>
    <col min="3" max="3" width="24.140625" bestFit="1" customWidth="1"/>
    <col min="4" max="4" width="22.5703125" bestFit="1" customWidth="1"/>
    <col min="5" max="5" width="26.140625" bestFit="1" customWidth="1"/>
    <col min="7" max="7" width="12.5703125" bestFit="1" customWidth="1"/>
    <col min="8" max="8" width="13" bestFit="1" customWidth="1"/>
    <col min="11" max="11" width="13" bestFit="1" customWidth="1"/>
    <col min="12" max="12" width="14.140625" bestFit="1" customWidth="1"/>
  </cols>
  <sheetData>
    <row r="1" spans="2:14" ht="5.25" customHeigh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4" ht="26.25" x14ac:dyDescent="0.4">
      <c r="B2" s="35" t="s">
        <v>84</v>
      </c>
      <c r="C2" s="35"/>
    </row>
    <row r="4" spans="2:14" x14ac:dyDescent="0.25">
      <c r="B4" s="72" t="s">
        <v>0</v>
      </c>
      <c r="C4" s="72" t="s">
        <v>6</v>
      </c>
      <c r="D4" s="72" t="s">
        <v>27</v>
      </c>
      <c r="E4" s="72" t="s">
        <v>62</v>
      </c>
      <c r="F4" s="104" t="s">
        <v>97</v>
      </c>
      <c r="G4" s="104" t="s">
        <v>63</v>
      </c>
      <c r="H4" s="104" t="s">
        <v>5</v>
      </c>
      <c r="I4" s="47" t="s">
        <v>1</v>
      </c>
      <c r="J4" s="105" t="s">
        <v>63</v>
      </c>
      <c r="K4" s="104" t="s">
        <v>5</v>
      </c>
      <c r="L4" s="104" t="s">
        <v>3</v>
      </c>
    </row>
    <row r="5" spans="2:14" x14ac:dyDescent="0.25">
      <c r="B5" s="106">
        <f>IF('Trabajos 2'!B5="","",'Trabajos 2'!B5)</f>
        <v>45908</v>
      </c>
      <c r="C5" s="70" t="str">
        <f>IF('Trabajos 2'!F5="","",'Trabajos 2'!F5)</f>
        <v>Carlos Fernando Fuertes</v>
      </c>
      <c r="D5" s="70" t="str">
        <f>IF('Trabajos 2'!D5="","",'Trabajos 2'!D5)</f>
        <v>Seguimiento de cultivos</v>
      </c>
      <c r="E5" s="70" t="str">
        <f>IF('Trabajos 2'!G5="","",'Trabajos 2'!G5)</f>
        <v>La Tolderia</v>
      </c>
      <c r="F5" s="129">
        <f>IF('Trabajos 2'!H5="","",'Trabajos 2'!H5)</f>
        <v>0.5</v>
      </c>
      <c r="G5" s="84">
        <f>IF('Trabajos 2'!I5="","",'Trabajos 2'!I5)</f>
        <v>200000</v>
      </c>
      <c r="H5" s="84">
        <f>IF('Trabajos 2'!J5="","",'Trabajos 2'!J5)</f>
        <v>100000</v>
      </c>
      <c r="I5" s="107">
        <f>IF('Trabajos 2'!M5="","",'Trabajos 2'!M5)</f>
        <v>120</v>
      </c>
      <c r="J5" s="84">
        <f>IF('Trabajos 2'!N5="","",'Trabajos 2'!N5)</f>
        <v>650</v>
      </c>
      <c r="K5" s="84">
        <f>IF('Trabajos 2'!O5="","",'Trabajos 2'!O5)</f>
        <v>78000</v>
      </c>
      <c r="L5" s="84">
        <f>IF('Trabajos 2'!P5="","",'Trabajos 2'!P5)</f>
        <v>178000</v>
      </c>
    </row>
    <row r="6" spans="2:14" x14ac:dyDescent="0.25">
      <c r="B6" s="106">
        <f>IF('Trabajos 2'!B6="","",'Trabajos 2'!B6)</f>
        <v>45912</v>
      </c>
      <c r="C6" s="70" t="str">
        <f>IF('Trabajos 2'!F6="","",'Trabajos 2'!F6)</f>
        <v>Omar Piaggio</v>
      </c>
      <c r="D6" s="70" t="str">
        <f>IF('Trabajos 2'!D6="","",'Trabajos 2'!D6)</f>
        <v>Seguimiento de cultivos</v>
      </c>
      <c r="E6" s="70" t="str">
        <f>IF('Trabajos 2'!G6="","",'Trabajos 2'!G6)</f>
        <v>Costa del Moro</v>
      </c>
      <c r="F6" s="129">
        <f>IF('Trabajos 2'!H6="","",'Trabajos 2'!H6)</f>
        <v>1</v>
      </c>
      <c r="G6" s="84">
        <f>IF('Trabajos 2'!I6="","",'Trabajos 2'!I6)</f>
        <v>150000</v>
      </c>
      <c r="H6" s="84">
        <f>IF('Trabajos 2'!J6="","",'Trabajos 2'!J6)</f>
        <v>150000</v>
      </c>
      <c r="I6" s="107">
        <f>IF('Trabajos 2'!M6="","",'Trabajos 2'!M6)</f>
        <v>225</v>
      </c>
      <c r="J6" s="84">
        <f>IF('Trabajos 2'!N6="","",'Trabajos 2'!N6)</f>
        <v>650</v>
      </c>
      <c r="K6" s="84">
        <f>IF('Trabajos 2'!O6="","",'Trabajos 2'!O6)</f>
        <v>146250</v>
      </c>
      <c r="L6" s="84">
        <f>IF('Trabajos 2'!P6="","",'Trabajos 2'!P6)</f>
        <v>296250</v>
      </c>
    </row>
    <row r="7" spans="2:14" x14ac:dyDescent="0.25">
      <c r="B7" s="106">
        <f>IF('Trabajos 2'!B7="","",'Trabajos 2'!B7)</f>
        <v>45917</v>
      </c>
      <c r="C7" s="70" t="str">
        <f>IF('Trabajos 2'!F7="","",'Trabajos 2'!F7)</f>
        <v>Omar Piaggio</v>
      </c>
      <c r="D7" s="70" t="str">
        <f>IF('Trabajos 2'!D7="","",'Trabajos 2'!D7)</f>
        <v>Seguimiento de cultivos</v>
      </c>
      <c r="E7" s="70" t="str">
        <f>IF('Trabajos 2'!G7="","",'Trabajos 2'!G7)</f>
        <v>Costa del Moro</v>
      </c>
      <c r="F7" s="196">
        <f>IF('Trabajos 2'!H7="","",'Trabajos 2'!H7)</f>
        <v>0</v>
      </c>
      <c r="G7" s="84">
        <f>IF('Trabajos 2'!I7="","",'Trabajos 2'!I7)</f>
        <v>150000</v>
      </c>
      <c r="H7" s="84">
        <f>IF('Trabajos 2'!J7="","",'Trabajos 2'!J7)</f>
        <v>0</v>
      </c>
      <c r="I7" s="107">
        <f>IF('Trabajos 2'!M7="","",'Trabajos 2'!M7)</f>
        <v>225</v>
      </c>
      <c r="J7" s="84">
        <f>IF('Trabajos 2'!N7="","",'Trabajos 2'!N7)</f>
        <v>650</v>
      </c>
      <c r="K7" s="84">
        <f>IF('Trabajos 2'!O7="","",'Trabajos 2'!O7)</f>
        <v>146250</v>
      </c>
      <c r="L7" s="84">
        <f>IF('Trabajos 2'!P7="","",'Trabajos 2'!P7)</f>
        <v>146250</v>
      </c>
    </row>
    <row r="8" spans="2:14" x14ac:dyDescent="0.25">
      <c r="B8" s="106">
        <f>IF('Trabajos 2'!B8="","",'Trabajos 2'!B8)</f>
        <v>45926</v>
      </c>
      <c r="C8" s="70" t="str">
        <f>IF('Trabajos 2'!F8="","",'Trabajos 2'!F8)</f>
        <v>Nugas S.A.</v>
      </c>
      <c r="D8" s="70" t="str">
        <f>IF('Trabajos 2'!D8="","",'Trabajos 2'!D8)</f>
        <v>Seguimiento de cultivos</v>
      </c>
      <c r="E8" s="70" t="str">
        <f>IF('Trabajos 2'!G8="","",'Trabajos 2'!G8)</f>
        <v>La Alborada</v>
      </c>
      <c r="F8" s="129">
        <f>IF('Trabajos 2'!H8="","",'Trabajos 2'!H8)</f>
        <v>0.5</v>
      </c>
      <c r="G8" s="84">
        <f>IF('Trabajos 2'!I8="","",'Trabajos 2'!I8)</f>
        <v>200000</v>
      </c>
      <c r="H8" s="84">
        <f>IF('Trabajos 2'!J8="","",'Trabajos 2'!J8)</f>
        <v>100000</v>
      </c>
      <c r="I8" s="107">
        <f>IF('Trabajos 2'!M8="","",'Trabajos 2'!M8)</f>
        <v>160</v>
      </c>
      <c r="J8" s="84">
        <f>IF('Trabajos 2'!N8="","",'Trabajos 2'!N8)</f>
        <v>650</v>
      </c>
      <c r="K8" s="84">
        <f>IF('Trabajos 2'!O8="","",'Trabajos 2'!O8)</f>
        <v>104000</v>
      </c>
      <c r="L8" s="84">
        <f>IF('Trabajos 2'!P8="","",'Trabajos 2'!P8)</f>
        <v>204000</v>
      </c>
    </row>
    <row r="9" spans="2:14" x14ac:dyDescent="0.25">
      <c r="B9" s="106">
        <f>IF('Trabajos 2'!B9="","",'Trabajos 2'!B9)</f>
        <v>45933</v>
      </c>
      <c r="C9" s="70" t="str">
        <f>IF('Trabajos 2'!F9="","",'Trabajos 2'!F9)</f>
        <v>Nugas S.A.</v>
      </c>
      <c r="D9" s="70" t="str">
        <f>IF('Trabajos 2'!D9="","",'Trabajos 2'!D9)</f>
        <v>Seguimiento de cultivos</v>
      </c>
      <c r="E9" s="70" t="str">
        <f>IF('Trabajos 2'!G9="","",'Trabajos 2'!G9)</f>
        <v>La Alborada</v>
      </c>
      <c r="F9" s="129">
        <f>IF('Trabajos 2'!H9="","",'Trabajos 2'!H9)</f>
        <v>0.5</v>
      </c>
      <c r="G9" s="84">
        <f>IF('Trabajos 2'!I9="","",'Trabajos 2'!I9)</f>
        <v>200000</v>
      </c>
      <c r="H9" s="84">
        <f>IF('Trabajos 2'!J9="","",'Trabajos 2'!J9)</f>
        <v>100000</v>
      </c>
      <c r="I9" s="107">
        <f>IF('Trabajos 2'!M9="","",'Trabajos 2'!M9)</f>
        <v>160</v>
      </c>
      <c r="J9" s="84">
        <f>IF('Trabajos 2'!N9="","",'Trabajos 2'!N9)</f>
        <v>650</v>
      </c>
      <c r="K9" s="84">
        <f>IF('Trabajos 2'!O9="","",'Trabajos 2'!O9)</f>
        <v>104000</v>
      </c>
      <c r="L9" s="84">
        <f>IF('Trabajos 2'!P9="","",'Trabajos 2'!P9)</f>
        <v>204000</v>
      </c>
      <c r="M9" t="s">
        <v>4</v>
      </c>
    </row>
    <row r="10" spans="2:14" x14ac:dyDescent="0.25">
      <c r="B10" s="106">
        <f>IF('Trabajos 2'!B10="","",'Trabajos 2'!B10)</f>
        <v>45934</v>
      </c>
      <c r="C10" s="70" t="str">
        <f>IF('Trabajos 2'!F10="","",'Trabajos 2'!F10)</f>
        <v>Omar Piaggio</v>
      </c>
      <c r="D10" s="70" t="str">
        <f>IF('Trabajos 2'!D10="","",'Trabajos 2'!D10)</f>
        <v>Seguimiento de cultivos</v>
      </c>
      <c r="E10" s="70" t="str">
        <f>IF('Trabajos 2'!G10="","",'Trabajos 2'!G10)</f>
        <v>Costa del Moro</v>
      </c>
      <c r="F10" s="129">
        <f>IF('Trabajos 2'!H10="","",'Trabajos 2'!H10)</f>
        <v>1</v>
      </c>
      <c r="G10" s="84">
        <f>IF('Trabajos 2'!I10="","",'Trabajos 2'!I10)</f>
        <v>150000</v>
      </c>
      <c r="H10" s="84">
        <f>IF('Trabajos 2'!J10="","",'Trabajos 2'!J10)</f>
        <v>150000</v>
      </c>
      <c r="I10" s="107">
        <f>IF('Trabajos 2'!M10="","",'Trabajos 2'!M10)</f>
        <v>225</v>
      </c>
      <c r="J10" s="84">
        <f>IF('Trabajos 2'!N10="","",'Trabajos 2'!N10)</f>
        <v>650</v>
      </c>
      <c r="K10" s="84">
        <f>IF('Trabajos 2'!O10="","",'Trabajos 2'!O10)</f>
        <v>146250</v>
      </c>
      <c r="L10" s="84">
        <f>IF('Trabajos 2'!P10="","",'Trabajos 2'!P10)</f>
        <v>296250</v>
      </c>
      <c r="N10" t="s">
        <v>4</v>
      </c>
    </row>
    <row r="11" spans="2:14" x14ac:dyDescent="0.25">
      <c r="B11" s="106">
        <f>IF('Trabajos 2'!B11="","",'Trabajos 2'!B11)</f>
        <v>45939</v>
      </c>
      <c r="C11" s="70" t="str">
        <f>IF('Trabajos 2'!F11="","",'Trabajos 2'!F11)</f>
        <v>Carlos Fernando Fuertes</v>
      </c>
      <c r="D11" s="70" t="str">
        <f>IF('Trabajos 2'!D11="","",'Trabajos 2'!D11)</f>
        <v>Seguimiento de cultivos</v>
      </c>
      <c r="E11" s="70" t="str">
        <f>IF('Trabajos 2'!G11="","",'Trabajos 2'!G11)</f>
        <v>La Tolderia</v>
      </c>
      <c r="F11" s="129">
        <f>IF('Trabajos 2'!H11="","",'Trabajos 2'!H11)</f>
        <v>0.5</v>
      </c>
      <c r="G11" s="84">
        <f>IF('Trabajos 2'!I11="","",'Trabajos 2'!I11)</f>
        <v>200000</v>
      </c>
      <c r="H11" s="84">
        <f>IF('Trabajos 2'!J11="","",'Trabajos 2'!J11)</f>
        <v>100000</v>
      </c>
      <c r="I11" s="107">
        <f>IF('Trabajos 2'!M11="","",'Trabajos 2'!M11)</f>
        <v>120</v>
      </c>
      <c r="J11" s="84">
        <f>IF('Trabajos 2'!N11="","",'Trabajos 2'!N11)</f>
        <v>650</v>
      </c>
      <c r="K11" s="84">
        <f>IF('Trabajos 2'!O11="","",'Trabajos 2'!O11)</f>
        <v>78000</v>
      </c>
      <c r="L11" s="84">
        <f>IF('Trabajos 2'!P11="","",'Trabajos 2'!P11)</f>
        <v>178000</v>
      </c>
    </row>
    <row r="12" spans="2:14" x14ac:dyDescent="0.25">
      <c r="B12" s="106">
        <f>IF('Trabajos 2'!B12="","",'Trabajos 2'!B12)</f>
        <v>45940</v>
      </c>
      <c r="C12" s="70" t="str">
        <f>IF('Trabajos 2'!F12="","",'Trabajos 2'!F12)</f>
        <v>Nugas S.A.</v>
      </c>
      <c r="D12" s="70" t="str">
        <f>IF('Trabajos 2'!D12="","",'Trabajos 2'!D12)</f>
        <v>Seguimiento de cultivos</v>
      </c>
      <c r="E12" s="70" t="str">
        <f>IF('Trabajos 2'!G12="","",'Trabajos 2'!G12)</f>
        <v>La Alborada</v>
      </c>
      <c r="F12" s="196">
        <f>IF('Trabajos 2'!H12="","",'Trabajos 2'!H12)</f>
        <v>0.5</v>
      </c>
      <c r="G12" s="84">
        <f>IF('Trabajos 2'!I12="","",'Trabajos 2'!I12)</f>
        <v>200000</v>
      </c>
      <c r="H12" s="84">
        <f>IF('Trabajos 2'!J12="","",'Trabajos 2'!J12)</f>
        <v>100000</v>
      </c>
      <c r="I12" s="107">
        <f>IF('Trabajos 2'!M12="","",'Trabajos 2'!M12)</f>
        <v>160</v>
      </c>
      <c r="J12" s="84">
        <f>IF('Trabajos 2'!N12="","",'Trabajos 2'!N12)</f>
        <v>650</v>
      </c>
      <c r="K12" s="84">
        <f>IF('Trabajos 2'!O12="","",'Trabajos 2'!O12)</f>
        <v>104000</v>
      </c>
      <c r="L12" s="84">
        <f>IF('Trabajos 2'!P12="","",'Trabajos 2'!P12)</f>
        <v>204000</v>
      </c>
    </row>
    <row r="13" spans="2:14" x14ac:dyDescent="0.25">
      <c r="B13" s="106">
        <f>IF('Trabajos 2'!B13="","",'Trabajos 2'!B13)</f>
        <v>45948</v>
      </c>
      <c r="C13" s="70" t="str">
        <f>IF('Trabajos 2'!F13="","",'Trabajos 2'!F13)</f>
        <v>Omar Piaggio</v>
      </c>
      <c r="D13" s="70" t="str">
        <f>IF('Trabajos 2'!D13="","",'Trabajos 2'!D13)</f>
        <v>Seguimiento de cultivos</v>
      </c>
      <c r="E13" s="70" t="str">
        <f>IF('Trabajos 2'!G13="","",'Trabajos 2'!G13)</f>
        <v>Costa del Moro</v>
      </c>
      <c r="F13" s="129">
        <f>IF('Trabajos 2'!H13="","",'Trabajos 2'!H13)</f>
        <v>1</v>
      </c>
      <c r="G13" s="84">
        <f>IF('Trabajos 2'!I13="","",'Trabajos 2'!I13)</f>
        <v>150000</v>
      </c>
      <c r="H13" s="84">
        <f>IF('Trabajos 2'!J13="","",'Trabajos 2'!J13)</f>
        <v>150000</v>
      </c>
      <c r="I13" s="107">
        <f>IF('Trabajos 2'!M13="","",'Trabajos 2'!M13)</f>
        <v>225</v>
      </c>
      <c r="J13" s="84">
        <f>IF('Trabajos 2'!N13="","",'Trabajos 2'!N13)</f>
        <v>650</v>
      </c>
      <c r="K13" s="84">
        <f>IF('Trabajos 2'!O13="","",'Trabajos 2'!O13)</f>
        <v>146250</v>
      </c>
      <c r="L13" s="84">
        <f>IF('Trabajos 2'!P13="","",'Trabajos 2'!P13)</f>
        <v>296250</v>
      </c>
    </row>
    <row r="14" spans="2:14" x14ac:dyDescent="0.25">
      <c r="B14" s="106">
        <f>IF('Trabajos 2'!B14="","",'Trabajos 2'!B14)</f>
        <v>45950</v>
      </c>
      <c r="C14" s="70" t="str">
        <f>IF('Trabajos 2'!F14="","",'Trabajos 2'!F14)</f>
        <v>Omar Piaggio</v>
      </c>
      <c r="D14" s="70" t="str">
        <f>IF('Trabajos 2'!D14="","",'Trabajos 2'!D14)</f>
        <v>Seguimiento de cultivos</v>
      </c>
      <c r="E14" s="70" t="str">
        <f>IF('Trabajos 2'!G14="","",'Trabajos 2'!G14)</f>
        <v>Costa del Moro</v>
      </c>
      <c r="F14" s="129">
        <f>IF('Trabajos 2'!H14="","",'Trabajos 2'!H14)</f>
        <v>1</v>
      </c>
      <c r="G14" s="84">
        <f>IF('Trabajos 2'!I14="","",'Trabajos 2'!I14)</f>
        <v>150000</v>
      </c>
      <c r="H14" s="84">
        <f>IF('Trabajos 2'!J14="","",'Trabajos 2'!J14)</f>
        <v>150000</v>
      </c>
      <c r="I14" s="107">
        <f>IF('Trabajos 2'!M14="","",'Trabajos 2'!M14)</f>
        <v>225</v>
      </c>
      <c r="J14" s="84">
        <f>IF('Trabajos 2'!N14="","",'Trabajos 2'!N14)</f>
        <v>650</v>
      </c>
      <c r="K14" s="84">
        <f>IF('Trabajos 2'!O14="","",'Trabajos 2'!O14)</f>
        <v>146250</v>
      </c>
      <c r="L14" s="84">
        <f>IF('Trabajos 2'!P14="","",'Trabajos 2'!P14)</f>
        <v>296250</v>
      </c>
    </row>
    <row r="15" spans="2:14" x14ac:dyDescent="0.25">
      <c r="B15" s="106">
        <f>IF('Trabajos 2'!B15="","",'Trabajos 2'!B15)</f>
        <v>45950</v>
      </c>
      <c r="C15" s="70" t="str">
        <f>IF('Trabajos 2'!F15="","",'Trabajos 2'!F15)</f>
        <v>Nugas S.A.</v>
      </c>
      <c r="D15" s="70" t="str">
        <f>IF('Trabajos 2'!D15="","",'Trabajos 2'!D15)</f>
        <v>Seguimiento de cultivos</v>
      </c>
      <c r="E15" s="70" t="str">
        <f>IF('Trabajos 2'!G15="","",'Trabajos 2'!G15)</f>
        <v>La Alborada</v>
      </c>
      <c r="F15" s="129">
        <f>IF('Trabajos 2'!H15="","",'Trabajos 2'!H15)</f>
        <v>0.5</v>
      </c>
      <c r="G15" s="84">
        <f>IF('Trabajos 2'!I15="","",'Trabajos 2'!I15)</f>
        <v>200000</v>
      </c>
      <c r="H15" s="84">
        <f>IF('Trabajos 2'!J15="","",'Trabajos 2'!J15)</f>
        <v>100000</v>
      </c>
      <c r="I15" s="107">
        <f>IF('Trabajos 2'!M15="","",'Trabajos 2'!M15)</f>
        <v>160</v>
      </c>
      <c r="J15" s="84">
        <f>IF('Trabajos 2'!N15="","",'Trabajos 2'!N15)</f>
        <v>650</v>
      </c>
      <c r="K15" s="84">
        <f>IF('Trabajos 2'!O15="","",'Trabajos 2'!O15)</f>
        <v>104000</v>
      </c>
      <c r="L15" s="84">
        <f>IF('Trabajos 2'!P15="","",'Trabajos 2'!P15)</f>
        <v>204000</v>
      </c>
    </row>
    <row r="16" spans="2:14" x14ac:dyDescent="0.25">
      <c r="B16" s="106">
        <f>IF('Trabajos 2'!B16="","",'Trabajos 2'!B16)</f>
        <v>45959</v>
      </c>
      <c r="C16" s="70" t="str">
        <f>IF('Trabajos 2'!F16="","",'Trabajos 2'!F16)</f>
        <v>Nugas S.A.</v>
      </c>
      <c r="D16" s="70" t="str">
        <f>IF('Trabajos 2'!D16="","",'Trabajos 2'!D16)</f>
        <v>Seguimiento de cultivos</v>
      </c>
      <c r="E16" s="70" t="str">
        <f>IF('Trabajos 2'!G16="","",'Trabajos 2'!G16)</f>
        <v>La Alborada</v>
      </c>
      <c r="F16" s="129">
        <f>IF('Trabajos 2'!H16="","",'Trabajos 2'!H16)</f>
        <v>0.5</v>
      </c>
      <c r="G16" s="84">
        <f>IF('Trabajos 2'!I16="","",'Trabajos 2'!I16)</f>
        <v>200000</v>
      </c>
      <c r="H16" s="84">
        <f>IF('Trabajos 2'!J16="","",'Trabajos 2'!J16)</f>
        <v>100000</v>
      </c>
      <c r="I16" s="107">
        <f>IF('Trabajos 2'!M16="","",'Trabajos 2'!M16)</f>
        <v>160</v>
      </c>
      <c r="J16" s="84">
        <f>IF('Trabajos 2'!N16="","",'Trabajos 2'!N16)</f>
        <v>650</v>
      </c>
      <c r="K16" s="84">
        <f>IF('Trabajos 2'!O16="","",'Trabajos 2'!O16)</f>
        <v>104000</v>
      </c>
      <c r="L16" s="84">
        <f>IF('Trabajos 2'!P16="","",'Trabajos 2'!P16)</f>
        <v>204000</v>
      </c>
    </row>
    <row r="17" spans="2:13" x14ac:dyDescent="0.25">
      <c r="B17" s="106">
        <f>IF('Trabajos 2'!B17="","",'Trabajos 2'!B17)</f>
        <v>45967</v>
      </c>
      <c r="C17" s="70" t="str">
        <f>IF('Trabajos 2'!F17="","",'Trabajos 2'!F17)</f>
        <v>Carlos Fernando Fuertes</v>
      </c>
      <c r="D17" s="70" t="str">
        <f>IF('Trabajos 2'!D17="","",'Trabajos 2'!D17)</f>
        <v>Seguimiento de cultivos</v>
      </c>
      <c r="E17" s="70" t="str">
        <f>IF('Trabajos 2'!G17="","",'Trabajos 2'!G17)</f>
        <v>La Tolderia</v>
      </c>
      <c r="F17" s="129">
        <f>IF('Trabajos 2'!H17="","",'Trabajos 2'!H17)</f>
        <v>0.5</v>
      </c>
      <c r="G17" s="84">
        <f>IF('Trabajos 2'!I17="","",'Trabajos 2'!I17)</f>
        <v>200000</v>
      </c>
      <c r="H17" s="84">
        <f>IF('Trabajos 2'!J17="","",'Trabajos 2'!J17)</f>
        <v>100000</v>
      </c>
      <c r="I17" s="107">
        <f>IF('Trabajos 2'!M17="","",'Trabajos 2'!M17)</f>
        <v>120</v>
      </c>
      <c r="J17" s="84">
        <f>IF('Trabajos 2'!N17="","",'Trabajos 2'!N17)</f>
        <v>650</v>
      </c>
      <c r="K17" s="84">
        <f>IF('Trabajos 2'!O17="","",'Trabajos 2'!O17)</f>
        <v>78000</v>
      </c>
      <c r="L17" s="84">
        <f>IF('Trabajos 2'!P17="","",'Trabajos 2'!P17)</f>
        <v>178000</v>
      </c>
    </row>
    <row r="18" spans="2:13" x14ac:dyDescent="0.25">
      <c r="B18" s="106">
        <f>IF('Trabajos 2'!B18="","",'Trabajos 2'!B18)</f>
        <v>45968</v>
      </c>
      <c r="C18" s="70" t="str">
        <f>IF('Trabajos 2'!F18="","",'Trabajos 2'!F18)</f>
        <v>Carlos Fernando Fuertes</v>
      </c>
      <c r="D18" s="70" t="str">
        <f>IF('Trabajos 2'!D18="","",'Trabajos 2'!D18)</f>
        <v>Seguimiento de cultivos</v>
      </c>
      <c r="E18" s="70" t="str">
        <f>IF('Trabajos 2'!G18="","",'Trabajos 2'!G18)</f>
        <v>La Tolderia</v>
      </c>
      <c r="F18" s="129">
        <f>IF('Trabajos 2'!H18="","",'Trabajos 2'!H18)</f>
        <v>0.5</v>
      </c>
      <c r="G18" s="84">
        <f>IF('Trabajos 2'!I18="","",'Trabajos 2'!I18)</f>
        <v>200000</v>
      </c>
      <c r="H18" s="84">
        <f>IF('Trabajos 2'!J18="","",'Trabajos 2'!J18)</f>
        <v>100000</v>
      </c>
      <c r="I18" s="107">
        <f>IF('Trabajos 2'!M18="","",'Trabajos 2'!M18)</f>
        <v>120</v>
      </c>
      <c r="J18" s="84">
        <f>IF('Trabajos 2'!N18="","",'Trabajos 2'!N18)</f>
        <v>650</v>
      </c>
      <c r="K18" s="84">
        <f>IF('Trabajos 2'!O18="","",'Trabajos 2'!O18)</f>
        <v>78000</v>
      </c>
      <c r="L18" s="84">
        <f>IF('Trabajos 2'!P18="","",'Trabajos 2'!P18)</f>
        <v>178000</v>
      </c>
    </row>
    <row r="19" spans="2:13" x14ac:dyDescent="0.25">
      <c r="B19" s="106">
        <f>IF('Trabajos 2'!B19="","",'Trabajos 2'!B19)</f>
        <v>45968</v>
      </c>
      <c r="C19" s="70" t="str">
        <f>IF('Trabajos 2'!F19="","",'Trabajos 2'!F19)</f>
        <v>Nugas S.A.</v>
      </c>
      <c r="D19" s="70" t="str">
        <f>IF('Trabajos 2'!D19="","",'Trabajos 2'!D19)</f>
        <v>Seguimiento de cultivos</v>
      </c>
      <c r="E19" s="70" t="str">
        <f>IF('Trabajos 2'!G19="","",'Trabajos 2'!G19)</f>
        <v>La Alborada</v>
      </c>
      <c r="F19" s="129">
        <f>IF('Trabajos 2'!H19="","",'Trabajos 2'!H19)</f>
        <v>0.5</v>
      </c>
      <c r="G19" s="84">
        <f>IF('Trabajos 2'!I19="","",'Trabajos 2'!I19)</f>
        <v>200000</v>
      </c>
      <c r="H19" s="84">
        <f>IF('Trabajos 2'!J19="","",'Trabajos 2'!J19)</f>
        <v>100000</v>
      </c>
      <c r="I19" s="107">
        <f>IF('Trabajos 2'!M19="","",'Trabajos 2'!M19)</f>
        <v>160</v>
      </c>
      <c r="J19" s="84">
        <f>IF('Trabajos 2'!N19="","",'Trabajos 2'!N19)</f>
        <v>650</v>
      </c>
      <c r="K19" s="84">
        <f>IF('Trabajos 2'!O19="","",'Trabajos 2'!O19)</f>
        <v>104000</v>
      </c>
      <c r="L19" s="84">
        <f>IF('Trabajos 2'!P19="","",'Trabajos 2'!P19)</f>
        <v>204000</v>
      </c>
      <c r="M19" t="s">
        <v>4</v>
      </c>
    </row>
    <row r="20" spans="2:13" x14ac:dyDescent="0.25">
      <c r="B20" s="106">
        <f>IF('Trabajos 2'!B20="","",'Trabajos 2'!B20)</f>
        <v>45970</v>
      </c>
      <c r="C20" s="70" t="str">
        <f>IF('Trabajos 2'!F20="","",'Trabajos 2'!F20)</f>
        <v>Omar Piaggio</v>
      </c>
      <c r="D20" s="70" t="str">
        <f>IF('Trabajos 2'!D20="","",'Trabajos 2'!D20)</f>
        <v>Seguimiento de cultivos</v>
      </c>
      <c r="E20" s="70" t="str">
        <f>IF('Trabajos 2'!G20="","",'Trabajos 2'!G20)</f>
        <v>Costa del Moro</v>
      </c>
      <c r="F20" s="129">
        <f>IF('Trabajos 2'!H20="","",'Trabajos 2'!H20)</f>
        <v>1</v>
      </c>
      <c r="G20" s="84">
        <f>IF('Trabajos 2'!I20="","",'Trabajos 2'!I20)</f>
        <v>150000</v>
      </c>
      <c r="H20" s="84">
        <f>IF('Trabajos 2'!J20="","",'Trabajos 2'!J20)</f>
        <v>150000</v>
      </c>
      <c r="I20" s="107">
        <f>IF('Trabajos 2'!M20="","",'Trabajos 2'!M20)</f>
        <v>225</v>
      </c>
      <c r="J20" s="84">
        <f>IF('Trabajos 2'!N20="","",'Trabajos 2'!N20)</f>
        <v>650</v>
      </c>
      <c r="K20" s="84">
        <f>IF('Trabajos 2'!O20="","",'Trabajos 2'!O20)</f>
        <v>146250</v>
      </c>
      <c r="L20" s="84">
        <f>IF('Trabajos 2'!P20="","",'Trabajos 2'!P20)</f>
        <v>296250</v>
      </c>
    </row>
    <row r="21" spans="2:13" x14ac:dyDescent="0.25">
      <c r="B21" s="106">
        <f>IF('Trabajos 2'!B21="","",'Trabajos 2'!B21)</f>
        <v>45971</v>
      </c>
      <c r="C21" s="70" t="str">
        <f>IF('Trabajos 2'!F21="","",'Trabajos 2'!F21)</f>
        <v>Carlos Fernando Fuertes</v>
      </c>
      <c r="D21" s="70" t="str">
        <f>IF('Trabajos 2'!D21="","",'Trabajos 2'!D21)</f>
        <v>Seguimiento de cultivos</v>
      </c>
      <c r="E21" s="70" t="str">
        <f>IF('Trabajos 2'!G21="","",'Trabajos 2'!G21)</f>
        <v>La Tolderia</v>
      </c>
      <c r="F21" s="129">
        <f>IF('Trabajos 2'!H21="","",'Trabajos 2'!H21)</f>
        <v>0.5</v>
      </c>
      <c r="G21" s="84">
        <f>IF('Trabajos 2'!I21="","",'Trabajos 2'!I21)</f>
        <v>200000</v>
      </c>
      <c r="H21" s="84">
        <f>IF('Trabajos 2'!J21="","",'Trabajos 2'!J21)</f>
        <v>100000</v>
      </c>
      <c r="I21" s="107">
        <f>IF('Trabajos 2'!M21="","",'Trabajos 2'!M21)</f>
        <v>120</v>
      </c>
      <c r="J21" s="84">
        <f>IF('Trabajos 2'!N21="","",'Trabajos 2'!N21)</f>
        <v>650</v>
      </c>
      <c r="K21" s="84">
        <f>IF('Trabajos 2'!O21="","",'Trabajos 2'!O21)</f>
        <v>78000</v>
      </c>
      <c r="L21" s="84">
        <f>IF('Trabajos 2'!P21="","",'Trabajos 2'!P21)</f>
        <v>178000</v>
      </c>
    </row>
    <row r="22" spans="2:13" x14ac:dyDescent="0.25">
      <c r="B22" s="106">
        <f>IF('Trabajos 2'!B22="","",'Trabajos 2'!B22)</f>
        <v>45973</v>
      </c>
      <c r="C22" s="70" t="str">
        <f>IF('Trabajos 2'!F22="","",'Trabajos 2'!F22)</f>
        <v>Omar Piaggio</v>
      </c>
      <c r="D22" s="70" t="str">
        <f>IF('Trabajos 2'!D22="","",'Trabajos 2'!D22)</f>
        <v>Seguimiento de cultivos</v>
      </c>
      <c r="E22" s="70" t="str">
        <f>IF('Trabajos 2'!G22="","",'Trabajos 2'!G22)</f>
        <v>Costa del Moro</v>
      </c>
      <c r="F22" s="129">
        <f>IF('Trabajos 2'!H22="","",'Trabajos 2'!H22)</f>
        <v>1</v>
      </c>
      <c r="G22" s="84">
        <f>IF('Trabajos 2'!I22="","",'Trabajos 2'!I22)</f>
        <v>150000</v>
      </c>
      <c r="H22" s="84">
        <f>IF('Trabajos 2'!J22="","",'Trabajos 2'!J22)</f>
        <v>150000</v>
      </c>
      <c r="I22" s="107">
        <f>IF('Trabajos 2'!M22="","",'Trabajos 2'!M22)</f>
        <v>225</v>
      </c>
      <c r="J22" s="84">
        <f>IF('Trabajos 2'!N22="","",'Trabajos 2'!N22)</f>
        <v>650</v>
      </c>
      <c r="K22" s="84">
        <f>IF('Trabajos 2'!O22="","",'Trabajos 2'!O22)</f>
        <v>146250</v>
      </c>
      <c r="L22" s="84">
        <f>IF('Trabajos 2'!P22="","",'Trabajos 2'!P22)</f>
        <v>296250</v>
      </c>
    </row>
    <row r="23" spans="2:13" x14ac:dyDescent="0.25">
      <c r="B23" s="106">
        <f>IF('Trabajos 2'!B23="","",'Trabajos 2'!B23)</f>
        <v>45975</v>
      </c>
      <c r="C23" s="70" t="str">
        <f>IF('Trabajos 2'!F23="","",'Trabajos 2'!F23)</f>
        <v>Nugas S.A.</v>
      </c>
      <c r="D23" s="70" t="str">
        <f>IF('Trabajos 2'!D23="","",'Trabajos 2'!D23)</f>
        <v>Seguimiento de cultivos</v>
      </c>
      <c r="E23" s="70" t="str">
        <f>IF('Trabajos 2'!G23="","",'Trabajos 2'!G23)</f>
        <v>La Alborada</v>
      </c>
      <c r="F23" s="129">
        <f>IF('Trabajos 2'!H23="","",'Trabajos 2'!H23)</f>
        <v>1</v>
      </c>
      <c r="G23" s="84">
        <f>IF('Trabajos 2'!I23="","",'Trabajos 2'!I23)</f>
        <v>200000</v>
      </c>
      <c r="H23" s="84">
        <f>IF('Trabajos 2'!J23="","",'Trabajos 2'!J23)</f>
        <v>200000</v>
      </c>
      <c r="I23" s="107">
        <f>IF('Trabajos 2'!M23="","",'Trabajos 2'!M23)</f>
        <v>160</v>
      </c>
      <c r="J23" s="84">
        <f>IF('Trabajos 2'!N23="","",'Trabajos 2'!N23)</f>
        <v>650</v>
      </c>
      <c r="K23" s="84">
        <f>IF('Trabajos 2'!O23="","",'Trabajos 2'!O23)</f>
        <v>104000</v>
      </c>
      <c r="L23" s="84">
        <f>IF('Trabajos 2'!P23="","",'Trabajos 2'!P23)</f>
        <v>304000</v>
      </c>
    </row>
    <row r="24" spans="2:13" x14ac:dyDescent="0.25">
      <c r="B24" s="106">
        <f>IF('Trabajos 2'!B24="","",'Trabajos 2'!B24)</f>
        <v>45975</v>
      </c>
      <c r="C24" s="70" t="str">
        <f>IF('Trabajos 2'!F24="","",'Trabajos 2'!F24)</f>
        <v>Omar Piaggio</v>
      </c>
      <c r="D24" s="70" t="str">
        <f>IF('Trabajos 2'!D24="","",'Trabajos 2'!D24)</f>
        <v>Seguimiento de cultivos</v>
      </c>
      <c r="E24" s="70" t="str">
        <f>IF('Trabajos 2'!G24="","",'Trabajos 2'!G24)</f>
        <v>Costa del Moro</v>
      </c>
      <c r="F24" s="129">
        <f>IF('Trabajos 2'!H24="","",'Trabajos 2'!H24)</f>
        <v>1</v>
      </c>
      <c r="G24" s="84">
        <f>IF('Trabajos 2'!I24="","",'Trabajos 2'!I24)</f>
        <v>150000</v>
      </c>
      <c r="H24" s="84">
        <f>IF('Trabajos 2'!J24="","",'Trabajos 2'!J24)</f>
        <v>150000</v>
      </c>
      <c r="I24" s="107">
        <f>IF('Trabajos 2'!M24="","",'Trabajos 2'!M24)</f>
        <v>225</v>
      </c>
      <c r="J24" s="84">
        <f>IF('Trabajos 2'!N24="","",'Trabajos 2'!N24)</f>
        <v>650</v>
      </c>
      <c r="K24" s="84">
        <f>IF('Trabajos 2'!O24="","",'Trabajos 2'!O24)</f>
        <v>146250</v>
      </c>
      <c r="L24" s="84">
        <f>IF('Trabajos 2'!P24="","",'Trabajos 2'!P24)</f>
        <v>296250</v>
      </c>
    </row>
    <row r="25" spans="2:13" x14ac:dyDescent="0.25">
      <c r="B25" s="106">
        <f>IF('Trabajos 2'!B25="","",'Trabajos 2'!B25)</f>
        <v>45986</v>
      </c>
      <c r="C25" s="70" t="str">
        <f>IF('Trabajos 2'!F25="","",'Trabajos 2'!F25)</f>
        <v>Nugas S.A.</v>
      </c>
      <c r="D25" s="70" t="str">
        <f>IF('Trabajos 2'!D25="","",'Trabajos 2'!D25)</f>
        <v>Seguimiento de cultivos</v>
      </c>
      <c r="E25" s="70" t="str">
        <f>IF('Trabajos 2'!G25="","",'Trabajos 2'!G25)</f>
        <v>La Alborada</v>
      </c>
      <c r="F25" s="129">
        <f>IF('Trabajos 2'!H25="","",'Trabajos 2'!H25)</f>
        <v>1</v>
      </c>
      <c r="G25" s="84">
        <f>IF('Trabajos 2'!I25="","",'Trabajos 2'!I25)</f>
        <v>200000</v>
      </c>
      <c r="H25" s="84">
        <f>IF('Trabajos 2'!J25="","",'Trabajos 2'!J25)</f>
        <v>200000</v>
      </c>
      <c r="I25" s="107">
        <f>IF('Trabajos 2'!M25="","",'Trabajos 2'!M25)</f>
        <v>160</v>
      </c>
      <c r="J25" s="84">
        <f>IF('Trabajos 2'!N25="","",'Trabajos 2'!N25)</f>
        <v>650</v>
      </c>
      <c r="K25" s="84">
        <f>IF('Trabajos 2'!O25="","",'Trabajos 2'!O25)</f>
        <v>104000</v>
      </c>
      <c r="L25" s="84">
        <f>IF('Trabajos 2'!P25="","",'Trabajos 2'!P25)</f>
        <v>304000</v>
      </c>
    </row>
    <row r="26" spans="2:13" x14ac:dyDescent="0.25">
      <c r="B26" s="106">
        <f>IF('Trabajos 2'!B26="","",'Trabajos 2'!B26)</f>
        <v>45985</v>
      </c>
      <c r="C26" s="70" t="str">
        <f>IF('Trabajos 2'!F26="","",'Trabajos 2'!F26)</f>
        <v>Omar Piaggio</v>
      </c>
      <c r="D26" s="70" t="str">
        <f>IF('Trabajos 2'!D26="","",'Trabajos 2'!D26)</f>
        <v>Seguimiento de cultivos</v>
      </c>
      <c r="E26" s="70" t="str">
        <f>IF('Trabajos 2'!G26="","",'Trabajos 2'!G26)</f>
        <v>Costa del Moro</v>
      </c>
      <c r="F26" s="129">
        <f>IF('Trabajos 2'!H26="","",'Trabajos 2'!H26)</f>
        <v>1</v>
      </c>
      <c r="G26" s="84">
        <f>IF('Trabajos 2'!I26="","",'Trabajos 2'!I26)</f>
        <v>150000</v>
      </c>
      <c r="H26" s="84">
        <f>IF('Trabajos 2'!J26="","",'Trabajos 2'!J26)</f>
        <v>150000</v>
      </c>
      <c r="I26" s="107">
        <f>IF('Trabajos 2'!M26="","",'Trabajos 2'!M26)</f>
        <v>225</v>
      </c>
      <c r="J26" s="84">
        <f>IF('Trabajos 2'!N26="","",'Trabajos 2'!N26)</f>
        <v>650</v>
      </c>
      <c r="K26" s="84">
        <f>IF('Trabajos 2'!O26="","",'Trabajos 2'!O26)</f>
        <v>146250</v>
      </c>
      <c r="L26" s="84">
        <f>IF('Trabajos 2'!P26="","",'Trabajos 2'!P26)</f>
        <v>296250</v>
      </c>
    </row>
    <row r="27" spans="2:13" x14ac:dyDescent="0.25">
      <c r="B27" s="106">
        <f>IF('Trabajos 2'!B27="","",'Trabajos 2'!B27)</f>
        <v>45999</v>
      </c>
      <c r="C27" s="70" t="str">
        <f>IF('Trabajos 2'!F27="","",'Trabajos 2'!F27)</f>
        <v>Omar Piaggio</v>
      </c>
      <c r="D27" s="70" t="str">
        <f>IF('Trabajos 2'!D27="","",'Trabajos 2'!D27)</f>
        <v>Seguimiento de cultivos</v>
      </c>
      <c r="E27" s="70" t="str">
        <f>IF('Trabajos 2'!G27="","",'Trabajos 2'!G27)</f>
        <v>Costa del Moro</v>
      </c>
      <c r="F27" s="129">
        <f>IF('Trabajos 2'!H27="","",'Trabajos 2'!H27)</f>
        <v>1</v>
      </c>
      <c r="G27" s="84">
        <f>IF('Trabajos 2'!I27="","",'Trabajos 2'!I27)</f>
        <v>150000</v>
      </c>
      <c r="H27" s="84">
        <f>IF('Trabajos 2'!J27="","",'Trabajos 2'!J27)</f>
        <v>150000</v>
      </c>
      <c r="I27" s="107">
        <f>IF('Trabajos 2'!M27="","",'Trabajos 2'!M27)</f>
        <v>225</v>
      </c>
      <c r="J27" s="84">
        <f>IF('Trabajos 2'!N27="","",'Trabajos 2'!N27)</f>
        <v>650</v>
      </c>
      <c r="K27" s="84">
        <f>IF('Trabajos 2'!O27="","",'Trabajos 2'!O27)</f>
        <v>146250</v>
      </c>
      <c r="L27" s="84">
        <f>IF('Trabajos 2'!P27="","",'Trabajos 2'!P27)</f>
        <v>296250</v>
      </c>
    </row>
    <row r="28" spans="2:13" x14ac:dyDescent="0.25">
      <c r="B28" s="106">
        <f>IF('Trabajos 2'!B28="","",'Trabajos 2'!B28)</f>
        <v>45981</v>
      </c>
      <c r="C28" s="70" t="str">
        <f>IF('Trabajos 2'!F28="","",'Trabajos 2'!F28)</f>
        <v>Carlos Fernando Fuertes</v>
      </c>
      <c r="D28" s="70" t="str">
        <f>IF('Trabajos 2'!D28="","",'Trabajos 2'!D28)</f>
        <v>Seguimiento de cultivos</v>
      </c>
      <c r="E28" s="70" t="str">
        <f>IF('Trabajos 2'!G28="","",'Trabajos 2'!G28)</f>
        <v>La Tolderia</v>
      </c>
      <c r="F28" s="129">
        <f>IF('Trabajos 2'!H28="","",'Trabajos 2'!H28)</f>
        <v>0.5</v>
      </c>
      <c r="G28" s="84">
        <f>IF('Trabajos 2'!I28="","",'Trabajos 2'!I28)</f>
        <v>200000</v>
      </c>
      <c r="H28" s="84">
        <f>IF('Trabajos 2'!J28="","",'Trabajos 2'!J28)</f>
        <v>100000</v>
      </c>
      <c r="I28" s="107">
        <f>IF('Trabajos 2'!M28="","",'Trabajos 2'!M28)</f>
        <v>120</v>
      </c>
      <c r="J28" s="84">
        <f>IF('Trabajos 2'!N28="","",'Trabajos 2'!N28)</f>
        <v>650</v>
      </c>
      <c r="K28" s="84">
        <f>IF('Trabajos 2'!O28="","",'Trabajos 2'!O28)</f>
        <v>78000</v>
      </c>
      <c r="L28" s="84">
        <f>IF('Trabajos 2'!P28="","",'Trabajos 2'!P28)</f>
        <v>178000</v>
      </c>
    </row>
    <row r="29" spans="2:13" x14ac:dyDescent="0.25">
      <c r="B29" s="106">
        <f>IF('Trabajos 2'!B29="","",'Trabajos 2'!B29)</f>
        <v>46001</v>
      </c>
      <c r="C29" s="70" t="str">
        <f>IF('Trabajos 2'!F29="","",'Trabajos 2'!F29)</f>
        <v>Carlos Fernando Fuertes</v>
      </c>
      <c r="D29" s="70" t="str">
        <f>IF('Trabajos 2'!D29="","",'Trabajos 2'!D29)</f>
        <v>Seguimiento de cultivos</v>
      </c>
      <c r="E29" s="70" t="str">
        <f>IF('Trabajos 2'!G29="","",'Trabajos 2'!G29)</f>
        <v>La Tolderia</v>
      </c>
      <c r="F29" s="129">
        <f>IF('Trabajos 2'!H29="","",'Trabajos 2'!H29)</f>
        <v>0.5</v>
      </c>
      <c r="G29" s="84">
        <f>IF('Trabajos 2'!I29="","",'Trabajos 2'!I29)</f>
        <v>200000</v>
      </c>
      <c r="H29" s="84">
        <f>IF('Trabajos 2'!J29="","",'Trabajos 2'!J29)</f>
        <v>100000</v>
      </c>
      <c r="I29" s="107">
        <f>IF('Trabajos 2'!M29="","",'Trabajos 2'!M29)</f>
        <v>120</v>
      </c>
      <c r="J29" s="84">
        <f>IF('Trabajos 2'!N29="","",'Trabajos 2'!N29)</f>
        <v>650</v>
      </c>
      <c r="K29" s="84">
        <f>IF('Trabajos 2'!O29="","",'Trabajos 2'!O29)</f>
        <v>78000</v>
      </c>
      <c r="L29" s="84">
        <f>IF('Trabajos 2'!P29="","",'Trabajos 2'!P29)</f>
        <v>178000</v>
      </c>
    </row>
    <row r="30" spans="2:13" x14ac:dyDescent="0.25">
      <c r="B30" s="106">
        <f>IF('Trabajos 2'!B30="","",'Trabajos 2'!B30)</f>
        <v>46002</v>
      </c>
      <c r="C30" s="70" t="str">
        <f>IF('Trabajos 2'!F30="","",'Trabajos 2'!F30)</f>
        <v>Nugas S.A.</v>
      </c>
      <c r="D30" s="70" t="str">
        <f>IF('Trabajos 2'!D30="","",'Trabajos 2'!D30)</f>
        <v>Seguimiento de cultivos</v>
      </c>
      <c r="E30" s="70" t="str">
        <f>IF('Trabajos 2'!G30="","",'Trabajos 2'!G30)</f>
        <v>La Alborada</v>
      </c>
      <c r="F30" s="129">
        <f>IF('Trabajos 2'!H30="","",'Trabajos 2'!H30)</f>
        <v>1</v>
      </c>
      <c r="G30" s="84">
        <f>IF('Trabajos 2'!I30="","",'Trabajos 2'!I30)</f>
        <v>200000</v>
      </c>
      <c r="H30" s="84">
        <f>IF('Trabajos 2'!J30="","",'Trabajos 2'!J30)</f>
        <v>200000</v>
      </c>
      <c r="I30" s="107">
        <f>IF('Trabajos 2'!M30="","",'Trabajos 2'!M30)</f>
        <v>160</v>
      </c>
      <c r="J30" s="84">
        <f>IF('Trabajos 2'!N30="","",'Trabajos 2'!N30)</f>
        <v>650</v>
      </c>
      <c r="K30" s="84">
        <f>IF('Trabajos 2'!O30="","",'Trabajos 2'!O30)</f>
        <v>104000</v>
      </c>
      <c r="L30" s="84">
        <f>IF('Trabajos 2'!P30="","",'Trabajos 2'!P30)</f>
        <v>304000</v>
      </c>
    </row>
    <row r="31" spans="2:13" x14ac:dyDescent="0.25">
      <c r="B31" s="106">
        <f>IF('Trabajos 2'!B31="","",'Trabajos 2'!B31)</f>
        <v>46007</v>
      </c>
      <c r="C31" s="70" t="str">
        <f>IF('Trabajos 2'!F31="","",'Trabajos 2'!F31)</f>
        <v>Omar Piaggio</v>
      </c>
      <c r="D31" s="70" t="str">
        <f>IF('Trabajos 2'!D31="","",'Trabajos 2'!D31)</f>
        <v>Seguimiento de cultivos</v>
      </c>
      <c r="E31" s="70" t="str">
        <f>IF('Trabajos 2'!G31="","",'Trabajos 2'!G31)</f>
        <v>Costa del Moro</v>
      </c>
      <c r="F31" s="129">
        <f>IF('Trabajos 2'!H31="","",'Trabajos 2'!H31)</f>
        <v>1</v>
      </c>
      <c r="G31" s="84">
        <f>IF('Trabajos 2'!I31="","",'Trabajos 2'!I31)</f>
        <v>150000</v>
      </c>
      <c r="H31" s="84">
        <f>IF('Trabajos 2'!J31="","",'Trabajos 2'!J31)</f>
        <v>150000</v>
      </c>
      <c r="I31" s="107">
        <f>IF('Trabajos 2'!M31="","",'Trabajos 2'!M31)</f>
        <v>225</v>
      </c>
      <c r="J31" s="84">
        <f>IF('Trabajos 2'!N31="","",'Trabajos 2'!N31)</f>
        <v>650</v>
      </c>
      <c r="K31" s="84">
        <f>IF('Trabajos 2'!O31="","",'Trabajos 2'!O31)</f>
        <v>146250</v>
      </c>
      <c r="L31" s="84">
        <f>IF('Trabajos 2'!P31="","",'Trabajos 2'!P31)</f>
        <v>296250</v>
      </c>
    </row>
    <row r="32" spans="2:13" x14ac:dyDescent="0.25">
      <c r="B32" s="106">
        <f>IF('Trabajos 2'!B32="","",'Trabajos 2'!B32)</f>
        <v>46009</v>
      </c>
      <c r="C32" s="70" t="str">
        <f>IF('Trabajos 2'!F32="","",'Trabajos 2'!F32)</f>
        <v>Omar Piaggio</v>
      </c>
      <c r="D32" s="70" t="str">
        <f>IF('Trabajos 2'!D32="","",'Trabajos 2'!D32)</f>
        <v>Seguimiento de cultivos</v>
      </c>
      <c r="E32" s="70" t="str">
        <f>IF('Trabajos 2'!G32="","",'Trabajos 2'!G32)</f>
        <v>Costa del Moro</v>
      </c>
      <c r="F32" s="129">
        <f>IF('Trabajos 2'!H32="","",'Trabajos 2'!H32)</f>
        <v>1</v>
      </c>
      <c r="G32" s="84">
        <f>IF('Trabajos 2'!I32="","",'Trabajos 2'!I32)</f>
        <v>150000</v>
      </c>
      <c r="H32" s="84">
        <f>IF('Trabajos 2'!J32="","",'Trabajos 2'!J32)</f>
        <v>150000</v>
      </c>
      <c r="I32" s="107">
        <f>IF('Trabajos 2'!M32="","",'Trabajos 2'!M32)</f>
        <v>225</v>
      </c>
      <c r="J32" s="84">
        <f>IF('Trabajos 2'!N32="","",'Trabajos 2'!N32)</f>
        <v>650</v>
      </c>
      <c r="K32" s="84">
        <f>IF('Trabajos 2'!O32="","",'Trabajos 2'!O32)</f>
        <v>146250</v>
      </c>
      <c r="L32" s="84">
        <f>IF('Trabajos 2'!P32="","",'Trabajos 2'!P32)</f>
        <v>296250</v>
      </c>
    </row>
    <row r="33" spans="2:12" x14ac:dyDescent="0.25">
      <c r="B33" s="106">
        <f>IF('Trabajos 2'!B33="","",'Trabajos 2'!B33)</f>
        <v>46015</v>
      </c>
      <c r="C33" s="70" t="str">
        <f>IF('Trabajos 2'!F33="","",'Trabajos 2'!F33)</f>
        <v>Omar Piaggio</v>
      </c>
      <c r="D33" s="70" t="str">
        <f>IF('Trabajos 2'!D33="","",'Trabajos 2'!D33)</f>
        <v>Seguimiento de cultivos</v>
      </c>
      <c r="E33" s="70" t="str">
        <f>IF('Trabajos 2'!G33="","",'Trabajos 2'!G33)</f>
        <v>Costa del Moro</v>
      </c>
      <c r="F33" s="129">
        <f>IF('Trabajos 2'!H33="","",'Trabajos 2'!H33)</f>
        <v>1</v>
      </c>
      <c r="G33" s="84">
        <f>IF('Trabajos 2'!I33="","",'Trabajos 2'!I33)</f>
        <v>150000</v>
      </c>
      <c r="H33" s="84">
        <f>IF('Trabajos 2'!J33="","",'Trabajos 2'!J33)</f>
        <v>150000</v>
      </c>
      <c r="I33" s="107">
        <f>IF('Trabajos 2'!M33="","",'Trabajos 2'!M33)</f>
        <v>225</v>
      </c>
      <c r="J33" s="84">
        <f>IF('Trabajos 2'!N33="","",'Trabajos 2'!N33)</f>
        <v>650</v>
      </c>
      <c r="K33" s="84">
        <f>IF('Trabajos 2'!O33="","",'Trabajos 2'!O33)</f>
        <v>146250</v>
      </c>
      <c r="L33" s="84">
        <f>IF('Trabajos 2'!P33="","",'Trabajos 2'!P33)</f>
        <v>296250</v>
      </c>
    </row>
    <row r="34" spans="2:12" x14ac:dyDescent="0.25">
      <c r="B34" s="106">
        <f>IF('Trabajos 2'!B34="","",'Trabajos 2'!B34)</f>
        <v>46018</v>
      </c>
      <c r="C34" s="70" t="str">
        <f>IF('Trabajos 2'!F34="","",'Trabajos 2'!F34)</f>
        <v>Omar Piaggio</v>
      </c>
      <c r="D34" s="70" t="str">
        <f>IF('Trabajos 2'!D34="","",'Trabajos 2'!D34)</f>
        <v>Seguimiento de cultivos</v>
      </c>
      <c r="E34" s="70" t="str">
        <f>IF('Trabajos 2'!G34="","",'Trabajos 2'!G34)</f>
        <v>Costa del Moro</v>
      </c>
      <c r="F34" s="129">
        <f>IF('Trabajos 2'!H34="","",'Trabajos 2'!H34)</f>
        <v>1</v>
      </c>
      <c r="G34" s="84">
        <f>IF('Trabajos 2'!I34="","",'Trabajos 2'!I34)</f>
        <v>150000</v>
      </c>
      <c r="H34" s="84">
        <f>IF('Trabajos 2'!J34="","",'Trabajos 2'!J34)</f>
        <v>150000</v>
      </c>
      <c r="I34" s="107">
        <f>IF('Trabajos 2'!M34="","",'Trabajos 2'!M34)</f>
        <v>225</v>
      </c>
      <c r="J34" s="84">
        <f>IF('Trabajos 2'!N34="","",'Trabajos 2'!N34)</f>
        <v>650</v>
      </c>
      <c r="K34" s="84">
        <f>IF('Trabajos 2'!O34="","",'Trabajos 2'!O34)</f>
        <v>146250</v>
      </c>
      <c r="L34" s="84">
        <f>IF('Trabajos 2'!P34="","",'Trabajos 2'!P34)</f>
        <v>296250</v>
      </c>
    </row>
    <row r="35" spans="2:12" x14ac:dyDescent="0.25">
      <c r="B35" s="106">
        <f>IF('Trabajos 2'!B35="","",'Trabajos 2'!B35)</f>
        <v>46018</v>
      </c>
      <c r="C35" s="70" t="str">
        <f>IF('Trabajos 2'!F35="","",'Trabajos 2'!F35)</f>
        <v>Carlos Fernando Fuertes</v>
      </c>
      <c r="D35" s="70" t="str">
        <f>IF('Trabajos 2'!D35="","",'Trabajos 2'!D35)</f>
        <v>Seguimiento de cultivos</v>
      </c>
      <c r="E35" s="70" t="str">
        <f>IF('Trabajos 2'!G35="","",'Trabajos 2'!G35)</f>
        <v>La Tolderia</v>
      </c>
      <c r="F35" s="129">
        <f>IF('Trabajos 2'!H35="","",'Trabajos 2'!H35)</f>
        <v>0.5</v>
      </c>
      <c r="G35" s="84">
        <f>IF('Trabajos 2'!I35="","",'Trabajos 2'!I35)</f>
        <v>200000</v>
      </c>
      <c r="H35" s="84">
        <f>IF('Trabajos 2'!J35="","",'Trabajos 2'!J35)</f>
        <v>100000</v>
      </c>
      <c r="I35" s="107">
        <f>IF('Trabajos 2'!M35="","",'Trabajos 2'!M35)</f>
        <v>120</v>
      </c>
      <c r="J35" s="84">
        <f>IF('Trabajos 2'!N35="","",'Trabajos 2'!N35)</f>
        <v>650</v>
      </c>
      <c r="K35" s="84">
        <f>IF('Trabajos 2'!O35="","",'Trabajos 2'!O35)</f>
        <v>78000</v>
      </c>
      <c r="L35" s="84">
        <f>IF('Trabajos 2'!P35="","",'Trabajos 2'!P35)</f>
        <v>178000</v>
      </c>
    </row>
    <row r="36" spans="2:12" x14ac:dyDescent="0.25">
      <c r="B36" s="106">
        <f>IF('Trabajos 2'!B36="","",'Trabajos 2'!B36)</f>
        <v>46020</v>
      </c>
      <c r="C36" s="70" t="str">
        <f>IF('Trabajos 2'!F36="","",'Trabajos 2'!F36)</f>
        <v>Omar Piaggio</v>
      </c>
      <c r="D36" s="70" t="str">
        <f>IF('Trabajos 2'!D36="","",'Trabajos 2'!D36)</f>
        <v>Seguimiento de cultivos</v>
      </c>
      <c r="E36" s="70" t="str">
        <f>IF('Trabajos 2'!G36="","",'Trabajos 2'!G36)</f>
        <v>Costa del Moro</v>
      </c>
      <c r="F36" s="129">
        <f>IF('Trabajos 2'!H36="","",'Trabajos 2'!H36)</f>
        <v>1</v>
      </c>
      <c r="G36" s="84">
        <f>IF('Trabajos 2'!I36="","",'Trabajos 2'!I36)</f>
        <v>150000</v>
      </c>
      <c r="H36" s="84">
        <f>IF('Trabajos 2'!J36="","",'Trabajos 2'!J36)</f>
        <v>150000</v>
      </c>
      <c r="I36" s="107">
        <f>IF('Trabajos 2'!M36="","",'Trabajos 2'!M36)</f>
        <v>225</v>
      </c>
      <c r="J36" s="84">
        <f>IF('Trabajos 2'!N36="","",'Trabajos 2'!N36)</f>
        <v>650</v>
      </c>
      <c r="K36" s="84">
        <f>IF('Trabajos 2'!O36="","",'Trabajos 2'!O36)</f>
        <v>146250</v>
      </c>
      <c r="L36" s="84">
        <f>IF('Trabajos 2'!P36="","",'Trabajos 2'!P36)</f>
        <v>296250</v>
      </c>
    </row>
    <row r="37" spans="2:12" x14ac:dyDescent="0.25">
      <c r="B37" s="106">
        <f>IF('Trabajos 2'!B37="","",'Trabajos 2'!B37)</f>
        <v>46021</v>
      </c>
      <c r="C37" s="70" t="str">
        <f>IF('Trabajos 2'!F37="","",'Trabajos 2'!F37)</f>
        <v>Carlos Fernando Fuertes</v>
      </c>
      <c r="D37" s="70" t="str">
        <f>IF('Trabajos 2'!D37="","",'Trabajos 2'!D37)</f>
        <v>Seguimiento de cultivos</v>
      </c>
      <c r="E37" s="70" t="str">
        <f>IF('Trabajos 2'!G37="","",'Trabajos 2'!G37)</f>
        <v>La Tolderia</v>
      </c>
      <c r="F37" s="129">
        <f>IF('Trabajos 2'!H37="","",'Trabajos 2'!H37)</f>
        <v>0.5</v>
      </c>
      <c r="G37" s="84">
        <f>IF('Trabajos 2'!I37="","",'Trabajos 2'!I37)</f>
        <v>200000</v>
      </c>
      <c r="H37" s="84">
        <f>IF('Trabajos 2'!J37="","",'Trabajos 2'!J37)</f>
        <v>100000</v>
      </c>
      <c r="I37" s="107">
        <f>IF('Trabajos 2'!M37="","",'Trabajos 2'!M37)</f>
        <v>120</v>
      </c>
      <c r="J37" s="84">
        <f>IF('Trabajos 2'!N37="","",'Trabajos 2'!N37)</f>
        <v>650</v>
      </c>
      <c r="K37" s="84">
        <f>IF('Trabajos 2'!O37="","",'Trabajos 2'!O37)</f>
        <v>78000</v>
      </c>
      <c r="L37" s="84">
        <f>IF('Trabajos 2'!P37="","",'Trabajos 2'!P37)</f>
        <v>178000</v>
      </c>
    </row>
    <row r="38" spans="2:12" x14ac:dyDescent="0.25">
      <c r="B38" s="106">
        <f>IF('Trabajos 2'!B38="","",'Trabajos 2'!B38)</f>
        <v>46025</v>
      </c>
      <c r="C38" s="70" t="str">
        <f>IF('Trabajos 2'!F38="","",'Trabajos 2'!F38)</f>
        <v>Nugas S.A.</v>
      </c>
      <c r="D38" s="70" t="str">
        <f>IF('Trabajos 2'!D38="","",'Trabajos 2'!D38)</f>
        <v>Seguimiento de cultivos</v>
      </c>
      <c r="E38" s="70" t="str">
        <f>IF('Trabajos 2'!G38="","",'Trabajos 2'!G38)</f>
        <v>La Alborada</v>
      </c>
      <c r="F38" s="129">
        <f>IF('Trabajos 2'!H38="","",'Trabajos 2'!H38)</f>
        <v>1</v>
      </c>
      <c r="G38" s="84">
        <f>IF('Trabajos 2'!I38="","",'Trabajos 2'!I38)</f>
        <v>200000</v>
      </c>
      <c r="H38" s="84">
        <f>IF('Trabajos 2'!J38="","",'Trabajos 2'!J38)</f>
        <v>200000</v>
      </c>
      <c r="I38" s="107">
        <f>IF('Trabajos 2'!M38="","",'Trabajos 2'!M38)</f>
        <v>160</v>
      </c>
      <c r="J38" s="84">
        <f>IF('Trabajos 2'!N38="","",'Trabajos 2'!N38)</f>
        <v>700</v>
      </c>
      <c r="K38" s="84">
        <f>IF('Trabajos 2'!O38="","",'Trabajos 2'!O38)</f>
        <v>112000</v>
      </c>
      <c r="L38" s="84">
        <f>IF('Trabajos 2'!P38="","",'Trabajos 2'!P38)</f>
        <v>312000</v>
      </c>
    </row>
    <row r="39" spans="2:12" x14ac:dyDescent="0.25">
      <c r="B39" s="106">
        <f>IF('Trabajos 2'!B39="","",'Trabajos 2'!B39)</f>
        <v>45997</v>
      </c>
      <c r="C39" s="70" t="str">
        <f>IF('Trabajos 2'!F39="","",'Trabajos 2'!F39)</f>
        <v>Espartina S.A.</v>
      </c>
      <c r="D39" s="70" t="str">
        <f>IF('Trabajos 2'!D39="","",'Trabajos 2'!D39)</f>
        <v>Control de cosecha</v>
      </c>
      <c r="E39" s="70" t="str">
        <f>IF('Trabajos 2'!G39="","",'Trabajos 2'!G39)</f>
        <v>Las Overas</v>
      </c>
      <c r="F39" s="129">
        <f>IF('Trabajos 2'!H39="","",'Trabajos 2'!H39)</f>
        <v>1</v>
      </c>
      <c r="G39" s="84">
        <f>IF('Trabajos 2'!I39="","",'Trabajos 2'!I39)</f>
        <v>100000</v>
      </c>
      <c r="H39" s="84">
        <f>IF('Trabajos 2'!J39="","",'Trabajos 2'!J39)</f>
        <v>100000</v>
      </c>
      <c r="I39" s="107">
        <f>IF('Trabajos 2'!M39="","",'Trabajos 2'!M39)</f>
        <v>236</v>
      </c>
      <c r="J39" s="84">
        <f>IF('Trabajos 2'!N39="","",'Trabajos 2'!N39)</f>
        <v>668.15</v>
      </c>
      <c r="K39" s="84">
        <f>IF('Trabajos 2'!O39="","",'Trabajos 2'!O39)</f>
        <v>157683.4</v>
      </c>
      <c r="L39" s="84">
        <f>IF('Trabajos 2'!P39="","",'Trabajos 2'!P39)</f>
        <v>257683.4</v>
      </c>
    </row>
    <row r="40" spans="2:12" x14ac:dyDescent="0.25">
      <c r="B40" s="106">
        <f>IF('Trabajos 2'!B40="","",'Trabajos 2'!B40)</f>
        <v>45999</v>
      </c>
      <c r="C40" s="70" t="str">
        <f>IF('Trabajos 2'!F40="","",'Trabajos 2'!F40)</f>
        <v>Espartina S.A.</v>
      </c>
      <c r="D40" s="70" t="str">
        <f>IF('Trabajos 2'!D40="","",'Trabajos 2'!D40)</f>
        <v>Control de cosecha</v>
      </c>
      <c r="E40" s="70" t="str">
        <f>IF('Trabajos 2'!G40="","",'Trabajos 2'!G40)</f>
        <v>Doña Hilda</v>
      </c>
      <c r="F40" s="129">
        <f>IF('Trabajos 2'!H40="","",'Trabajos 2'!H40)</f>
        <v>1</v>
      </c>
      <c r="G40" s="84">
        <f>IF('Trabajos 2'!I40="","",'Trabajos 2'!I40)</f>
        <v>100000</v>
      </c>
      <c r="H40" s="84">
        <f>IF('Trabajos 2'!J40="","",'Trabajos 2'!J40)</f>
        <v>100000</v>
      </c>
      <c r="I40" s="107">
        <f>IF('Trabajos 2'!M40="","",'Trabajos 2'!M40)</f>
        <v>224</v>
      </c>
      <c r="J40" s="84">
        <f>IF('Trabajos 2'!N40="","",'Trabajos 2'!N40)</f>
        <v>668.15</v>
      </c>
      <c r="K40" s="84">
        <f>IF('Trabajos 2'!O40="","",'Trabajos 2'!O40)</f>
        <v>149665.60000000001</v>
      </c>
      <c r="L40" s="84">
        <f>IF('Trabajos 2'!P40="","",'Trabajos 2'!P40)</f>
        <v>249665.6</v>
      </c>
    </row>
    <row r="41" spans="2:12" x14ac:dyDescent="0.25">
      <c r="B41" s="106">
        <f>IF('Trabajos 2'!B41="","",'Trabajos 2'!B41)</f>
        <v>46008</v>
      </c>
      <c r="C41" s="70" t="str">
        <f>IF('Trabajos 2'!F41="","",'Trabajos 2'!F41)</f>
        <v>Espartina S.A.</v>
      </c>
      <c r="D41" s="70" t="str">
        <f>IF('Trabajos 2'!D41="","",'Trabajos 2'!D41)</f>
        <v>Control de cosecha</v>
      </c>
      <c r="E41" s="70" t="str">
        <f>IF('Trabajos 2'!G41="","",'Trabajos 2'!G41)</f>
        <v>La Fe</v>
      </c>
      <c r="F41" s="129">
        <f>IF('Trabajos 2'!H41="","",'Trabajos 2'!H41)</f>
        <v>1</v>
      </c>
      <c r="G41" s="84">
        <f>IF('Trabajos 2'!I41="","",'Trabajos 2'!I41)</f>
        <v>100000</v>
      </c>
      <c r="H41" s="84">
        <f>IF('Trabajos 2'!J41="","",'Trabajos 2'!J41)</f>
        <v>100000</v>
      </c>
      <c r="I41" s="107">
        <f>IF('Trabajos 2'!M41="","",'Trabajos 2'!M41)</f>
        <v>273</v>
      </c>
      <c r="J41" s="84">
        <f>IF('Trabajos 2'!N41="","",'Trabajos 2'!N41)</f>
        <v>668.15</v>
      </c>
      <c r="K41" s="84">
        <f>IF('Trabajos 2'!O41="","",'Trabajos 2'!O41)</f>
        <v>182404.94999999998</v>
      </c>
      <c r="L41" s="84">
        <f>IF('Trabajos 2'!P41="","",'Trabajos 2'!P41)</f>
        <v>282404.94999999995</v>
      </c>
    </row>
    <row r="42" spans="2:12" x14ac:dyDescent="0.25">
      <c r="B42" s="106">
        <f>IF('Trabajos 2'!B42="","",'Trabajos 2'!B42)</f>
        <v>46009</v>
      </c>
      <c r="C42" s="70" t="str">
        <f>IF('Trabajos 2'!F42="","",'Trabajos 2'!F42)</f>
        <v>Espartina S.A.</v>
      </c>
      <c r="D42" s="70" t="str">
        <f>IF('Trabajos 2'!D42="","",'Trabajos 2'!D42)</f>
        <v>Control de cosecha</v>
      </c>
      <c r="E42" s="70" t="str">
        <f>IF('Trabajos 2'!G42="","",'Trabajos 2'!G42)</f>
        <v>La Fe</v>
      </c>
      <c r="F42" s="129">
        <f>IF('Trabajos 2'!H42="","",'Trabajos 2'!H42)</f>
        <v>1</v>
      </c>
      <c r="G42" s="84">
        <f>IF('Trabajos 2'!I42="","",'Trabajos 2'!I42)</f>
        <v>100000</v>
      </c>
      <c r="H42" s="84">
        <f>IF('Trabajos 2'!J42="","",'Trabajos 2'!J42)</f>
        <v>100000</v>
      </c>
      <c r="I42" s="107">
        <f>IF('Trabajos 2'!M42="","",'Trabajos 2'!M42)</f>
        <v>276</v>
      </c>
      <c r="J42" s="84">
        <f>IF('Trabajos 2'!N42="","",'Trabajos 2'!N42)</f>
        <v>668.15</v>
      </c>
      <c r="K42" s="84">
        <f>IF('Trabajos 2'!O42="","",'Trabajos 2'!O42)</f>
        <v>184409.4</v>
      </c>
      <c r="L42" s="84">
        <f>IF('Trabajos 2'!P42="","",'Trabajos 2'!P42)</f>
        <v>284409.40000000002</v>
      </c>
    </row>
    <row r="43" spans="2:12" x14ac:dyDescent="0.25">
      <c r="B43" s="106">
        <f>IF('Trabajos 2'!B43="","",'Trabajos 2'!B43)</f>
        <v>46010</v>
      </c>
      <c r="C43" s="70" t="str">
        <f>IF('Trabajos 2'!F43="","",'Trabajos 2'!F43)</f>
        <v>Espartina S.A.</v>
      </c>
      <c r="D43" s="70" t="str">
        <f>IF('Trabajos 2'!D43="","",'Trabajos 2'!D43)</f>
        <v>Control de cosecha</v>
      </c>
      <c r="E43" s="70" t="str">
        <f>IF('Trabajos 2'!G43="","",'Trabajos 2'!G43)</f>
        <v>La Fe</v>
      </c>
      <c r="F43" s="196">
        <f>IF('Trabajos 2'!H43="","",'Trabajos 2'!H43)</f>
        <v>1</v>
      </c>
      <c r="G43" s="84">
        <f>IF('Trabajos 2'!I43="","",'Trabajos 2'!I43)</f>
        <v>100000</v>
      </c>
      <c r="H43" s="84">
        <f>IF('Trabajos 2'!J43="","",'Trabajos 2'!J43)</f>
        <v>100000</v>
      </c>
      <c r="I43" s="107">
        <f>IF('Trabajos 2'!M43="","",'Trabajos 2'!M43)</f>
        <v>295</v>
      </c>
      <c r="J43" s="84">
        <f>IF('Trabajos 2'!N43="","",'Trabajos 2'!N43)</f>
        <v>668.15</v>
      </c>
      <c r="K43" s="84">
        <f>IF('Trabajos 2'!O43="","",'Trabajos 2'!O43)</f>
        <v>197104.25</v>
      </c>
      <c r="L43" s="84">
        <f>IF('Trabajos 2'!P43="","",'Trabajos 2'!P43)</f>
        <v>297104.25</v>
      </c>
    </row>
    <row r="44" spans="2:12" x14ac:dyDescent="0.25">
      <c r="B44" s="106">
        <f>IF('Trabajos 2'!B44="","",'Trabajos 2'!B44)</f>
        <v>46012</v>
      </c>
      <c r="C44" s="70" t="str">
        <f>IF('Trabajos 2'!F44="","",'Trabajos 2'!F44)</f>
        <v>Espartina S.A.</v>
      </c>
      <c r="D44" s="70" t="str">
        <f>IF('Trabajos 2'!D44="","",'Trabajos 2'!D44)</f>
        <v>Control de cosecha</v>
      </c>
      <c r="E44" s="70" t="str">
        <f>IF('Trabajos 2'!G44="","",'Trabajos 2'!G44)</f>
        <v>La Fe</v>
      </c>
      <c r="F44" s="129">
        <f>IF('Trabajos 2'!H44="","",'Trabajos 2'!H44)</f>
        <v>1</v>
      </c>
      <c r="G44" s="84">
        <f>IF('Trabajos 2'!I44="","",'Trabajos 2'!I44)</f>
        <v>100000</v>
      </c>
      <c r="H44" s="84">
        <f>IF('Trabajos 2'!J44="","",'Trabajos 2'!J44)</f>
        <v>100000</v>
      </c>
      <c r="I44" s="107">
        <f>IF('Trabajos 2'!M44="","",'Trabajos 2'!M44)</f>
        <v>273</v>
      </c>
      <c r="J44" s="84">
        <f>IF('Trabajos 2'!N44="","",'Trabajos 2'!N44)</f>
        <v>668.15</v>
      </c>
      <c r="K44" s="84">
        <f>IF('Trabajos 2'!O44="","",'Trabajos 2'!O44)</f>
        <v>182404.94999999998</v>
      </c>
      <c r="L44" s="84">
        <f>IF('Trabajos 2'!P44="","",'Trabajos 2'!P44)</f>
        <v>282404.94999999995</v>
      </c>
    </row>
    <row r="45" spans="2:12" x14ac:dyDescent="0.25">
      <c r="B45" s="106">
        <f>IF('Trabajos 2'!B45="","",'Trabajos 2'!B45)</f>
        <v>46013</v>
      </c>
      <c r="C45" s="70" t="str">
        <f>IF('Trabajos 2'!F45="","",'Trabajos 2'!F45)</f>
        <v>Espartina S.A.</v>
      </c>
      <c r="D45" s="70" t="str">
        <f>IF('Trabajos 2'!D45="","",'Trabajos 2'!D45)</f>
        <v>Control de cosecha</v>
      </c>
      <c r="E45" s="70" t="str">
        <f>IF('Trabajos 2'!G45="","",'Trabajos 2'!G45)</f>
        <v>La Fe</v>
      </c>
      <c r="F45" s="129">
        <f>IF('Trabajos 2'!H45="","",'Trabajos 2'!H45)</f>
        <v>1</v>
      </c>
      <c r="G45" s="84">
        <f>IF('Trabajos 2'!I45="","",'Trabajos 2'!I45)</f>
        <v>100000</v>
      </c>
      <c r="H45" s="84">
        <f>IF('Trabajos 2'!J45="","",'Trabajos 2'!J45)</f>
        <v>100000</v>
      </c>
      <c r="I45" s="107">
        <f>IF('Trabajos 2'!M45="","",'Trabajos 2'!M45)</f>
        <v>285</v>
      </c>
      <c r="J45" s="84">
        <f>IF('Trabajos 2'!N45="","",'Trabajos 2'!N45)</f>
        <v>668.15</v>
      </c>
      <c r="K45" s="84">
        <f>IF('Trabajos 2'!O45="","",'Trabajos 2'!O45)</f>
        <v>190422.75</v>
      </c>
      <c r="L45" s="84">
        <f>IF('Trabajos 2'!P45="","",'Trabajos 2'!P45)</f>
        <v>290422.75</v>
      </c>
    </row>
    <row r="46" spans="2:12" x14ac:dyDescent="0.25">
      <c r="B46" s="106">
        <f>IF('Trabajos 2'!B46="","",'Trabajos 2'!B46)</f>
        <v>46014</v>
      </c>
      <c r="C46" s="70" t="str">
        <f>IF('Trabajos 2'!F46="","",'Trabajos 2'!F46)</f>
        <v>Espartina S.A.</v>
      </c>
      <c r="D46" s="70" t="str">
        <f>IF('Trabajos 2'!D46="","",'Trabajos 2'!D46)</f>
        <v>Control de cosecha</v>
      </c>
      <c r="E46" s="70" t="str">
        <f>IF('Trabajos 2'!G46="","",'Trabajos 2'!G46)</f>
        <v>La Fe</v>
      </c>
      <c r="F46" s="196">
        <f>IF('Trabajos 2'!H46="","",'Trabajos 2'!H46)</f>
        <v>1</v>
      </c>
      <c r="G46" s="84">
        <f>IF('Trabajos 2'!I46="","",'Trabajos 2'!I46)</f>
        <v>100000</v>
      </c>
      <c r="H46" s="84">
        <f>IF('Trabajos 2'!J46="","",'Trabajos 2'!J46)</f>
        <v>100000</v>
      </c>
      <c r="I46" s="107">
        <f>IF('Trabajos 2'!M46="","",'Trabajos 2'!M46)</f>
        <v>280</v>
      </c>
      <c r="J46" s="84">
        <f>IF('Trabajos 2'!N46="","",'Trabajos 2'!N46)</f>
        <v>668.15</v>
      </c>
      <c r="K46" s="84">
        <f>IF('Trabajos 2'!O46="","",'Trabajos 2'!O46)</f>
        <v>187082</v>
      </c>
      <c r="L46" s="84">
        <f>IF('Trabajos 2'!P46="","",'Trabajos 2'!P46)</f>
        <v>287082</v>
      </c>
    </row>
    <row r="47" spans="2:12" x14ac:dyDescent="0.25">
      <c r="B47" s="106">
        <f>IF('Trabajos 2'!B47="","",'Trabajos 2'!B47)</f>
        <v>46015</v>
      </c>
      <c r="C47" s="70" t="str">
        <f>IF('Trabajos 2'!F47="","",'Trabajos 2'!F47)</f>
        <v>Espartina S.A.</v>
      </c>
      <c r="D47" s="70" t="str">
        <f>IF('Trabajos 2'!D47="","",'Trabajos 2'!D47)</f>
        <v>Control de cosecha</v>
      </c>
      <c r="E47" s="70" t="str">
        <f>IF('Trabajos 2'!G47="","",'Trabajos 2'!G47)</f>
        <v>La Fe/El Tatu</v>
      </c>
      <c r="F47" s="129">
        <f>IF('Trabajos 2'!H47="","",'Trabajos 2'!H47)</f>
        <v>1</v>
      </c>
      <c r="G47" s="84">
        <f>IF('Trabajos 2'!I47="","",'Trabajos 2'!I47)</f>
        <v>100000</v>
      </c>
      <c r="H47" s="84">
        <f>IF('Trabajos 2'!J47="","",'Trabajos 2'!J47)</f>
        <v>100000</v>
      </c>
      <c r="I47" s="107">
        <f>IF('Trabajos 2'!M47="","",'Trabajos 2'!M47)</f>
        <v>315</v>
      </c>
      <c r="J47" s="84">
        <f>IF('Trabajos 2'!N47="","",'Trabajos 2'!N47)</f>
        <v>668.15</v>
      </c>
      <c r="K47" s="84">
        <f>IF('Trabajos 2'!O47="","",'Trabajos 2'!O47)</f>
        <v>210467.25</v>
      </c>
      <c r="L47" s="84">
        <f>IF('Trabajos 2'!P47="","",'Trabajos 2'!P47)</f>
        <v>310467.25</v>
      </c>
    </row>
    <row r="48" spans="2:12" x14ac:dyDescent="0.25">
      <c r="B48" s="106">
        <f>IF('Trabajos 2'!B48="","",'Trabajos 2'!B48)</f>
        <v>46016</v>
      </c>
      <c r="C48" s="70" t="str">
        <f>IF('Trabajos 2'!F48="","",'Trabajos 2'!F48)</f>
        <v>Espartina S.A.</v>
      </c>
      <c r="D48" s="70" t="str">
        <f>IF('Trabajos 2'!D48="","",'Trabajos 2'!D48)</f>
        <v>Control de cosecha</v>
      </c>
      <c r="E48" s="70" t="str">
        <f>IF('Trabajos 2'!G48="","",'Trabajos 2'!G48)</f>
        <v>El Tatu</v>
      </c>
      <c r="F48" s="129">
        <f>IF('Trabajos 2'!H48="","",'Trabajos 2'!H48)</f>
        <v>1</v>
      </c>
      <c r="G48" s="84">
        <f>IF('Trabajos 2'!I48="","",'Trabajos 2'!I48)</f>
        <v>100000</v>
      </c>
      <c r="H48" s="84">
        <f>IF('Trabajos 2'!J48="","",'Trabajos 2'!J48)</f>
        <v>100000</v>
      </c>
      <c r="I48" s="107">
        <f>IF('Trabajos 2'!M48="","",'Trabajos 2'!M48)</f>
        <v>274</v>
      </c>
      <c r="J48" s="84">
        <f>IF('Trabajos 2'!N48="","",'Trabajos 2'!N48)</f>
        <v>668.15</v>
      </c>
      <c r="K48" s="84">
        <f>IF('Trabajos 2'!O48="","",'Trabajos 2'!O48)</f>
        <v>183073.1</v>
      </c>
      <c r="L48" s="84">
        <f>IF('Trabajos 2'!P48="","",'Trabajos 2'!P48)</f>
        <v>283073.09999999998</v>
      </c>
    </row>
    <row r="49" spans="2:12" x14ac:dyDescent="0.25">
      <c r="B49" s="106">
        <f>IF('Trabajos 2'!B49="","",'Trabajos 2'!B49)</f>
        <v>46017</v>
      </c>
      <c r="C49" s="70" t="str">
        <f>IF('Trabajos 2'!F49="","",'Trabajos 2'!F49)</f>
        <v>Espartina S.A.</v>
      </c>
      <c r="D49" s="70" t="str">
        <f>IF('Trabajos 2'!D49="","",'Trabajos 2'!D49)</f>
        <v>Control de cosecha</v>
      </c>
      <c r="E49" s="70" t="str">
        <f>IF('Trabajos 2'!G49="","",'Trabajos 2'!G49)</f>
        <v>El Tatu</v>
      </c>
      <c r="F49" s="129">
        <f>IF('Trabajos 2'!H49="","",'Trabajos 2'!H49)</f>
        <v>1</v>
      </c>
      <c r="G49" s="84">
        <f>IF('Trabajos 2'!I49="","",'Trabajos 2'!I49)</f>
        <v>100000</v>
      </c>
      <c r="H49" s="84">
        <f>IF('Trabajos 2'!J49="","",'Trabajos 2'!J49)</f>
        <v>100000</v>
      </c>
      <c r="I49" s="107">
        <f>IF('Trabajos 2'!M49="","",'Trabajos 2'!M49)</f>
        <v>292</v>
      </c>
      <c r="J49" s="84">
        <f>IF('Trabajos 2'!N49="","",'Trabajos 2'!N49)</f>
        <v>668.15</v>
      </c>
      <c r="K49" s="84">
        <f>IF('Trabajos 2'!O49="","",'Trabajos 2'!O49)</f>
        <v>195099.8</v>
      </c>
      <c r="L49" s="84">
        <f>IF('Trabajos 2'!P49="","",'Trabajos 2'!P49)</f>
        <v>295099.8</v>
      </c>
    </row>
    <row r="50" spans="2:12" x14ac:dyDescent="0.25">
      <c r="B50" s="106">
        <f>IF('Trabajos 2'!B50="","",'Trabajos 2'!B50)</f>
        <v>46018</v>
      </c>
      <c r="C50" s="70" t="str">
        <f>IF('Trabajos 2'!F50="","",'Trabajos 2'!F50)</f>
        <v>Espartina S.A.</v>
      </c>
      <c r="D50" s="70" t="str">
        <f>IF('Trabajos 2'!D50="","",'Trabajos 2'!D50)</f>
        <v>Control de cosecha</v>
      </c>
      <c r="E50" s="70" t="str">
        <f>IF('Trabajos 2'!G50="","",'Trabajos 2'!G50)</f>
        <v>El Tatu</v>
      </c>
      <c r="F50" s="129">
        <f>IF('Trabajos 2'!H50="","",'Trabajos 2'!H50)</f>
        <v>1</v>
      </c>
      <c r="G50" s="84">
        <f>IF('Trabajos 2'!I50="","",'Trabajos 2'!I50)</f>
        <v>100000</v>
      </c>
      <c r="H50" s="84">
        <f>IF('Trabajos 2'!J50="","",'Trabajos 2'!J50)</f>
        <v>100000</v>
      </c>
      <c r="I50" s="107">
        <f>IF('Trabajos 2'!M50="","",'Trabajos 2'!M50)</f>
        <v>280</v>
      </c>
      <c r="J50" s="84">
        <f>IF('Trabajos 2'!N50="","",'Trabajos 2'!N50)</f>
        <v>668.15</v>
      </c>
      <c r="K50" s="84">
        <f>IF('Trabajos 2'!O50="","",'Trabajos 2'!O50)</f>
        <v>187082</v>
      </c>
      <c r="L50" s="84">
        <f>IF('Trabajos 2'!P50="","",'Trabajos 2'!P50)</f>
        <v>287082</v>
      </c>
    </row>
    <row r="51" spans="2:12" x14ac:dyDescent="0.25">
      <c r="B51" s="106">
        <f>IF('Trabajos 2'!B51="","",'Trabajos 2'!B51)</f>
        <v>46019</v>
      </c>
      <c r="C51" s="70" t="str">
        <f>IF('Trabajos 2'!F51="","",'Trabajos 2'!F51)</f>
        <v>Espartina S.A.</v>
      </c>
      <c r="D51" s="70" t="str">
        <f>IF('Trabajos 2'!D51="","",'Trabajos 2'!D51)</f>
        <v>Control de cosecha</v>
      </c>
      <c r="E51" s="70" t="str">
        <f>IF('Trabajos 2'!G51="","",'Trabajos 2'!G51)</f>
        <v>El Tatu</v>
      </c>
      <c r="F51" s="129">
        <f>IF('Trabajos 2'!H51="","",'Trabajos 2'!H51)</f>
        <v>1</v>
      </c>
      <c r="G51" s="84">
        <f>IF('Trabajos 2'!I51="","",'Trabajos 2'!I51)</f>
        <v>100000</v>
      </c>
      <c r="H51" s="84">
        <f>IF('Trabajos 2'!J51="","",'Trabajos 2'!J51)</f>
        <v>100000</v>
      </c>
      <c r="I51" s="107">
        <f>IF('Trabajos 2'!M51="","",'Trabajos 2'!M51)</f>
        <v>282</v>
      </c>
      <c r="J51" s="84">
        <f>IF('Trabajos 2'!N51="","",'Trabajos 2'!N51)</f>
        <v>668.15</v>
      </c>
      <c r="K51" s="84">
        <f>IF('Trabajos 2'!O51="","",'Trabajos 2'!O51)</f>
        <v>188418.3</v>
      </c>
      <c r="L51" s="84">
        <f>IF('Trabajos 2'!P51="","",'Trabajos 2'!P51)</f>
        <v>288418.3</v>
      </c>
    </row>
    <row r="52" spans="2:12" x14ac:dyDescent="0.25">
      <c r="B52" s="106">
        <f>IF('Trabajos 2'!B52="","",'Trabajos 2'!B52)</f>
        <v>46020</v>
      </c>
      <c r="C52" s="70" t="str">
        <f>IF('Trabajos 2'!F52="","",'Trabajos 2'!F52)</f>
        <v>Espartina S.A.</v>
      </c>
      <c r="D52" s="70" t="str">
        <f>IF('Trabajos 2'!D52="","",'Trabajos 2'!D52)</f>
        <v>Control de cosecha</v>
      </c>
      <c r="E52" s="70" t="str">
        <f>IF('Trabajos 2'!G52="","",'Trabajos 2'!G52)</f>
        <v>El Tatu</v>
      </c>
      <c r="F52" s="129">
        <f>IF('Trabajos 2'!H52="","",'Trabajos 2'!H52)</f>
        <v>1</v>
      </c>
      <c r="G52" s="84">
        <f>IF('Trabajos 2'!I52="","",'Trabajos 2'!I52)</f>
        <v>100000</v>
      </c>
      <c r="H52" s="84">
        <f>IF('Trabajos 2'!J52="","",'Trabajos 2'!J52)</f>
        <v>100000</v>
      </c>
      <c r="I52" s="107">
        <f>IF('Trabajos 2'!M52="","",'Trabajos 2'!M52)</f>
        <v>278</v>
      </c>
      <c r="J52" s="84">
        <f>IF('Trabajos 2'!N52="","",'Trabajos 2'!N52)</f>
        <v>668.15</v>
      </c>
      <c r="K52" s="84">
        <f>IF('Trabajos 2'!O52="","",'Trabajos 2'!O52)</f>
        <v>185745.69999999998</v>
      </c>
      <c r="L52" s="84">
        <f>IF('Trabajos 2'!P52="","",'Trabajos 2'!P52)</f>
        <v>285745.69999999995</v>
      </c>
    </row>
    <row r="53" spans="2:12" x14ac:dyDescent="0.25">
      <c r="B53" s="106">
        <f>IF('Trabajos 2'!B53="","",'Trabajos 2'!B53)</f>
        <v>46032</v>
      </c>
      <c r="C53" s="70" t="str">
        <f>IF('Trabajos 2'!F53="","",'Trabajos 2'!F53)</f>
        <v>Nugas S.A.</v>
      </c>
      <c r="D53" s="70" t="str">
        <f>IF('Trabajos 2'!D53="","",'Trabajos 2'!D53)</f>
        <v>Seguimiento de cultivos</v>
      </c>
      <c r="E53" s="70" t="str">
        <f>IF('Trabajos 2'!G53="","",'Trabajos 2'!G53)</f>
        <v>La Alborada</v>
      </c>
      <c r="F53" s="129">
        <f>IF('Trabajos 2'!H53="","",'Trabajos 2'!H53)</f>
        <v>1</v>
      </c>
      <c r="G53" s="84">
        <f>IF('Trabajos 2'!I53="","",'Trabajos 2'!I53)</f>
        <v>200000</v>
      </c>
      <c r="H53" s="84">
        <f>IF('Trabajos 2'!J53="","",'Trabajos 2'!J53)</f>
        <v>200000</v>
      </c>
      <c r="I53" s="107">
        <f>IF('Trabajos 2'!M53="","",'Trabajos 2'!M53)</f>
        <v>160</v>
      </c>
      <c r="J53" s="84">
        <f>IF('Trabajos 2'!N53="","",'Trabajos 2'!N53)</f>
        <v>700</v>
      </c>
      <c r="K53" s="84">
        <f>IF('Trabajos 2'!O53="","",'Trabajos 2'!O53)</f>
        <v>112000</v>
      </c>
      <c r="L53" s="84">
        <f>IF('Trabajos 2'!P53="","",'Trabajos 2'!P53)</f>
        <v>312000</v>
      </c>
    </row>
    <row r="54" spans="2:12" x14ac:dyDescent="0.25">
      <c r="B54" s="106">
        <f>IF('Trabajos 2'!B54="","",'Trabajos 2'!B54)</f>
        <v>46032</v>
      </c>
      <c r="C54" s="70" t="str">
        <f>IF('Trabajos 2'!F54="","",'Trabajos 2'!F54)</f>
        <v>Omar Piaggio</v>
      </c>
      <c r="D54" s="70" t="str">
        <f>IF('Trabajos 2'!D54="","",'Trabajos 2'!D54)</f>
        <v>Seguimiento de cultivos</v>
      </c>
      <c r="E54" s="70" t="str">
        <f>IF('Trabajos 2'!G54="","",'Trabajos 2'!G54)</f>
        <v>Costa del Moro</v>
      </c>
      <c r="F54" s="129">
        <f>IF('Trabajos 2'!H54="","",'Trabajos 2'!H54)</f>
        <v>1</v>
      </c>
      <c r="G54" s="84">
        <f>IF('Trabajos 2'!I54="","",'Trabajos 2'!I54)</f>
        <v>150000</v>
      </c>
      <c r="H54" s="84">
        <f>IF('Trabajos 2'!J54="","",'Trabajos 2'!J54)</f>
        <v>150000</v>
      </c>
      <c r="I54" s="107">
        <f>IF('Trabajos 2'!M54="","",'Trabajos 2'!M54)</f>
        <v>225</v>
      </c>
      <c r="J54" s="84">
        <f>IF('Trabajos 2'!N54="","",'Trabajos 2'!N54)</f>
        <v>700</v>
      </c>
      <c r="K54" s="84">
        <f>IF('Trabajos 2'!O54="","",'Trabajos 2'!O54)</f>
        <v>157500</v>
      </c>
      <c r="L54" s="84">
        <f>IF('Trabajos 2'!P54="","",'Trabajos 2'!P54)</f>
        <v>307500</v>
      </c>
    </row>
    <row r="55" spans="2:12" x14ac:dyDescent="0.25">
      <c r="B55" s="106">
        <f>IF('Trabajos 2'!B55="","",'Trabajos 2'!B55)</f>
        <v>46032</v>
      </c>
      <c r="C55" s="70" t="str">
        <f>IF('Trabajos 2'!F55="","",'Trabajos 2'!F55)</f>
        <v>Carlos Fernando Fuertes</v>
      </c>
      <c r="D55" s="70" t="str">
        <f>IF('Trabajos 2'!D55="","",'Trabajos 2'!D55)</f>
        <v>Seguimiento de cultivos</v>
      </c>
      <c r="E55" s="70" t="str">
        <f>IF('Trabajos 2'!G55="","",'Trabajos 2'!G55)</f>
        <v>La Tolderia</v>
      </c>
      <c r="F55" s="129">
        <f>IF('Trabajos 2'!H55="","",'Trabajos 2'!H55)</f>
        <v>0.5</v>
      </c>
      <c r="G55" s="84">
        <f>IF('Trabajos 2'!I55="","",'Trabajos 2'!I55)</f>
        <v>200000</v>
      </c>
      <c r="H55" s="84">
        <f>IF('Trabajos 2'!J55="","",'Trabajos 2'!J55)</f>
        <v>100000</v>
      </c>
      <c r="I55" s="107">
        <f>IF('Trabajos 2'!M55="","",'Trabajos 2'!M55)</f>
        <v>120</v>
      </c>
      <c r="J55" s="84">
        <f>IF('Trabajos 2'!N55="","",'Trabajos 2'!N55)</f>
        <v>700</v>
      </c>
      <c r="K55" s="84">
        <f>IF('Trabajos 2'!O55="","",'Trabajos 2'!O55)</f>
        <v>84000</v>
      </c>
      <c r="L55" s="84">
        <f>IF('Trabajos 2'!P55="","",'Trabajos 2'!P55)</f>
        <v>184000</v>
      </c>
    </row>
    <row r="56" spans="2:12" x14ac:dyDescent="0.25">
      <c r="B56" s="106">
        <f>IF('Trabajos 2'!B56="","",'Trabajos 2'!B56)</f>
        <v>46041</v>
      </c>
      <c r="C56" s="70" t="str">
        <f>IF('Trabajos 2'!F56="","",'Trabajos 2'!F56)</f>
        <v>Nugas S.A.</v>
      </c>
      <c r="D56" s="70" t="str">
        <f>IF('Trabajos 2'!D56="","",'Trabajos 2'!D56)</f>
        <v>Seguimiento de cultivos</v>
      </c>
      <c r="E56" s="70" t="str">
        <f>IF('Trabajos 2'!G56="","",'Trabajos 2'!G56)</f>
        <v>La Alborada</v>
      </c>
      <c r="F56" s="129">
        <f>IF('Trabajos 2'!H56="","",'Trabajos 2'!H56)</f>
        <v>1</v>
      </c>
      <c r="G56" s="84">
        <f>IF('Trabajos 2'!I56="","",'Trabajos 2'!I56)</f>
        <v>200000</v>
      </c>
      <c r="H56" s="84">
        <f>IF('Trabajos 2'!J56="","",'Trabajos 2'!J56)</f>
        <v>200000</v>
      </c>
      <c r="I56" s="107">
        <f>IF('Trabajos 2'!M56="","",'Trabajos 2'!M56)</f>
        <v>160</v>
      </c>
      <c r="J56" s="84">
        <f>IF('Trabajos 2'!N56="","",'Trabajos 2'!N56)</f>
        <v>700</v>
      </c>
      <c r="K56" s="84">
        <f>IF('Trabajos 2'!O56="","",'Trabajos 2'!O56)</f>
        <v>112000</v>
      </c>
      <c r="L56" s="84">
        <f>IF('Trabajos 2'!P56="","",'Trabajos 2'!P56)</f>
        <v>312000</v>
      </c>
    </row>
    <row r="57" spans="2:12" x14ac:dyDescent="0.25">
      <c r="B57" s="106">
        <f>IF('Trabajos 2'!B57="","",'Trabajos 2'!B57)</f>
        <v>46049</v>
      </c>
      <c r="C57" s="70" t="str">
        <f>IF('Trabajos 2'!F57="","",'Trabajos 2'!F57)</f>
        <v>Nugas S.A.</v>
      </c>
      <c r="D57" s="70" t="str">
        <f>IF('Trabajos 2'!D57="","",'Trabajos 2'!D57)</f>
        <v>Seguimiento de cultivos</v>
      </c>
      <c r="E57" s="70" t="str">
        <f>IF('Trabajos 2'!G57="","",'Trabajos 2'!G57)</f>
        <v>La Alborada</v>
      </c>
      <c r="F57" s="129">
        <f>IF('Trabajos 2'!H57="","",'Trabajos 2'!H57)</f>
        <v>1</v>
      </c>
      <c r="G57" s="84">
        <f>IF('Trabajos 2'!I57="","",'Trabajos 2'!I57)</f>
        <v>200000</v>
      </c>
      <c r="H57" s="84">
        <f>IF('Trabajos 2'!J57="","",'Trabajos 2'!J57)</f>
        <v>200000</v>
      </c>
      <c r="I57" s="107">
        <f>IF('Trabajos 2'!M57="","",'Trabajos 2'!M57)</f>
        <v>160</v>
      </c>
      <c r="J57" s="84">
        <f>IF('Trabajos 2'!N57="","",'Trabajos 2'!N57)</f>
        <v>700</v>
      </c>
      <c r="K57" s="84">
        <f>IF('Trabajos 2'!O57="","",'Trabajos 2'!O57)</f>
        <v>112000</v>
      </c>
      <c r="L57" s="84">
        <f>IF('Trabajos 2'!P57="","",'Trabajos 2'!P57)</f>
        <v>312000</v>
      </c>
    </row>
    <row r="58" spans="2:12" x14ac:dyDescent="0.25">
      <c r="B58" s="106">
        <f>IF('Trabajos 2'!B58="","",'Trabajos 2'!B58)</f>
        <v>46050</v>
      </c>
      <c r="C58" s="70" t="str">
        <f>IF('Trabajos 2'!F58="","",'Trabajos 2'!F58)</f>
        <v>Omar Piaggio</v>
      </c>
      <c r="D58" s="70" t="str">
        <f>IF('Trabajos 2'!D58="","",'Trabajos 2'!D58)</f>
        <v>Seguimiento de cultivos</v>
      </c>
      <c r="E58" s="70" t="str">
        <f>IF('Trabajos 2'!G58="","",'Trabajos 2'!G58)</f>
        <v>Costa del Moro</v>
      </c>
      <c r="F58" s="129">
        <f>IF('Trabajos 2'!H58="","",'Trabajos 2'!H58)</f>
        <v>1</v>
      </c>
      <c r="G58" s="84">
        <f>IF('Trabajos 2'!I58="","",'Trabajos 2'!I58)</f>
        <v>150000</v>
      </c>
      <c r="H58" s="84">
        <f>IF('Trabajos 2'!J58="","",'Trabajos 2'!J58)</f>
        <v>150000</v>
      </c>
      <c r="I58" s="107">
        <f>IF('Trabajos 2'!M58="","",'Trabajos 2'!M58)</f>
        <v>225</v>
      </c>
      <c r="J58" s="84">
        <f>IF('Trabajos 2'!N58="","",'Trabajos 2'!N58)</f>
        <v>700</v>
      </c>
      <c r="K58" s="84">
        <f>IF('Trabajos 2'!O58="","",'Trabajos 2'!O58)</f>
        <v>157500</v>
      </c>
      <c r="L58" s="84">
        <f>IF('Trabajos 2'!P58="","",'Trabajos 2'!P58)</f>
        <v>307500</v>
      </c>
    </row>
    <row r="59" spans="2:12" x14ac:dyDescent="0.25">
      <c r="B59" s="106">
        <f>IF('Trabajos 2'!B59="","",'Trabajos 2'!B59)</f>
        <v>46050</v>
      </c>
      <c r="C59" s="70" t="str">
        <f>IF('Trabajos 2'!F59="","",'Trabajos 2'!F59)</f>
        <v>Carlos Fernando Fuertes</v>
      </c>
      <c r="D59" s="70" t="str">
        <f>IF('Trabajos 2'!D59="","",'Trabajos 2'!D59)</f>
        <v>Seguimiento de cultivos</v>
      </c>
      <c r="E59" s="70" t="str">
        <f>IF('Trabajos 2'!G59="","",'Trabajos 2'!G59)</f>
        <v>La Tolderia</v>
      </c>
      <c r="F59" s="129">
        <f>IF('Trabajos 2'!H59="","",'Trabajos 2'!H59)</f>
        <v>0.5</v>
      </c>
      <c r="G59" s="84">
        <f>IF('Trabajos 2'!I59="","",'Trabajos 2'!I59)</f>
        <v>200000</v>
      </c>
      <c r="H59" s="84">
        <f>IF('Trabajos 2'!J59="","",'Trabajos 2'!J59)</f>
        <v>100000</v>
      </c>
      <c r="I59" s="107">
        <f>IF('Trabajos 2'!M59="","",'Trabajos 2'!M59)</f>
        <v>120</v>
      </c>
      <c r="J59" s="84">
        <f>IF('Trabajos 2'!N59="","",'Trabajos 2'!N59)</f>
        <v>700</v>
      </c>
      <c r="K59" s="84">
        <f>IF('Trabajos 2'!O59="","",'Trabajos 2'!O59)</f>
        <v>84000</v>
      </c>
      <c r="L59" s="84">
        <f>IF('Trabajos 2'!P59="","",'Trabajos 2'!P59)</f>
        <v>184000</v>
      </c>
    </row>
    <row r="60" spans="2:12" x14ac:dyDescent="0.25">
      <c r="B60" s="106">
        <f>IF('Trabajos 2'!B60="","",'Trabajos 2'!B60)</f>
        <v>46055</v>
      </c>
      <c r="C60" s="70" t="str">
        <f>IF('Trabajos 2'!F60="","",'Trabajos 2'!F60)</f>
        <v>Nugas S.A.</v>
      </c>
      <c r="D60" s="70" t="str">
        <f>IF('Trabajos 2'!D60="","",'Trabajos 2'!D60)</f>
        <v>Seguimiento de cultivos</v>
      </c>
      <c r="E60" s="70" t="str">
        <f>IF('Trabajos 2'!G60="","",'Trabajos 2'!G60)</f>
        <v>La Alborada</v>
      </c>
      <c r="F60" s="129">
        <f>IF('Trabajos 2'!H60="","",'Trabajos 2'!H60)</f>
        <v>1</v>
      </c>
      <c r="G60" s="84">
        <f>IF('Trabajos 2'!I60="","",'Trabajos 2'!I60)</f>
        <v>200000</v>
      </c>
      <c r="H60" s="84">
        <f>IF('Trabajos 2'!J60="","",'Trabajos 2'!J60)</f>
        <v>200000</v>
      </c>
      <c r="I60" s="107">
        <f>IF('Trabajos 2'!M60="","",'Trabajos 2'!M60)</f>
        <v>160</v>
      </c>
      <c r="J60" s="84">
        <f>IF('Trabajos 2'!N60="","",'Trabajos 2'!N60)</f>
        <v>700</v>
      </c>
      <c r="K60" s="84">
        <f>IF('Trabajos 2'!O60="","",'Trabajos 2'!O60)</f>
        <v>112000</v>
      </c>
      <c r="L60" s="84">
        <f>IF('Trabajos 2'!P60="","",'Trabajos 2'!P60)</f>
        <v>312000</v>
      </c>
    </row>
    <row r="61" spans="2:12" x14ac:dyDescent="0.25">
      <c r="B61" s="106">
        <f>IF('Trabajos 2'!B61="","",'Trabajos 2'!B61)</f>
        <v>46064</v>
      </c>
      <c r="C61" s="70" t="str">
        <f>IF('Trabajos 2'!F61="","",'Trabajos 2'!F61)</f>
        <v>Nugas S.A.</v>
      </c>
      <c r="D61" s="70" t="str">
        <f>IF('Trabajos 2'!D61="","",'Trabajos 2'!D61)</f>
        <v>Seguimiento de cultivos</v>
      </c>
      <c r="E61" s="70" t="str">
        <f>IF('Trabajos 2'!G61="","",'Trabajos 2'!G61)</f>
        <v>La Alborada</v>
      </c>
      <c r="F61" s="129">
        <f>IF('Trabajos 2'!H61="","",'Trabajos 2'!H61)</f>
        <v>1</v>
      </c>
      <c r="G61" s="84">
        <f>IF('Trabajos 2'!I61="","",'Trabajos 2'!I61)</f>
        <v>200000</v>
      </c>
      <c r="H61" s="84">
        <f>IF('Trabajos 2'!J61="","",'Trabajos 2'!J61)</f>
        <v>200000</v>
      </c>
      <c r="I61" s="107">
        <f>IF('Trabajos 2'!M61="","",'Trabajos 2'!M61)</f>
        <v>160</v>
      </c>
      <c r="J61" s="84">
        <f>IF('Trabajos 2'!N61="","",'Trabajos 2'!N61)</f>
        <v>700</v>
      </c>
      <c r="K61" s="84">
        <f>IF('Trabajos 2'!O61="","",'Trabajos 2'!O61)</f>
        <v>112000</v>
      </c>
      <c r="L61" s="84">
        <f>IF('Trabajos 2'!P61="","",'Trabajos 2'!P61)</f>
        <v>312000</v>
      </c>
    </row>
    <row r="62" spans="2:12" x14ac:dyDescent="0.25">
      <c r="B62" s="106">
        <f>IF('Trabajos 2'!B62="","",'Trabajos 2'!B62)</f>
        <v>46066</v>
      </c>
      <c r="C62" s="70" t="str">
        <f>IF('Trabajos 2'!F62="","",'Trabajos 2'!F62)</f>
        <v>Omar Piaggio</v>
      </c>
      <c r="D62" s="70" t="str">
        <f>IF('Trabajos 2'!D62="","",'Trabajos 2'!D62)</f>
        <v>Seguimiento de cultivos</v>
      </c>
      <c r="E62" s="70" t="str">
        <f>IF('Trabajos 2'!G62="","",'Trabajos 2'!G62)</f>
        <v>Costa del Moro</v>
      </c>
      <c r="F62" s="129">
        <f>IF('Trabajos 2'!H62="","",'Trabajos 2'!H62)</f>
        <v>1</v>
      </c>
      <c r="G62" s="84">
        <f>IF('Trabajos 2'!I62="","",'Trabajos 2'!I62)</f>
        <v>150000</v>
      </c>
      <c r="H62" s="84">
        <f>IF('Trabajos 2'!J62="","",'Trabajos 2'!J62)</f>
        <v>150000</v>
      </c>
      <c r="I62" s="107">
        <f>IF('Trabajos 2'!M62="","",'Trabajos 2'!M62)</f>
        <v>225</v>
      </c>
      <c r="J62" s="84">
        <f>IF('Trabajos 2'!N62="","",'Trabajos 2'!N62)</f>
        <v>700</v>
      </c>
      <c r="K62" s="84">
        <f>IF('Trabajos 2'!O62="","",'Trabajos 2'!O62)</f>
        <v>157500</v>
      </c>
      <c r="L62" s="84">
        <f>IF('Trabajos 2'!P62="","",'Trabajos 2'!P62)</f>
        <v>307500</v>
      </c>
    </row>
    <row r="63" spans="2:12" x14ac:dyDescent="0.25">
      <c r="B63" s="106">
        <f>IF('Trabajos 2'!B63="","",'Trabajos 2'!B63)</f>
        <v>46066</v>
      </c>
      <c r="C63" s="70" t="str">
        <f>IF('Trabajos 2'!F63="","",'Trabajos 2'!F63)</f>
        <v>Carlos Fernando Fuertes</v>
      </c>
      <c r="D63" s="70" t="str">
        <f>IF('Trabajos 2'!D63="","",'Trabajos 2'!D63)</f>
        <v>Seguimiento de cultivos</v>
      </c>
      <c r="E63" s="70" t="str">
        <f>IF('Trabajos 2'!G63="","",'Trabajos 2'!G63)</f>
        <v>La Tolderia</v>
      </c>
      <c r="F63" s="129">
        <f>IF('Trabajos 2'!H63="","",'Trabajos 2'!H63)</f>
        <v>0.5</v>
      </c>
      <c r="G63" s="84">
        <f>IF('Trabajos 2'!I63="","",'Trabajos 2'!I63)</f>
        <v>200000</v>
      </c>
      <c r="H63" s="84">
        <f>IF('Trabajos 2'!J63="","",'Trabajos 2'!J63)</f>
        <v>100000</v>
      </c>
      <c r="I63" s="107">
        <f>IF('Trabajos 2'!M63="","",'Trabajos 2'!M63)</f>
        <v>120</v>
      </c>
      <c r="J63" s="84">
        <f>IF('Trabajos 2'!N63="","",'Trabajos 2'!N63)</f>
        <v>700</v>
      </c>
      <c r="K63" s="84">
        <f>IF('Trabajos 2'!O63="","",'Trabajos 2'!O63)</f>
        <v>84000</v>
      </c>
      <c r="L63" s="84">
        <f>IF('Trabajos 2'!P63="","",'Trabajos 2'!P63)</f>
        <v>184000</v>
      </c>
    </row>
    <row r="64" spans="2:12" x14ac:dyDescent="0.25">
      <c r="B64" s="106">
        <f>IF('Trabajos 2'!B64="","",'Trabajos 2'!B64)</f>
        <v>46075</v>
      </c>
      <c r="C64" s="70" t="str">
        <f>IF('Trabajos 2'!F64="","",'Trabajos 2'!F64)</f>
        <v>Nugas S.A.</v>
      </c>
      <c r="D64" s="70" t="str">
        <f>IF('Trabajos 2'!D64="","",'Trabajos 2'!D64)</f>
        <v>Seguimiento de cultivos</v>
      </c>
      <c r="E64" s="70" t="str">
        <f>IF('Trabajos 2'!G64="","",'Trabajos 2'!G64)</f>
        <v>La Alborada</v>
      </c>
      <c r="F64" s="129">
        <f>IF('Trabajos 2'!H64="","",'Trabajos 2'!H64)</f>
        <v>1</v>
      </c>
      <c r="G64" s="84">
        <f>IF('Trabajos 2'!I64="","",'Trabajos 2'!I64)</f>
        <v>200000</v>
      </c>
      <c r="H64" s="84">
        <f>IF('Trabajos 2'!J64="","",'Trabajos 2'!J64)</f>
        <v>200000</v>
      </c>
      <c r="I64" s="107">
        <f>IF('Trabajos 2'!M64="","",'Trabajos 2'!M64)</f>
        <v>160</v>
      </c>
      <c r="J64" s="84">
        <f>IF('Trabajos 2'!N64="","",'Trabajos 2'!N64)</f>
        <v>700</v>
      </c>
      <c r="K64" s="84">
        <f>IF('Trabajos 2'!O64="","",'Trabajos 2'!O64)</f>
        <v>112000</v>
      </c>
      <c r="L64" s="84">
        <f>IF('Trabajos 2'!P64="","",'Trabajos 2'!P64)</f>
        <v>312000</v>
      </c>
    </row>
    <row r="65" spans="2:12" x14ac:dyDescent="0.25">
      <c r="B65" s="106">
        <f>IF('Trabajos 2'!B65="","",'Trabajos 2'!B65)</f>
        <v>46078</v>
      </c>
      <c r="C65" s="70" t="str">
        <f>IF('Trabajos 2'!F65="","",'Trabajos 2'!F65)</f>
        <v>Omar Piaggio</v>
      </c>
      <c r="D65" s="70" t="str">
        <f>IF('Trabajos 2'!D65="","",'Trabajos 2'!D65)</f>
        <v>Seguimiento de cultivos</v>
      </c>
      <c r="E65" s="70" t="str">
        <f>IF('Trabajos 2'!G65="","",'Trabajos 2'!G65)</f>
        <v>Costa del Moro</v>
      </c>
      <c r="F65" s="129">
        <f>IF('Trabajos 2'!H65="","",'Trabajos 2'!H65)</f>
        <v>1</v>
      </c>
      <c r="G65" s="84">
        <f>IF('Trabajos 2'!I65="","",'Trabajos 2'!I65)</f>
        <v>150000</v>
      </c>
      <c r="H65" s="84">
        <f>IF('Trabajos 2'!J65="","",'Trabajos 2'!J65)</f>
        <v>150000</v>
      </c>
      <c r="I65" s="107">
        <f>IF('Trabajos 2'!M65="","",'Trabajos 2'!M65)</f>
        <v>225</v>
      </c>
      <c r="J65" s="84">
        <f>IF('Trabajos 2'!N65="","",'Trabajos 2'!N65)</f>
        <v>700</v>
      </c>
      <c r="K65" s="84">
        <f>IF('Trabajos 2'!O65="","",'Trabajos 2'!O65)</f>
        <v>157500</v>
      </c>
      <c r="L65" s="84">
        <f>IF('Trabajos 2'!P65="","",'Trabajos 2'!P65)</f>
        <v>307500</v>
      </c>
    </row>
    <row r="66" spans="2:12" x14ac:dyDescent="0.25">
      <c r="B66" s="106">
        <f>IF('Trabajos 2'!B66="","",'Trabajos 2'!B66)</f>
        <v>46078</v>
      </c>
      <c r="C66" s="70" t="str">
        <f>IF('Trabajos 2'!F66="","",'Trabajos 2'!F66)</f>
        <v>Carlos Fernando Fuertes</v>
      </c>
      <c r="D66" s="70" t="str">
        <f>IF('Trabajos 2'!D66="","",'Trabajos 2'!D66)</f>
        <v>Seguimiento de cultivos</v>
      </c>
      <c r="E66" s="70" t="str">
        <f>IF('Trabajos 2'!G66="","",'Trabajos 2'!G66)</f>
        <v>La Tolderia</v>
      </c>
      <c r="F66" s="129">
        <f>IF('Trabajos 2'!H66="","",'Trabajos 2'!H66)</f>
        <v>0.5</v>
      </c>
      <c r="G66" s="84">
        <f>IF('Trabajos 2'!I66="","",'Trabajos 2'!I66)</f>
        <v>200000</v>
      </c>
      <c r="H66" s="84">
        <f>IF('Trabajos 2'!J66="","",'Trabajos 2'!J66)</f>
        <v>100000</v>
      </c>
      <c r="I66" s="107">
        <f>IF('Trabajos 2'!M66="","",'Trabajos 2'!M66)</f>
        <v>120</v>
      </c>
      <c r="J66" s="84">
        <f>IF('Trabajos 2'!N66="","",'Trabajos 2'!N66)</f>
        <v>700</v>
      </c>
      <c r="K66" s="84">
        <f>IF('Trabajos 2'!O66="","",'Trabajos 2'!O66)</f>
        <v>84000</v>
      </c>
      <c r="L66" s="84">
        <f>IF('Trabajos 2'!P66="","",'Trabajos 2'!P66)</f>
        <v>184000</v>
      </c>
    </row>
    <row r="67" spans="2:12" x14ac:dyDescent="0.25">
      <c r="B67" s="106">
        <f>IF('Trabajos 2'!B67="","",'Trabajos 2'!B67)</f>
        <v>46082</v>
      </c>
      <c r="C67" s="70" t="str">
        <f>IF('Trabajos 2'!F67="","",'Trabajos 2'!F67)</f>
        <v>Nugas S.A.</v>
      </c>
      <c r="D67" s="70" t="str">
        <f>IF('Trabajos 2'!D67="","",'Trabajos 2'!D67)</f>
        <v>Seguimiento de cultivos</v>
      </c>
      <c r="E67" s="70" t="str">
        <f>IF('Trabajos 2'!G67="","",'Trabajos 2'!G67)</f>
        <v>La Alborada</v>
      </c>
      <c r="F67" s="129">
        <f>IF('Trabajos 2'!H67="","",'Trabajos 2'!H67)</f>
        <v>1</v>
      </c>
      <c r="G67" s="84">
        <f>IF('Trabajos 2'!I67="","",'Trabajos 2'!I67)</f>
        <v>200000</v>
      </c>
      <c r="H67" s="84">
        <f>IF('Trabajos 2'!J67="","",'Trabajos 2'!J67)</f>
        <v>200000</v>
      </c>
      <c r="I67" s="107">
        <f>IF('Trabajos 2'!M67="","",'Trabajos 2'!M67)</f>
        <v>160</v>
      </c>
      <c r="J67" s="84">
        <f>IF('Trabajos 2'!N67="","",'Trabajos 2'!N67)</f>
        <v>700</v>
      </c>
      <c r="K67" s="84">
        <f>IF('Trabajos 2'!O67="","",'Trabajos 2'!O67)</f>
        <v>112000</v>
      </c>
      <c r="L67" s="84">
        <f>IF('Trabajos 2'!P67="","",'Trabajos 2'!P67)</f>
        <v>312000</v>
      </c>
    </row>
    <row r="68" spans="2:12" x14ac:dyDescent="0.25">
      <c r="B68" s="106">
        <f>IF('Trabajos 2'!B68="","",'Trabajos 2'!B68)</f>
        <v>46089</v>
      </c>
      <c r="C68" s="70" t="str">
        <f>IF('Trabajos 2'!F68="","",'Trabajos 2'!F68)</f>
        <v>Nugas S.A.</v>
      </c>
      <c r="D68" s="70" t="str">
        <f>IF('Trabajos 2'!D68="","",'Trabajos 2'!D68)</f>
        <v>Seguimiento de cultivos</v>
      </c>
      <c r="E68" s="70" t="str">
        <f>IF('Trabajos 2'!G68="","",'Trabajos 2'!G68)</f>
        <v>La Alborada</v>
      </c>
      <c r="F68" s="129">
        <f>IF('Trabajos 2'!H68="","",'Trabajos 2'!H68)</f>
        <v>1</v>
      </c>
      <c r="G68" s="84">
        <f>IF('Trabajos 2'!I68="","",'Trabajos 2'!I68)</f>
        <v>200000</v>
      </c>
      <c r="H68" s="84">
        <f>IF('Trabajos 2'!J68="","",'Trabajos 2'!J68)</f>
        <v>200000</v>
      </c>
      <c r="I68" s="107">
        <f>IF('Trabajos 2'!M68="","",'Trabajos 2'!M68)</f>
        <v>160</v>
      </c>
      <c r="J68" s="84">
        <f>IF('Trabajos 2'!N68="","",'Trabajos 2'!N68)</f>
        <v>700</v>
      </c>
      <c r="K68" s="84">
        <f>IF('Trabajos 2'!O68="","",'Trabajos 2'!O68)</f>
        <v>112000</v>
      </c>
      <c r="L68" s="84">
        <f>IF('Trabajos 2'!P68="","",'Trabajos 2'!P68)</f>
        <v>312000</v>
      </c>
    </row>
    <row r="69" spans="2:12" x14ac:dyDescent="0.25">
      <c r="B69" s="106">
        <f>IF('Trabajos 2'!B69="","",'Trabajos 2'!B69)</f>
        <v>46093</v>
      </c>
      <c r="C69" s="70" t="str">
        <f>IF('Trabajos 2'!F69="","",'Trabajos 2'!F69)</f>
        <v>Omar Piaggio</v>
      </c>
      <c r="D69" s="70" t="str">
        <f>IF('Trabajos 2'!D69="","",'Trabajos 2'!D69)</f>
        <v>Seguimiento de cultivos</v>
      </c>
      <c r="E69" s="70" t="str">
        <f>IF('Trabajos 2'!G69="","",'Trabajos 2'!G69)</f>
        <v>Costa del Moro</v>
      </c>
      <c r="F69" s="129">
        <f>IF('Trabajos 2'!H69="","",'Trabajos 2'!H69)</f>
        <v>1</v>
      </c>
      <c r="G69" s="84">
        <f>IF('Trabajos 2'!I69="","",'Trabajos 2'!I69)</f>
        <v>150000</v>
      </c>
      <c r="H69" s="84">
        <f>IF('Trabajos 2'!J69="","",'Trabajos 2'!J69)</f>
        <v>150000</v>
      </c>
      <c r="I69" s="107">
        <f>IF('Trabajos 2'!M69="","",'Trabajos 2'!M69)</f>
        <v>225</v>
      </c>
      <c r="J69" s="84">
        <f>IF('Trabajos 2'!N69="","",'Trabajos 2'!N69)</f>
        <v>700</v>
      </c>
      <c r="K69" s="84">
        <f>IF('Trabajos 2'!O69="","",'Trabajos 2'!O69)</f>
        <v>157500</v>
      </c>
      <c r="L69" s="84">
        <f>IF('Trabajos 2'!P69="","",'Trabajos 2'!P69)</f>
        <v>307500</v>
      </c>
    </row>
    <row r="70" spans="2:12" x14ac:dyDescent="0.25">
      <c r="B70" s="106">
        <f>IF('Trabajos 2'!B70="","",'Trabajos 2'!B70)</f>
        <v>46093</v>
      </c>
      <c r="C70" s="70" t="str">
        <f>IF('Trabajos 2'!F70="","",'Trabajos 2'!F70)</f>
        <v>Carlos Fernando Fuertes</v>
      </c>
      <c r="D70" s="70" t="str">
        <f>IF('Trabajos 2'!D70="","",'Trabajos 2'!D70)</f>
        <v>Seguimiento de cultivos</v>
      </c>
      <c r="E70" s="70" t="str">
        <f>IF('Trabajos 2'!G70="","",'Trabajos 2'!G70)</f>
        <v>La Tolderia</v>
      </c>
      <c r="F70" s="129">
        <f>IF('Trabajos 2'!H70="","",'Trabajos 2'!H70)</f>
        <v>0.5</v>
      </c>
      <c r="G70" s="84">
        <f>IF('Trabajos 2'!I70="","",'Trabajos 2'!I70)</f>
        <v>200000</v>
      </c>
      <c r="H70" s="84">
        <f>IF('Trabajos 2'!J70="","",'Trabajos 2'!J70)</f>
        <v>100000</v>
      </c>
      <c r="I70" s="107">
        <f>IF('Trabajos 2'!M70="","",'Trabajos 2'!M70)</f>
        <v>120</v>
      </c>
      <c r="J70" s="84">
        <f>IF('Trabajos 2'!N70="","",'Trabajos 2'!N70)</f>
        <v>700</v>
      </c>
      <c r="K70" s="84">
        <f>IF('Trabajos 2'!O70="","",'Trabajos 2'!O70)</f>
        <v>84000</v>
      </c>
      <c r="L70" s="84">
        <f>IF('Trabajos 2'!P70="","",'Trabajos 2'!P70)</f>
        <v>184000</v>
      </c>
    </row>
    <row r="71" spans="2:12" x14ac:dyDescent="0.25">
      <c r="B71" s="106">
        <f>IF('Trabajos 2'!B71="","",'Trabajos 2'!B71)</f>
        <v>46101</v>
      </c>
      <c r="C71" s="70" t="str">
        <f>IF('Trabajos 2'!F71="","",'Trabajos 2'!F71)</f>
        <v>Nugas S.A.</v>
      </c>
      <c r="D71" s="70" t="str">
        <f>IF('Trabajos 2'!D71="","",'Trabajos 2'!D71)</f>
        <v>Seguimiento de cultivos</v>
      </c>
      <c r="E71" s="70" t="str">
        <f>IF('Trabajos 2'!G71="","",'Trabajos 2'!G71)</f>
        <v>La Alborada</v>
      </c>
      <c r="F71" s="129">
        <f>IF('Trabajos 2'!H71="","",'Trabajos 2'!H71)</f>
        <v>0.7</v>
      </c>
      <c r="G71" s="84">
        <f>IF('Trabajos 2'!I71="","",'Trabajos 2'!I71)</f>
        <v>200000</v>
      </c>
      <c r="H71" s="84">
        <f>IF('Trabajos 2'!J71="","",'Trabajos 2'!J71)</f>
        <v>140000</v>
      </c>
      <c r="I71" s="107">
        <f>IF('Trabajos 2'!M71="","",'Trabajos 2'!M71)</f>
        <v>160</v>
      </c>
      <c r="J71" s="84">
        <f>IF('Trabajos 2'!N71="","",'Trabajos 2'!N71)</f>
        <v>850</v>
      </c>
      <c r="K71" s="84">
        <f>IF('Trabajos 2'!O71="","",'Trabajos 2'!O71)</f>
        <v>136000</v>
      </c>
      <c r="L71" s="84">
        <f>IF('Trabajos 2'!P71="","",'Trabajos 2'!P71)</f>
        <v>276000</v>
      </c>
    </row>
    <row r="72" spans="2:12" x14ac:dyDescent="0.25">
      <c r="B72" s="106">
        <f>IF('Trabajos 2'!B72="","",'Trabajos 2'!B72)</f>
        <v>46105</v>
      </c>
      <c r="C72" s="70" t="str">
        <f>IF('Trabajos 2'!F72="","",'Trabajos 2'!F72)</f>
        <v>Carlos Fernando Fuertes</v>
      </c>
      <c r="D72" s="70" t="str">
        <f>IF('Trabajos 2'!D72="","",'Trabajos 2'!D72)</f>
        <v>Seguimiento de cultivos</v>
      </c>
      <c r="E72" s="70" t="str">
        <f>IF('Trabajos 2'!G72="","",'Trabajos 2'!G72)</f>
        <v>La Tolderia</v>
      </c>
      <c r="F72" s="129">
        <f>IF('Trabajos 2'!H72="","",'Trabajos 2'!H72)</f>
        <v>0.5</v>
      </c>
      <c r="G72" s="84">
        <f>IF('Trabajos 2'!I72="","",'Trabajos 2'!I72)</f>
        <v>200000</v>
      </c>
      <c r="H72" s="84">
        <f>IF('Trabajos 2'!J72="","",'Trabajos 2'!J72)</f>
        <v>100000</v>
      </c>
      <c r="I72" s="107">
        <f>IF('Trabajos 2'!M72="","",'Trabajos 2'!M72)</f>
        <v>120</v>
      </c>
      <c r="J72" s="84">
        <f>IF('Trabajos 2'!N72="","",'Trabajos 2'!N72)</f>
        <v>850</v>
      </c>
      <c r="K72" s="84">
        <f>IF('Trabajos 2'!O72="","",'Trabajos 2'!O72)</f>
        <v>102000</v>
      </c>
      <c r="L72" s="84">
        <f>IF('Trabajos 2'!P72="","",'Trabajos 2'!P72)</f>
        <v>202000</v>
      </c>
    </row>
    <row r="73" spans="2:12" x14ac:dyDescent="0.25">
      <c r="B73" s="106">
        <f>IF('Trabajos 2'!B73="","",'Trabajos 2'!B73)</f>
        <v>46105</v>
      </c>
      <c r="C73" s="70" t="str">
        <f>IF('Trabajos 2'!F73="","",'Trabajos 2'!F73)</f>
        <v>Omar Piaggio</v>
      </c>
      <c r="D73" s="70" t="str">
        <f>IF('Trabajos 2'!D73="","",'Trabajos 2'!D73)</f>
        <v>Seguimiento de cultivos</v>
      </c>
      <c r="E73" s="70" t="str">
        <f>IF('Trabajos 2'!G73="","",'Trabajos 2'!G73)</f>
        <v>Costa del Moro</v>
      </c>
      <c r="F73" s="129">
        <f>IF('Trabajos 2'!H73="","",'Trabajos 2'!H73)</f>
        <v>1</v>
      </c>
      <c r="G73" s="84">
        <f>IF('Trabajos 2'!I73="","",'Trabajos 2'!I73)</f>
        <v>150000</v>
      </c>
      <c r="H73" s="84">
        <f>IF('Trabajos 2'!J73="","",'Trabajos 2'!J73)</f>
        <v>150000</v>
      </c>
      <c r="I73" s="107">
        <f>IF('Trabajos 2'!M73="","",'Trabajos 2'!M73)</f>
        <v>225</v>
      </c>
      <c r="J73" s="84">
        <f>IF('Trabajos 2'!N73="","",'Trabajos 2'!N73)</f>
        <v>850</v>
      </c>
      <c r="K73" s="84">
        <f>IF('Trabajos 2'!O73="","",'Trabajos 2'!O73)</f>
        <v>191250</v>
      </c>
      <c r="L73" s="84">
        <f>IF('Trabajos 2'!P73="","",'Trabajos 2'!P73)</f>
        <v>341250</v>
      </c>
    </row>
    <row r="74" spans="2:12" x14ac:dyDescent="0.25">
      <c r="B74" s="106">
        <f>IF('Trabajos 2'!B74="","",'Trabajos 2'!B74)</f>
        <v>46107</v>
      </c>
      <c r="C74" s="70" t="str">
        <f>IF('Trabajos 2'!F74="","",'Trabajos 2'!F74)</f>
        <v>Omar Piaggio</v>
      </c>
      <c r="D74" s="70" t="str">
        <f>IF('Trabajos 2'!D74="","",'Trabajos 2'!D74)</f>
        <v>Seguimiento de cultivos</v>
      </c>
      <c r="E74" s="70" t="str">
        <f>IF('Trabajos 2'!G74="","",'Trabajos 2'!G74)</f>
        <v>Costa del Moro</v>
      </c>
      <c r="F74" s="129">
        <f>IF('Trabajos 2'!H74="","",'Trabajos 2'!H74)</f>
        <v>1</v>
      </c>
      <c r="G74" s="84">
        <f>IF('Trabajos 2'!I74="","",'Trabajos 2'!I74)</f>
        <v>150000</v>
      </c>
      <c r="H74" s="84">
        <f>IF('Trabajos 2'!J74="","",'Trabajos 2'!J74)</f>
        <v>150000</v>
      </c>
      <c r="I74" s="107">
        <f>IF('Trabajos 2'!M74="","",'Trabajos 2'!M74)</f>
        <v>280</v>
      </c>
      <c r="J74" s="84">
        <f>IF('Trabajos 2'!N74="","",'Trabajos 2'!N74)</f>
        <v>850</v>
      </c>
      <c r="K74" s="84">
        <f>IF('Trabajos 2'!O74="","",'Trabajos 2'!O74)</f>
        <v>238000</v>
      </c>
      <c r="L74" s="84">
        <f>IF('Trabajos 2'!P74="","",'Trabajos 2'!P74)</f>
        <v>388000</v>
      </c>
    </row>
    <row r="75" spans="2:12" x14ac:dyDescent="0.25">
      <c r="B75" s="106">
        <f>IF('Trabajos 2'!B75="","",'Trabajos 2'!B75)</f>
        <v>46108</v>
      </c>
      <c r="C75" s="70" t="str">
        <f>IF('Trabajos 2'!F75="","",'Trabajos 2'!F75)</f>
        <v>Omar Piaggio</v>
      </c>
      <c r="D75" s="70" t="str">
        <f>IF('Trabajos 2'!D75="","",'Trabajos 2'!D75)</f>
        <v>Seguimiento de cultivos</v>
      </c>
      <c r="E75" s="70" t="str">
        <f>IF('Trabajos 2'!G75="","",'Trabajos 2'!G75)</f>
        <v>Costa del Moro</v>
      </c>
      <c r="F75" s="129">
        <f>IF('Trabajos 2'!H75="","",'Trabajos 2'!H75)</f>
        <v>1</v>
      </c>
      <c r="G75" s="84">
        <f>IF('Trabajos 2'!I75="","",'Trabajos 2'!I75)</f>
        <v>150000</v>
      </c>
      <c r="H75" s="84">
        <f>IF('Trabajos 2'!J75="","",'Trabajos 2'!J75)</f>
        <v>150000</v>
      </c>
      <c r="I75" s="107">
        <f>IF('Trabajos 2'!M75="","",'Trabajos 2'!M75)</f>
        <v>280</v>
      </c>
      <c r="J75" s="84">
        <f>IF('Trabajos 2'!N75="","",'Trabajos 2'!N75)</f>
        <v>850</v>
      </c>
      <c r="K75" s="84">
        <f>IF('Trabajos 2'!O75="","",'Trabajos 2'!O75)</f>
        <v>238000</v>
      </c>
      <c r="L75" s="84">
        <f>IF('Trabajos 2'!P75="","",'Trabajos 2'!P75)</f>
        <v>388000</v>
      </c>
    </row>
    <row r="76" spans="2:12" x14ac:dyDescent="0.25">
      <c r="B76" s="106">
        <f>IF('Trabajos 2'!B76="","",'Trabajos 2'!B76)</f>
        <v>46109</v>
      </c>
      <c r="C76" s="70" t="str">
        <f>IF('Trabajos 2'!F76="","",'Trabajos 2'!F76)</f>
        <v>Omar Piaggio</v>
      </c>
      <c r="D76" s="70" t="str">
        <f>IF('Trabajos 2'!D76="","",'Trabajos 2'!D76)</f>
        <v>Seguimiento de cultivos</v>
      </c>
      <c r="E76" s="70" t="str">
        <f>IF('Trabajos 2'!G76="","",'Trabajos 2'!G76)</f>
        <v>Costa del Moro</v>
      </c>
      <c r="F76" s="129">
        <f>IF('Trabajos 2'!H76="","",'Trabajos 2'!H76)</f>
        <v>1</v>
      </c>
      <c r="G76" s="84">
        <f>IF('Trabajos 2'!I76="","",'Trabajos 2'!I76)</f>
        <v>150000</v>
      </c>
      <c r="H76" s="84">
        <f>IF('Trabajos 2'!J76="","",'Trabajos 2'!J76)</f>
        <v>150000</v>
      </c>
      <c r="I76" s="107">
        <f>IF('Trabajos 2'!M76="","",'Trabajos 2'!M76)</f>
        <v>280</v>
      </c>
      <c r="J76" s="84">
        <f>IF('Trabajos 2'!N76="","",'Trabajos 2'!N76)</f>
        <v>850</v>
      </c>
      <c r="K76" s="84">
        <f>IF('Trabajos 2'!O76="","",'Trabajos 2'!O76)</f>
        <v>238000</v>
      </c>
      <c r="L76" s="84">
        <f>IF('Trabajos 2'!P76="","",'Trabajos 2'!P76)</f>
        <v>388000</v>
      </c>
    </row>
    <row r="77" spans="2:12" x14ac:dyDescent="0.25">
      <c r="B77" s="106">
        <f>IF('Trabajos 2'!B77="","",'Trabajos 2'!B77)</f>
        <v>46110</v>
      </c>
      <c r="C77" s="70" t="str">
        <f>IF('Trabajos 2'!F77="","",'Trabajos 2'!F77)</f>
        <v>Omar Piaggio</v>
      </c>
      <c r="D77" s="70" t="str">
        <f>IF('Trabajos 2'!D77="","",'Trabajos 2'!D77)</f>
        <v>Seguimiento de cultivos</v>
      </c>
      <c r="E77" s="70" t="str">
        <f>IF('Trabajos 2'!G77="","",'Trabajos 2'!G77)</f>
        <v>Costa del Moro</v>
      </c>
      <c r="F77" s="129">
        <f>IF('Trabajos 2'!H77="","",'Trabajos 2'!H77)</f>
        <v>1</v>
      </c>
      <c r="G77" s="84">
        <f>IF('Trabajos 2'!I77="","",'Trabajos 2'!I77)</f>
        <v>150000</v>
      </c>
      <c r="H77" s="84">
        <f>IF('Trabajos 2'!J77="","",'Trabajos 2'!J77)</f>
        <v>150000</v>
      </c>
      <c r="I77" s="107">
        <f>IF('Trabajos 2'!M77="","",'Trabajos 2'!M77)</f>
        <v>280</v>
      </c>
      <c r="J77" s="84">
        <f>IF('Trabajos 2'!N77="","",'Trabajos 2'!N77)</f>
        <v>850</v>
      </c>
      <c r="K77" s="84">
        <f>IF('Trabajos 2'!O77="","",'Trabajos 2'!O77)</f>
        <v>238000</v>
      </c>
      <c r="L77" s="84">
        <f>IF('Trabajos 2'!P77="","",'Trabajos 2'!P77)</f>
        <v>388000</v>
      </c>
    </row>
    <row r="78" spans="2:12" x14ac:dyDescent="0.25">
      <c r="B78" s="106">
        <f>IF('Trabajos 2'!B78="","",'Trabajos 2'!B78)</f>
        <v>46111</v>
      </c>
      <c r="C78" s="70" t="str">
        <f>IF('Trabajos 2'!F78="","",'Trabajos 2'!F78)</f>
        <v>Omar Piaggio</v>
      </c>
      <c r="D78" s="70" t="str">
        <f>IF('Trabajos 2'!D78="","",'Trabajos 2'!D78)</f>
        <v>Seguimiento de cultivos</v>
      </c>
      <c r="E78" s="70" t="str">
        <f>IF('Trabajos 2'!G78="","",'Trabajos 2'!G78)</f>
        <v>Costa del Moro</v>
      </c>
      <c r="F78" s="129">
        <f>IF('Trabajos 2'!H78="","",'Trabajos 2'!H78)</f>
        <v>1</v>
      </c>
      <c r="G78" s="84">
        <f>IF('Trabajos 2'!I78="","",'Trabajos 2'!I78)</f>
        <v>150000</v>
      </c>
      <c r="H78" s="84">
        <f>IF('Trabajos 2'!J78="","",'Trabajos 2'!J78)</f>
        <v>150000</v>
      </c>
      <c r="I78" s="107">
        <f>IF('Trabajos 2'!M78="","",'Trabajos 2'!M78)</f>
        <v>280</v>
      </c>
      <c r="J78" s="84">
        <f>IF('Trabajos 2'!N78="","",'Trabajos 2'!N78)</f>
        <v>850</v>
      </c>
      <c r="K78" s="84">
        <f>IF('Trabajos 2'!O78="","",'Trabajos 2'!O78)</f>
        <v>238000</v>
      </c>
      <c r="L78" s="84">
        <f>IF('Trabajos 2'!P78="","",'Trabajos 2'!P78)</f>
        <v>388000</v>
      </c>
    </row>
    <row r="79" spans="2:12" x14ac:dyDescent="0.25">
      <c r="B79" s="106">
        <f>IF('Trabajos 2'!B79="","",'Trabajos 2'!B79)</f>
        <v>46111</v>
      </c>
      <c r="C79" s="70" t="str">
        <f>IF('Trabajos 2'!F79="","",'Trabajos 2'!F79)</f>
        <v>Nugas S.A.</v>
      </c>
      <c r="D79" s="70" t="str">
        <f>IF('Trabajos 2'!D79="","",'Trabajos 2'!D79)</f>
        <v>Seguimiento de cultivos</v>
      </c>
      <c r="E79" s="70" t="str">
        <f>IF('Trabajos 2'!G79="","",'Trabajos 2'!G79)</f>
        <v>La Alborada</v>
      </c>
      <c r="F79" s="129">
        <f>IF('Trabajos 2'!H79="","",'Trabajos 2'!H79)</f>
        <v>0.7</v>
      </c>
      <c r="G79" s="84">
        <f>IF('Trabajos 2'!I79="","",'Trabajos 2'!I79)</f>
        <v>200000</v>
      </c>
      <c r="H79" s="84">
        <f>IF('Trabajos 2'!J79="","",'Trabajos 2'!J79)</f>
        <v>140000</v>
      </c>
      <c r="I79" s="107">
        <f>IF('Trabajos 2'!M79="","",'Trabajos 2'!M79)</f>
        <v>160</v>
      </c>
      <c r="J79" s="84">
        <f>IF('Trabajos 2'!N79="","",'Trabajos 2'!N79)</f>
        <v>850</v>
      </c>
      <c r="K79" s="84">
        <f>IF('Trabajos 2'!O79="","",'Trabajos 2'!O79)</f>
        <v>136000</v>
      </c>
      <c r="L79" s="84">
        <f>IF('Trabajos 2'!P79="","",'Trabajos 2'!P79)</f>
        <v>276000</v>
      </c>
    </row>
    <row r="80" spans="2:12" x14ac:dyDescent="0.25">
      <c r="B80" s="106">
        <f>IF('Trabajos 2'!B80="","",'Trabajos 2'!B80)</f>
        <v>46130</v>
      </c>
      <c r="C80" s="70" t="str">
        <f>IF('Trabajos 2'!F80="","",'Trabajos 2'!F80)</f>
        <v>Nugas S.A.</v>
      </c>
      <c r="D80" s="70" t="str">
        <f>IF('Trabajos 2'!D80="","",'Trabajos 2'!D80)</f>
        <v>Seguimiento de cultivos</v>
      </c>
      <c r="E80" s="70" t="str">
        <f>IF('Trabajos 2'!G80="","",'Trabajos 2'!G80)</f>
        <v>La Alborada</v>
      </c>
      <c r="F80" s="129">
        <f>IF('Trabajos 2'!H80="","",'Trabajos 2'!H80)</f>
        <v>0.7</v>
      </c>
      <c r="G80" s="84">
        <f>IF('Trabajos 2'!I80="","",'Trabajos 2'!I80)</f>
        <v>200000</v>
      </c>
      <c r="H80" s="84">
        <f>IF('Trabajos 2'!J80="","",'Trabajos 2'!J80)</f>
        <v>140000</v>
      </c>
      <c r="I80" s="107">
        <f>IF('Trabajos 2'!M80="","",'Trabajos 2'!M80)</f>
        <v>160</v>
      </c>
      <c r="J80" s="84">
        <f>IF('Trabajos 2'!N80="","",'Trabajos 2'!N80)</f>
        <v>850</v>
      </c>
      <c r="K80" s="84">
        <f>IF('Trabajos 2'!O80="","",'Trabajos 2'!O80)</f>
        <v>136000</v>
      </c>
      <c r="L80" s="84">
        <f>IF('Trabajos 2'!P80="","",'Trabajos 2'!P80)</f>
        <v>276000</v>
      </c>
    </row>
    <row r="81" spans="2:12" x14ac:dyDescent="0.25">
      <c r="B81" s="106">
        <f>IF('Trabajos 2'!B81="","",'Trabajos 2'!B81)</f>
        <v>46137</v>
      </c>
      <c r="C81" s="70" t="str">
        <f>IF('Trabajos 2'!F81="","",'Trabajos 2'!F81)</f>
        <v>Omar Piaggio</v>
      </c>
      <c r="D81" s="70" t="str">
        <f>IF('Trabajos 2'!D81="","",'Trabajos 2'!D81)</f>
        <v>Seguimiento de cultivos</v>
      </c>
      <c r="E81" s="70" t="str">
        <f>IF('Trabajos 2'!G81="","",'Trabajos 2'!G81)</f>
        <v>Costa del Moro</v>
      </c>
      <c r="F81" s="129">
        <f>IF('Trabajos 2'!H81="","",'Trabajos 2'!H81)</f>
        <v>1</v>
      </c>
      <c r="G81" s="84">
        <f>IF('Trabajos 2'!I81="","",'Trabajos 2'!I81)</f>
        <v>150000</v>
      </c>
      <c r="H81" s="84">
        <f>IF('Trabajos 2'!J81="","",'Trabajos 2'!J81)</f>
        <v>150000</v>
      </c>
      <c r="I81" s="107">
        <f>IF('Trabajos 2'!M81="","",'Trabajos 2'!M81)</f>
        <v>225</v>
      </c>
      <c r="J81" s="84">
        <f>IF('Trabajos 2'!N81="","",'Trabajos 2'!N81)</f>
        <v>850</v>
      </c>
      <c r="K81" s="84">
        <f>IF('Trabajos 2'!O81="","",'Trabajos 2'!O81)</f>
        <v>191250</v>
      </c>
      <c r="L81" s="84">
        <f>IF('Trabajos 2'!P81="","",'Trabajos 2'!P81)</f>
        <v>341250</v>
      </c>
    </row>
    <row r="82" spans="2:12" x14ac:dyDescent="0.25">
      <c r="B82" s="106">
        <f>IF('Trabajos 2'!B82="","",'Trabajos 2'!B82)</f>
        <v>46138</v>
      </c>
      <c r="C82" s="70" t="str">
        <f>IF('Trabajos 2'!F82="","",'Trabajos 2'!F82)</f>
        <v>Carlos Fernando Fuertes</v>
      </c>
      <c r="D82" s="70" t="str">
        <f>IF('Trabajos 2'!D82="","",'Trabajos 2'!D82)</f>
        <v>Seguimiento de cultivos</v>
      </c>
      <c r="E82" s="70" t="str">
        <f>IF('Trabajos 2'!G82="","",'Trabajos 2'!G82)</f>
        <v>La Tolderia</v>
      </c>
      <c r="F82" s="129">
        <f>IF('Trabajos 2'!H82="","",'Trabajos 2'!H82)</f>
        <v>0.5</v>
      </c>
      <c r="G82" s="84">
        <f>IF('Trabajos 2'!I82="","",'Trabajos 2'!I82)</f>
        <v>200000</v>
      </c>
      <c r="H82" s="84">
        <f>IF('Trabajos 2'!J82="","",'Trabajos 2'!J82)</f>
        <v>100000</v>
      </c>
      <c r="I82" s="107">
        <f>IF('Trabajos 2'!M82="","",'Trabajos 2'!M82)</f>
        <v>120</v>
      </c>
      <c r="J82" s="84">
        <f>IF('Trabajos 2'!N82="","",'Trabajos 2'!N82)</f>
        <v>850</v>
      </c>
      <c r="K82" s="84">
        <f>IF('Trabajos 2'!O82="","",'Trabajos 2'!O82)</f>
        <v>102000</v>
      </c>
      <c r="L82" s="84">
        <f>IF('Trabajos 2'!P82="","",'Trabajos 2'!P82)</f>
        <v>202000</v>
      </c>
    </row>
    <row r="83" spans="2:12" x14ac:dyDescent="0.25">
      <c r="B83" s="106">
        <f>IF('Trabajos 2'!B83="","",'Trabajos 2'!B83)</f>
        <v>46141</v>
      </c>
      <c r="C83" s="70" t="str">
        <f>IF('Trabajos 2'!F83="","",'Trabajos 2'!F83)</f>
        <v>Nugas S.A.</v>
      </c>
      <c r="D83" s="70" t="str">
        <f>IF('Trabajos 2'!D83="","",'Trabajos 2'!D83)</f>
        <v>Seguimiento de cultivos</v>
      </c>
      <c r="E83" s="70" t="str">
        <f>IF('Trabajos 2'!G83="","",'Trabajos 2'!G83)</f>
        <v>La Alborada</v>
      </c>
      <c r="F83" s="129">
        <f>IF('Trabajos 2'!H83="","",'Trabajos 2'!H83)</f>
        <v>0.7</v>
      </c>
      <c r="G83" s="84">
        <f>IF('Trabajos 2'!I83="","",'Trabajos 2'!I83)</f>
        <v>200000</v>
      </c>
      <c r="H83" s="84">
        <f>IF('Trabajos 2'!J83="","",'Trabajos 2'!J83)</f>
        <v>140000</v>
      </c>
      <c r="I83" s="107">
        <f>IF('Trabajos 2'!M83="","",'Trabajos 2'!M83)</f>
        <v>160</v>
      </c>
      <c r="J83" s="84">
        <f>IF('Trabajos 2'!N83="","",'Trabajos 2'!N83)</f>
        <v>850</v>
      </c>
      <c r="K83" s="84">
        <f>IF('Trabajos 2'!O83="","",'Trabajos 2'!O83)</f>
        <v>136000</v>
      </c>
      <c r="L83" s="84">
        <f>IF('Trabajos 2'!P83="","",'Trabajos 2'!P83)</f>
        <v>276000</v>
      </c>
    </row>
    <row r="84" spans="2:12" x14ac:dyDescent="0.25">
      <c r="B84" s="106">
        <f>IF('Trabajos 2'!B84="","",'Trabajos 2'!B84)</f>
        <v>46172</v>
      </c>
      <c r="C84" s="70" t="str">
        <f>IF('Trabajos 2'!F84="","",'Trabajos 2'!F84)</f>
        <v>AgroFranVis SRL</v>
      </c>
      <c r="D84" s="70" t="str">
        <f>IF('Trabajos 2'!D84="","",'Trabajos 2'!D84)</f>
        <v>Control de cosecha</v>
      </c>
      <c r="E84" s="70" t="str">
        <f>IF('Trabajos 2'!G84="","",'Trabajos 2'!G84)</f>
        <v>Nahuel Ruca</v>
      </c>
      <c r="F84" s="129">
        <f>IF('Trabajos 2'!H84="","",'Trabajos 2'!H84)</f>
        <v>1</v>
      </c>
      <c r="G84" s="84">
        <f>IF('Trabajos 2'!I84="","",'Trabajos 2'!I84)</f>
        <v>124920</v>
      </c>
      <c r="H84" s="84">
        <f>IF('Trabajos 2'!J84="","",'Trabajos 2'!J84)</f>
        <v>124920</v>
      </c>
      <c r="I84" s="107">
        <f>IF('Trabajos 2'!M84="","",'Trabajos 2'!M84)</f>
        <v>210</v>
      </c>
      <c r="J84" s="84">
        <f>IF('Trabajos 2'!N84="","",'Trabajos 2'!N84)</f>
        <v>850</v>
      </c>
      <c r="K84" s="84">
        <f>IF('Trabajos 2'!O84="","",'Trabajos 2'!O84)</f>
        <v>178500</v>
      </c>
      <c r="L84" s="84">
        <f>IF('Trabajos 2'!P84="","",'Trabajos 2'!P84)</f>
        <v>303420</v>
      </c>
    </row>
    <row r="85" spans="2:12" x14ac:dyDescent="0.25">
      <c r="B85" s="106">
        <f>IF('Trabajos 2'!B85="","",'Trabajos 2'!B85)</f>
        <v>46174</v>
      </c>
      <c r="C85" s="70" t="str">
        <f>IF('Trabajos 2'!F85="","",'Trabajos 2'!F85)</f>
        <v>AgroFranVis SRL</v>
      </c>
      <c r="D85" s="70" t="str">
        <f>IF('Trabajos 2'!D85="","",'Trabajos 2'!D85)</f>
        <v>Control de cosecha</v>
      </c>
      <c r="E85" s="70" t="str">
        <f>IF('Trabajos 2'!G85="","",'Trabajos 2'!G85)</f>
        <v>Nahuel Ruca</v>
      </c>
      <c r="F85" s="129">
        <f>IF('Trabajos 2'!H85="","",'Trabajos 2'!H85)</f>
        <v>1</v>
      </c>
      <c r="G85" s="84">
        <f>IF('Trabajos 2'!I85="","",'Trabajos 2'!I85)</f>
        <v>124920</v>
      </c>
      <c r="H85" s="84">
        <f>IF('Trabajos 2'!J85="","",'Trabajos 2'!J85)</f>
        <v>124920</v>
      </c>
      <c r="I85" s="107">
        <f>IF('Trabajos 2'!M85="","",'Trabajos 2'!M85)</f>
        <v>210</v>
      </c>
      <c r="J85" s="84">
        <f>IF('Trabajos 2'!N85="","",'Trabajos 2'!N85)</f>
        <v>850</v>
      </c>
      <c r="K85" s="84">
        <f>IF('Trabajos 2'!O85="","",'Trabajos 2'!O85)</f>
        <v>178500</v>
      </c>
      <c r="L85" s="84">
        <f>IF('Trabajos 2'!P85="","",'Trabajos 2'!P85)</f>
        <v>303420</v>
      </c>
    </row>
    <row r="86" spans="2:12" x14ac:dyDescent="0.25">
      <c r="B86" s="106">
        <f>IF('Trabajos 2'!B86="","",'Trabajos 2'!B86)</f>
        <v>46175</v>
      </c>
      <c r="C86" s="70" t="str">
        <f>IF('Trabajos 2'!F86="","",'Trabajos 2'!F86)</f>
        <v>AgroFranVis SRL</v>
      </c>
      <c r="D86" s="70" t="str">
        <f>IF('Trabajos 2'!D86="","",'Trabajos 2'!D86)</f>
        <v>Control de cosecha</v>
      </c>
      <c r="E86" s="70" t="str">
        <f>IF('Trabajos 2'!G86="","",'Trabajos 2'!G86)</f>
        <v>Nahuel Ruca</v>
      </c>
      <c r="F86" s="129">
        <f>IF('Trabajos 2'!H86="","",'Trabajos 2'!H86)</f>
        <v>1</v>
      </c>
      <c r="G86" s="84">
        <f>IF('Trabajos 2'!I86="","",'Trabajos 2'!I86)</f>
        <v>124920</v>
      </c>
      <c r="H86" s="84">
        <f>IF('Trabajos 2'!J86="","",'Trabajos 2'!J86)</f>
        <v>124920</v>
      </c>
      <c r="I86" s="107">
        <f>IF('Trabajos 2'!M86="","",'Trabajos 2'!M86)</f>
        <v>210</v>
      </c>
      <c r="J86" s="84">
        <f>IF('Trabajos 2'!N86="","",'Trabajos 2'!N86)</f>
        <v>850</v>
      </c>
      <c r="K86" s="84">
        <f>IF('Trabajos 2'!O86="","",'Trabajos 2'!O86)</f>
        <v>178500</v>
      </c>
      <c r="L86" s="84">
        <f>IF('Trabajos 2'!P86="","",'Trabajos 2'!P86)</f>
        <v>303420</v>
      </c>
    </row>
    <row r="87" spans="2:12" x14ac:dyDescent="0.25">
      <c r="B87" s="106">
        <f>IF('Trabajos 2'!B87="","",'Trabajos 2'!B87)</f>
        <v>46176</v>
      </c>
      <c r="C87" s="70" t="str">
        <f>IF('Trabajos 2'!F87="","",'Trabajos 2'!F87)</f>
        <v>AgroFranVis SRL</v>
      </c>
      <c r="D87" s="70" t="str">
        <f>IF('Trabajos 2'!D87="","",'Trabajos 2'!D87)</f>
        <v>Control de cosecha</v>
      </c>
      <c r="E87" s="70" t="str">
        <f>IF('Trabajos 2'!G87="","",'Trabajos 2'!G87)</f>
        <v>Nahuel Ruca</v>
      </c>
      <c r="F87" s="129">
        <f>IF('Trabajos 2'!H87="","",'Trabajos 2'!H87)</f>
        <v>1</v>
      </c>
      <c r="G87" s="84">
        <f>IF('Trabajos 2'!I87="","",'Trabajos 2'!I87)</f>
        <v>124920</v>
      </c>
      <c r="H87" s="84">
        <f>IF('Trabajos 2'!J87="","",'Trabajos 2'!J87)</f>
        <v>124920</v>
      </c>
      <c r="I87" s="107">
        <f>IF('Trabajos 2'!M87="","",'Trabajos 2'!M87)</f>
        <v>210</v>
      </c>
      <c r="J87" s="84">
        <f>IF('Trabajos 2'!N87="","",'Trabajos 2'!N87)</f>
        <v>850</v>
      </c>
      <c r="K87" s="84">
        <f>IF('Trabajos 2'!O87="","",'Trabajos 2'!O87)</f>
        <v>178500</v>
      </c>
      <c r="L87" s="84">
        <f>IF('Trabajos 2'!P87="","",'Trabajos 2'!P87)</f>
        <v>303420</v>
      </c>
    </row>
    <row r="88" spans="2:12" x14ac:dyDescent="0.25">
      <c r="B88" s="106">
        <f>IF('Trabajos 2'!B88="","",'Trabajos 2'!B88)</f>
        <v>46164</v>
      </c>
      <c r="C88" s="70" t="str">
        <f>IF('Trabajos 2'!F88="","",'Trabajos 2'!F88)</f>
        <v>Omar Piaggio</v>
      </c>
      <c r="D88" s="70" t="str">
        <f>IF('Trabajos 2'!D88="","",'Trabajos 2'!D88)</f>
        <v>Seguimiento de cultivos</v>
      </c>
      <c r="E88" s="70" t="str">
        <f>IF('Trabajos 2'!G88="","",'Trabajos 2'!G88)</f>
        <v>Costa del Moro</v>
      </c>
      <c r="F88" s="129">
        <f>IF('Trabajos 2'!H88="","",'Trabajos 2'!H88)</f>
        <v>1</v>
      </c>
      <c r="G88" s="84">
        <f>IF('Trabajos 2'!I88="","",'Trabajos 2'!I88)</f>
        <v>150000</v>
      </c>
      <c r="H88" s="84">
        <f>IF('Trabajos 2'!J88="","",'Trabajos 2'!J88)</f>
        <v>150000</v>
      </c>
      <c r="I88" s="107">
        <f>IF('Trabajos 2'!M88="","",'Trabajos 2'!M88)</f>
        <v>225</v>
      </c>
      <c r="J88" s="84">
        <f>IF('Trabajos 2'!N88="","",'Trabajos 2'!N88)</f>
        <v>850</v>
      </c>
      <c r="K88" s="84">
        <f>IF('Trabajos 2'!O88="","",'Trabajos 2'!O88)</f>
        <v>191250</v>
      </c>
      <c r="L88" s="84">
        <f>IF('Trabajos 2'!P88="","",'Trabajos 2'!P88)</f>
        <v>341250</v>
      </c>
    </row>
    <row r="89" spans="2:12" x14ac:dyDescent="0.25">
      <c r="B89" s="106">
        <f>IF('Trabajos 2'!B89="","",'Trabajos 2'!B89)</f>
        <v>46167</v>
      </c>
      <c r="C89" s="70" t="str">
        <f>IF('Trabajos 2'!F89="","",'Trabajos 2'!F89)</f>
        <v>Omar Piaggio</v>
      </c>
      <c r="D89" s="70" t="str">
        <f>IF('Trabajos 2'!D89="","",'Trabajos 2'!D89)</f>
        <v>Seguimiento de cultivos</v>
      </c>
      <c r="E89" s="70" t="str">
        <f>IF('Trabajos 2'!G89="","",'Trabajos 2'!G89)</f>
        <v>Costa del Moro</v>
      </c>
      <c r="F89" s="129">
        <f>IF('Trabajos 2'!H89="","",'Trabajos 2'!H89)</f>
        <v>1</v>
      </c>
      <c r="G89" s="84">
        <f>IF('Trabajos 2'!I89="","",'Trabajos 2'!I89)</f>
        <v>150000</v>
      </c>
      <c r="H89" s="84">
        <f>IF('Trabajos 2'!J89="","",'Trabajos 2'!J89)</f>
        <v>150000</v>
      </c>
      <c r="I89" s="107">
        <f>IF('Trabajos 2'!M89="","",'Trabajos 2'!M89)</f>
        <v>225</v>
      </c>
      <c r="J89" s="84">
        <f>IF('Trabajos 2'!N89="","",'Trabajos 2'!N89)</f>
        <v>850</v>
      </c>
      <c r="K89" s="84">
        <f>IF('Trabajos 2'!O89="","",'Trabajos 2'!O89)</f>
        <v>191250</v>
      </c>
      <c r="L89" s="84">
        <f>IF('Trabajos 2'!P89="","",'Trabajos 2'!P89)</f>
        <v>341250</v>
      </c>
    </row>
    <row r="90" spans="2:12" x14ac:dyDescent="0.25">
      <c r="B90" s="106">
        <f>IF('Trabajos 2'!B90="","",'Trabajos 2'!B90)</f>
        <v>46169</v>
      </c>
      <c r="C90" s="70" t="str">
        <f>IF('Trabajos 2'!F90="","",'Trabajos 2'!F90)</f>
        <v>Omar Piaggio</v>
      </c>
      <c r="D90" s="70" t="str">
        <f>IF('Trabajos 2'!D90="","",'Trabajos 2'!D90)</f>
        <v>Seguimiento de cultivos</v>
      </c>
      <c r="E90" s="70" t="str">
        <f>IF('Trabajos 2'!G90="","",'Trabajos 2'!G90)</f>
        <v>Costa del Moro</v>
      </c>
      <c r="F90" s="129">
        <f>IF('Trabajos 2'!H90="","",'Trabajos 2'!H90)</f>
        <v>1</v>
      </c>
      <c r="G90" s="84">
        <f>IF('Trabajos 2'!I90="","",'Trabajos 2'!I90)</f>
        <v>150000</v>
      </c>
      <c r="H90" s="84">
        <f>IF('Trabajos 2'!J90="","",'Trabajos 2'!J90)</f>
        <v>150000</v>
      </c>
      <c r="I90" s="107">
        <f>IF('Trabajos 2'!M90="","",'Trabajos 2'!M90)</f>
        <v>225</v>
      </c>
      <c r="J90" s="84">
        <f>IF('Trabajos 2'!N90="","",'Trabajos 2'!N90)</f>
        <v>850</v>
      </c>
      <c r="K90" s="84">
        <f>IF('Trabajos 2'!O90="","",'Trabajos 2'!O90)</f>
        <v>191250</v>
      </c>
      <c r="L90" s="84">
        <f>IF('Trabajos 2'!P90="","",'Trabajos 2'!P90)</f>
        <v>341250</v>
      </c>
    </row>
    <row r="91" spans="2:12" x14ac:dyDescent="0.25">
      <c r="B91" s="106">
        <f>IF('Trabajos 2'!B91="","",'Trabajos 2'!B91)</f>
        <v>46170</v>
      </c>
      <c r="C91" s="70" t="str">
        <f>IF('Trabajos 2'!F91="","",'Trabajos 2'!F91)</f>
        <v>Carlos Fernando Fuertes</v>
      </c>
      <c r="D91" s="70" t="str">
        <f>IF('Trabajos 2'!D91="","",'Trabajos 2'!D91)</f>
        <v>Seguimiento de cultivos</v>
      </c>
      <c r="E91" s="70" t="str">
        <f>IF('Trabajos 2'!G91="","",'Trabajos 2'!G91)</f>
        <v>La Tolderia</v>
      </c>
      <c r="F91" s="129">
        <f>IF('Trabajos 2'!H91="","",'Trabajos 2'!H91)</f>
        <v>1</v>
      </c>
      <c r="G91" s="84">
        <f>IF('Trabajos 2'!I91="","",'Trabajos 2'!I91)</f>
        <v>252000</v>
      </c>
      <c r="H91" s="84">
        <f>IF('Trabajos 2'!J91="","",'Trabajos 2'!J91)</f>
        <v>252000</v>
      </c>
      <c r="I91" s="107">
        <f>IF('Trabajos 2'!M91="","",'Trabajos 2'!M91)</f>
        <v>120</v>
      </c>
      <c r="J91" s="84">
        <f>IF('Trabajos 2'!N91="","",'Trabajos 2'!N91)</f>
        <v>850</v>
      </c>
      <c r="K91" s="84">
        <f>IF('Trabajos 2'!O91="","",'Trabajos 2'!O91)</f>
        <v>102000</v>
      </c>
      <c r="L91" s="84">
        <f>IF('Trabajos 2'!P91="","",'Trabajos 2'!P91)</f>
        <v>354000</v>
      </c>
    </row>
    <row r="92" spans="2:12" x14ac:dyDescent="0.25">
      <c r="B92" s="106">
        <f>IF('Trabajos 2'!B92="","",'Trabajos 2'!B92)</f>
        <v>46171</v>
      </c>
      <c r="C92" s="70" t="str">
        <f>IF('Trabajos 2'!F92="","",'Trabajos 2'!F92)</f>
        <v>Omar Piaggio</v>
      </c>
      <c r="D92" s="70" t="str">
        <f>IF('Trabajos 2'!D92="","",'Trabajos 2'!D92)</f>
        <v>Seguimiento de cultivos</v>
      </c>
      <c r="E92" s="70" t="str">
        <f>IF('Trabajos 2'!G92="","",'Trabajos 2'!G92)</f>
        <v>Costa del Moro</v>
      </c>
      <c r="F92" s="129">
        <f>IF('Trabajos 2'!H92="","",'Trabajos 2'!H92)</f>
        <v>1</v>
      </c>
      <c r="G92" s="84">
        <f>IF('Trabajos 2'!I92="","",'Trabajos 2'!I92)</f>
        <v>150000</v>
      </c>
      <c r="H92" s="84">
        <f>IF('Trabajos 2'!J92="","",'Trabajos 2'!J92)</f>
        <v>150000</v>
      </c>
      <c r="I92" s="107">
        <f>IF('Trabajos 2'!M92="","",'Trabajos 2'!M92)</f>
        <v>280</v>
      </c>
      <c r="J92" s="84">
        <f>IF('Trabajos 2'!N92="","",'Trabajos 2'!N92)</f>
        <v>850</v>
      </c>
      <c r="K92" s="84">
        <f>IF('Trabajos 2'!O92="","",'Trabajos 2'!O92)</f>
        <v>238000</v>
      </c>
      <c r="L92" s="84">
        <f>IF('Trabajos 2'!P92="","",'Trabajos 2'!P92)</f>
        <v>388000</v>
      </c>
    </row>
    <row r="93" spans="2:12" x14ac:dyDescent="0.25">
      <c r="B93" s="106">
        <f>IF('Trabajos 2'!B93="","",'Trabajos 2'!B93)</f>
        <v>46188</v>
      </c>
      <c r="C93" s="70" t="str">
        <f>IF('Trabajos 2'!F93="","",'Trabajos 2'!F93)</f>
        <v>Omar Piaggio</v>
      </c>
      <c r="D93" s="70" t="str">
        <f>IF('Trabajos 2'!D93="","",'Trabajos 2'!D93)</f>
        <v>Seguimiento de cultivos</v>
      </c>
      <c r="E93" s="70" t="str">
        <f>IF('Trabajos 2'!G93="","",'Trabajos 2'!G93)</f>
        <v>Costa del Moro</v>
      </c>
      <c r="F93" s="129">
        <f>IF('Trabajos 2'!H93="","",'Trabajos 2'!H93)</f>
        <v>1</v>
      </c>
      <c r="G93" s="84">
        <f>IF('Trabajos 2'!I93="","",'Trabajos 2'!I93)</f>
        <v>150000</v>
      </c>
      <c r="H93" s="84">
        <f>IF('Trabajos 2'!J93="","",'Trabajos 2'!J93)</f>
        <v>150000</v>
      </c>
      <c r="I93" s="107">
        <f>IF('Trabajos 2'!M93="","",'Trabajos 2'!M93)</f>
        <v>225</v>
      </c>
      <c r="J93" s="84">
        <f>IF('Trabajos 2'!N93="","",'Trabajos 2'!N93)</f>
        <v>850</v>
      </c>
      <c r="K93" s="84">
        <f>IF('Trabajos 2'!O93="","",'Trabajos 2'!O93)</f>
        <v>191250</v>
      </c>
      <c r="L93" s="84">
        <f>IF('Trabajos 2'!P93="","",'Trabajos 2'!P93)</f>
        <v>341250</v>
      </c>
    </row>
    <row r="94" spans="2:12" x14ac:dyDescent="0.25">
      <c r="B94" s="106">
        <f>IF('Trabajos 2'!B94="","",'Trabajos 2'!B94)</f>
        <v>46189</v>
      </c>
      <c r="C94" s="70" t="str">
        <f>IF('Trabajos 2'!F94="","",'Trabajos 2'!F94)</f>
        <v>Carlos Fernando Fuertes</v>
      </c>
      <c r="D94" s="70" t="str">
        <f>IF('Trabajos 2'!D94="","",'Trabajos 2'!D94)</f>
        <v>Seguimiento de cultivos</v>
      </c>
      <c r="E94" s="70" t="str">
        <f>IF('Trabajos 2'!G94="","",'Trabajos 2'!G94)</f>
        <v>La Tolderia</v>
      </c>
      <c r="F94" s="129">
        <f>IF('Trabajos 2'!H94="","",'Trabajos 2'!H94)</f>
        <v>0.5</v>
      </c>
      <c r="G94" s="84">
        <f>IF('Trabajos 2'!I94="","",'Trabajos 2'!I94)</f>
        <v>252000</v>
      </c>
      <c r="H94" s="84">
        <f>IF('Trabajos 2'!J94="","",'Trabajos 2'!J94)</f>
        <v>126000</v>
      </c>
      <c r="I94" s="107">
        <f>IF('Trabajos 2'!M94="","",'Trabajos 2'!M94)</f>
        <v>120</v>
      </c>
      <c r="J94" s="84">
        <f>IF('Trabajos 2'!N94="","",'Trabajos 2'!N94)</f>
        <v>850</v>
      </c>
      <c r="K94" s="84">
        <f>IF('Trabajos 2'!O94="","",'Trabajos 2'!O94)</f>
        <v>102000</v>
      </c>
      <c r="L94" s="84">
        <f>IF('Trabajos 2'!P94="","",'Trabajos 2'!P94)</f>
        <v>228000</v>
      </c>
    </row>
    <row r="95" spans="2:12" x14ac:dyDescent="0.25">
      <c r="B95" s="106">
        <f>IF('Trabajos 2'!B95="","",'Trabajos 2'!B95)</f>
        <v>46193</v>
      </c>
      <c r="C95" s="70" t="str">
        <f>IF('Trabajos 2'!F95="","",'Trabajos 2'!F95)</f>
        <v>Omar Piaggio</v>
      </c>
      <c r="D95" s="70" t="str">
        <f>IF('Trabajos 2'!D95="","",'Trabajos 2'!D95)</f>
        <v>Seguimiento de cultivos</v>
      </c>
      <c r="E95" s="70" t="str">
        <f>IF('Trabajos 2'!G95="","",'Trabajos 2'!G95)</f>
        <v>Costa del Moro</v>
      </c>
      <c r="F95" s="129">
        <f>IF('Trabajos 2'!H95="","",'Trabajos 2'!H95)</f>
        <v>1</v>
      </c>
      <c r="G95" s="84">
        <f>IF('Trabajos 2'!I95="","",'Trabajos 2'!I95)</f>
        <v>150000</v>
      </c>
      <c r="H95" s="84">
        <f>IF('Trabajos 2'!J95="","",'Trabajos 2'!J95)</f>
        <v>150000</v>
      </c>
      <c r="I95" s="107">
        <f>IF('Trabajos 2'!M95="","",'Trabajos 2'!M95)</f>
        <v>225</v>
      </c>
      <c r="J95" s="84">
        <f>IF('Trabajos 2'!N95="","",'Trabajos 2'!N95)</f>
        <v>850</v>
      </c>
      <c r="K95" s="84">
        <f>IF('Trabajos 2'!O95="","",'Trabajos 2'!O95)</f>
        <v>191250</v>
      </c>
      <c r="L95" s="84">
        <f>IF('Trabajos 2'!P95="","",'Trabajos 2'!P95)</f>
        <v>341250</v>
      </c>
    </row>
    <row r="96" spans="2:12" x14ac:dyDescent="0.25">
      <c r="B96" s="106">
        <f>IF('Trabajos 2'!B96="","",'Trabajos 2'!B96)</f>
        <v>46202</v>
      </c>
      <c r="C96" s="70" t="str">
        <f>IF('Trabajos 2'!F96="","",'Trabajos 2'!F96)</f>
        <v>Omar Piaggio</v>
      </c>
      <c r="D96" s="70" t="str">
        <f>IF('Trabajos 2'!D96="","",'Trabajos 2'!D96)</f>
        <v>Seguimiento de cultivos</v>
      </c>
      <c r="E96" s="70" t="str">
        <f>IF('Trabajos 2'!G96="","",'Trabajos 2'!G96)</f>
        <v>Costa del Moro</v>
      </c>
      <c r="F96" s="129">
        <f>IF('Trabajos 2'!H96="","",'Trabajos 2'!H96)</f>
        <v>1</v>
      </c>
      <c r="G96" s="84">
        <f>IF('Trabajos 2'!I96="","",'Trabajos 2'!I96)</f>
        <v>150000</v>
      </c>
      <c r="H96" s="84">
        <f>IF('Trabajos 2'!J96="","",'Trabajos 2'!J96)</f>
        <v>150000</v>
      </c>
      <c r="I96" s="107">
        <f>IF('Trabajos 2'!M96="","",'Trabajos 2'!M96)</f>
        <v>225</v>
      </c>
      <c r="J96" s="84">
        <f>IF('Trabajos 2'!N96="","",'Trabajos 2'!N96)</f>
        <v>850</v>
      </c>
      <c r="K96" s="84">
        <f>IF('Trabajos 2'!O96="","",'Trabajos 2'!O96)</f>
        <v>191250</v>
      </c>
      <c r="L96" s="84">
        <f>IF('Trabajos 2'!P96="","",'Trabajos 2'!P96)</f>
        <v>341250</v>
      </c>
    </row>
    <row r="97" spans="2:12" x14ac:dyDescent="0.25">
      <c r="B97" s="106">
        <f>IF('Trabajos 2'!B97="","",'Trabajos 2'!B97)</f>
        <v>46206</v>
      </c>
      <c r="C97" s="70" t="str">
        <f>IF('Trabajos 2'!F97="","",'Trabajos 2'!F97)</f>
        <v>Carlos Fernando Fuertes</v>
      </c>
      <c r="D97" s="70" t="str">
        <f>IF('Trabajos 2'!D97="","",'Trabajos 2'!D97)</f>
        <v>Seguimiento de cultivos</v>
      </c>
      <c r="E97" s="70" t="str">
        <f>IF('Trabajos 2'!G97="","",'Trabajos 2'!G97)</f>
        <v>La Tolderia</v>
      </c>
      <c r="F97" s="129">
        <f>IF('Trabajos 2'!H97="","",'Trabajos 2'!H97)</f>
        <v>0.5</v>
      </c>
      <c r="G97" s="84">
        <f>IF('Trabajos 2'!I97="","",'Trabajos 2'!I97)</f>
        <v>252000</v>
      </c>
      <c r="H97" s="84">
        <f>IF('Trabajos 2'!J97="","",'Trabajos 2'!J97)</f>
        <v>126000</v>
      </c>
      <c r="I97" s="107">
        <f>IF('Trabajos 2'!M97="","",'Trabajos 2'!M97)</f>
        <v>120</v>
      </c>
      <c r="J97" s="84">
        <f>IF('Trabajos 2'!N97="","",'Trabajos 2'!N97)</f>
        <v>850</v>
      </c>
      <c r="K97" s="84">
        <f>IF('Trabajos 2'!O97="","",'Trabajos 2'!O97)</f>
        <v>102000</v>
      </c>
      <c r="L97" s="84">
        <f>IF('Trabajos 2'!P97="","",'Trabajos 2'!P97)</f>
        <v>228000</v>
      </c>
    </row>
    <row r="98" spans="2:12" x14ac:dyDescent="0.25">
      <c r="B98" s="106">
        <f>IF('Trabajos 2'!B98="","",'Trabajos 2'!B98)</f>
        <v>46219</v>
      </c>
      <c r="C98" s="70" t="str">
        <f>IF('Trabajos 2'!F98="","",'Trabajos 2'!F98)</f>
        <v>Carlos Fernando Fuertes</v>
      </c>
      <c r="D98" s="70" t="str">
        <f>IF('Trabajos 2'!D98="","",'Trabajos 2'!D98)</f>
        <v>Seguimiento de cultivos</v>
      </c>
      <c r="E98" s="70" t="str">
        <f>IF('Trabajos 2'!G98="","",'Trabajos 2'!G98)</f>
        <v>La Tolderia</v>
      </c>
      <c r="F98" s="129">
        <f>IF('Trabajos 2'!H98="","",'Trabajos 2'!H98)</f>
        <v>0.5</v>
      </c>
      <c r="G98" s="84">
        <f>IF('Trabajos 2'!I98="","",'Trabajos 2'!I98)</f>
        <v>252000</v>
      </c>
      <c r="H98" s="84">
        <f>IF('Trabajos 2'!J98="","",'Trabajos 2'!J98)</f>
        <v>126000</v>
      </c>
      <c r="I98" s="107">
        <f>IF('Trabajos 2'!M98="","",'Trabajos 2'!M98)</f>
        <v>120</v>
      </c>
      <c r="J98" s="84">
        <f>IF('Trabajos 2'!N98="","",'Trabajos 2'!N98)</f>
        <v>850</v>
      </c>
      <c r="K98" s="84">
        <f>IF('Trabajos 2'!O98="","",'Trabajos 2'!O98)</f>
        <v>102000</v>
      </c>
      <c r="L98" s="84">
        <f>IF('Trabajos 2'!P98="","",'Trabajos 2'!P98)</f>
        <v>228000</v>
      </c>
    </row>
    <row r="99" spans="2:12" x14ac:dyDescent="0.25">
      <c r="B99" s="106">
        <f>IF('Trabajos 2'!B99="","",'Trabajos 2'!B99)</f>
        <v>46219</v>
      </c>
      <c r="C99" s="70" t="str">
        <f>IF('Trabajos 2'!F99="","",'Trabajos 2'!F99)</f>
        <v>Omar Piaggio</v>
      </c>
      <c r="D99" s="70" t="str">
        <f>IF('Trabajos 2'!D99="","",'Trabajos 2'!D99)</f>
        <v>Seguimiento de cultivos</v>
      </c>
      <c r="E99" s="70" t="str">
        <f>IF('Trabajos 2'!G99="","",'Trabajos 2'!G99)</f>
        <v>Costa del Moro</v>
      </c>
      <c r="F99" s="129">
        <f>IF('Trabajos 2'!H99="","",'Trabajos 2'!H99)</f>
        <v>1</v>
      </c>
      <c r="G99" s="84">
        <f>IF('Trabajos 2'!I99="","",'Trabajos 2'!I99)</f>
        <v>150000</v>
      </c>
      <c r="H99" s="84">
        <f>IF('Trabajos 2'!J99="","",'Trabajos 2'!J99)</f>
        <v>150000</v>
      </c>
      <c r="I99" s="107">
        <f>IF('Trabajos 2'!M99="","",'Trabajos 2'!M99)</f>
        <v>225</v>
      </c>
      <c r="J99" s="84">
        <f>IF('Trabajos 2'!N99="","",'Trabajos 2'!N99)</f>
        <v>850</v>
      </c>
      <c r="K99" s="84">
        <f>IF('Trabajos 2'!O99="","",'Trabajos 2'!O99)</f>
        <v>191250</v>
      </c>
      <c r="L99" s="84">
        <f>IF('Trabajos 2'!P99="","",'Trabajos 2'!P99)</f>
        <v>341250</v>
      </c>
    </row>
    <row r="100" spans="2:12" x14ac:dyDescent="0.25">
      <c r="B100" s="106" t="str">
        <f>IF('Trabajos 2'!B100="","",'Trabajos 2'!B100)</f>
        <v/>
      </c>
      <c r="C100" s="70" t="str">
        <f>IF('Trabajos 2'!F100="","",'Trabajos 2'!F100)</f>
        <v/>
      </c>
      <c r="D100" s="70" t="str">
        <f>IF('Trabajos 2'!D100="","",'Trabajos 2'!D100)</f>
        <v/>
      </c>
      <c r="E100" s="70" t="str">
        <f>IF('Trabajos 2'!G100="","",'Trabajos 2'!G100)</f>
        <v/>
      </c>
      <c r="F100" s="129" t="str">
        <f>IF('Trabajos 2'!H100="","",'Trabajos 2'!H100)</f>
        <v/>
      </c>
      <c r="G100" s="84" t="str">
        <f>IF('Trabajos 2'!I100="","",'Trabajos 2'!I100)</f>
        <v/>
      </c>
      <c r="H100" s="84" t="str">
        <f>IF('Trabajos 2'!J100="","",'Trabajos 2'!J100)</f>
        <v/>
      </c>
      <c r="I100" s="107" t="str">
        <f>IF('Trabajos 2'!M100="","",'Trabajos 2'!M100)</f>
        <v/>
      </c>
      <c r="J100" s="84" t="str">
        <f>IF('Trabajos 2'!N100="","",'Trabajos 2'!N100)</f>
        <v/>
      </c>
      <c r="K100" s="84" t="str">
        <f>IF('Trabajos 2'!O100="","",'Trabajos 2'!O100)</f>
        <v/>
      </c>
      <c r="L100" s="84" t="str">
        <f>IF('Trabajos 2'!P100="","",'Trabajos 2'!P100)</f>
        <v/>
      </c>
    </row>
    <row r="101" spans="2:12" x14ac:dyDescent="0.25">
      <c r="B101" s="106" t="str">
        <f>IF('Trabajos 2'!B101="","",'Trabajos 2'!B101)</f>
        <v/>
      </c>
      <c r="C101" s="70" t="str">
        <f>IF('Trabajos 2'!F101="","",'Trabajos 2'!F101)</f>
        <v/>
      </c>
      <c r="D101" s="70" t="str">
        <f>IF('Trabajos 2'!D101="","",'Trabajos 2'!D101)</f>
        <v/>
      </c>
      <c r="E101" s="70" t="str">
        <f>IF('Trabajos 2'!G101="","",'Trabajos 2'!G101)</f>
        <v/>
      </c>
      <c r="F101" s="129" t="str">
        <f>IF('Trabajos 2'!H101="","",'Trabajos 2'!H101)</f>
        <v/>
      </c>
      <c r="G101" s="84" t="str">
        <f>IF('Trabajos 2'!I101="","",'Trabajos 2'!I101)</f>
        <v/>
      </c>
      <c r="H101" s="84" t="str">
        <f>IF('Trabajos 2'!J101="","",'Trabajos 2'!J101)</f>
        <v/>
      </c>
      <c r="I101" s="107" t="str">
        <f>IF('Trabajos 2'!M101="","",'Trabajos 2'!M101)</f>
        <v/>
      </c>
      <c r="J101" s="84" t="str">
        <f>IF('Trabajos 2'!N101="","",'Trabajos 2'!N101)</f>
        <v/>
      </c>
      <c r="K101" s="84" t="str">
        <f>IF('Trabajos 2'!O101="","",'Trabajos 2'!O101)</f>
        <v/>
      </c>
      <c r="L101" s="84" t="str">
        <f>IF('Trabajos 2'!P101="","",'Trabajos 2'!P101)</f>
        <v/>
      </c>
    </row>
    <row r="102" spans="2:12" x14ac:dyDescent="0.25">
      <c r="B102" s="106" t="str">
        <f>IF('Trabajos 2'!B102="","",'Trabajos 2'!B102)</f>
        <v/>
      </c>
      <c r="C102" s="70" t="str">
        <f>IF('Trabajos 2'!F102="","",'Trabajos 2'!F102)</f>
        <v/>
      </c>
      <c r="D102" s="70" t="str">
        <f>IF('Trabajos 2'!D102="","",'Trabajos 2'!D102)</f>
        <v/>
      </c>
      <c r="E102" s="70" t="str">
        <f>IF('Trabajos 2'!G102="","",'Trabajos 2'!G102)</f>
        <v/>
      </c>
      <c r="F102" s="129" t="str">
        <f>IF('Trabajos 2'!H102="","",'Trabajos 2'!H102)</f>
        <v/>
      </c>
      <c r="G102" s="84" t="str">
        <f>IF('Trabajos 2'!I102="","",'Trabajos 2'!I102)</f>
        <v/>
      </c>
      <c r="H102" s="84" t="str">
        <f>IF('Trabajos 2'!J102="","",'Trabajos 2'!J102)</f>
        <v/>
      </c>
      <c r="I102" s="107" t="str">
        <f>IF('Trabajos 2'!M102="","",'Trabajos 2'!M102)</f>
        <v/>
      </c>
      <c r="J102" s="84" t="str">
        <f>IF('Trabajos 2'!N102="","",'Trabajos 2'!N102)</f>
        <v/>
      </c>
      <c r="K102" s="84" t="str">
        <f>IF('Trabajos 2'!O102="","",'Trabajos 2'!O102)</f>
        <v/>
      </c>
      <c r="L102" s="84" t="str">
        <f>IF('Trabajos 2'!P102="","",'Trabajos 2'!P102)</f>
        <v/>
      </c>
    </row>
    <row r="103" spans="2:12" x14ac:dyDescent="0.25">
      <c r="B103" s="106" t="str">
        <f>IF('Trabajos 2'!B103="","",'Trabajos 2'!B103)</f>
        <v/>
      </c>
      <c r="C103" s="70" t="str">
        <f>IF('Trabajos 2'!F103="","",'Trabajos 2'!F103)</f>
        <v/>
      </c>
      <c r="D103" s="70" t="str">
        <f>IF('Trabajos 2'!D103="","",'Trabajos 2'!D103)</f>
        <v/>
      </c>
      <c r="E103" s="70" t="str">
        <f>IF('Trabajos 2'!G103="","",'Trabajos 2'!G103)</f>
        <v/>
      </c>
      <c r="F103" s="129" t="str">
        <f>IF('Trabajos 2'!H103="","",'Trabajos 2'!H103)</f>
        <v/>
      </c>
      <c r="G103" s="84" t="str">
        <f>IF('Trabajos 2'!I103="","",'Trabajos 2'!I103)</f>
        <v/>
      </c>
      <c r="H103" s="84" t="str">
        <f>IF('Trabajos 2'!J103="","",'Trabajos 2'!J103)</f>
        <v/>
      </c>
      <c r="I103" s="107" t="str">
        <f>IF('Trabajos 2'!M103="","",'Trabajos 2'!M103)</f>
        <v/>
      </c>
      <c r="J103" s="84" t="str">
        <f>IF('Trabajos 2'!N103="","",'Trabajos 2'!N103)</f>
        <v/>
      </c>
      <c r="K103" s="84" t="str">
        <f>IF('Trabajos 2'!O103="","",'Trabajos 2'!O103)</f>
        <v/>
      </c>
      <c r="L103" s="84" t="str">
        <f>IF('Trabajos 2'!P103="","",'Trabajos 2'!P103)</f>
        <v/>
      </c>
    </row>
    <row r="104" spans="2:12" x14ac:dyDescent="0.25">
      <c r="B104" s="106" t="str">
        <f>IF('Trabajos 2'!B104="","",'Trabajos 2'!B104)</f>
        <v/>
      </c>
      <c r="C104" s="70" t="str">
        <f>IF('Trabajos 2'!F104="","",'Trabajos 2'!F104)</f>
        <v/>
      </c>
      <c r="D104" s="70" t="str">
        <f>IF('Trabajos 2'!D104="","",'Trabajos 2'!D104)</f>
        <v/>
      </c>
      <c r="E104" s="70" t="str">
        <f>IF('Trabajos 2'!G104="","",'Trabajos 2'!G104)</f>
        <v/>
      </c>
      <c r="F104" s="129" t="str">
        <f>IF('Trabajos 2'!H104="","",'Trabajos 2'!H104)</f>
        <v/>
      </c>
      <c r="G104" s="84" t="str">
        <f>IF('Trabajos 2'!I104="","",'Trabajos 2'!I104)</f>
        <v/>
      </c>
      <c r="H104" s="84" t="str">
        <f>IF('Trabajos 2'!J104="","",'Trabajos 2'!J104)</f>
        <v/>
      </c>
      <c r="I104" s="107" t="str">
        <f>IF('Trabajos 2'!M104="","",'Trabajos 2'!M104)</f>
        <v/>
      </c>
      <c r="J104" s="84" t="str">
        <f>IF('Trabajos 2'!N104="","",'Trabajos 2'!N104)</f>
        <v/>
      </c>
      <c r="K104" s="84" t="str">
        <f>IF('Trabajos 2'!O104="","",'Trabajos 2'!O104)</f>
        <v/>
      </c>
      <c r="L104" s="84" t="str">
        <f>IF('Trabajos 2'!P104="","",'Trabajos 2'!P104)</f>
        <v/>
      </c>
    </row>
    <row r="105" spans="2:12" x14ac:dyDescent="0.25">
      <c r="B105" s="106" t="str">
        <f>IF('Trabajos 2'!B105="","",'Trabajos 2'!B105)</f>
        <v/>
      </c>
      <c r="C105" s="70" t="str">
        <f>IF('Trabajos 2'!F105="","",'Trabajos 2'!F105)</f>
        <v/>
      </c>
      <c r="D105" s="70" t="str">
        <f>IF('Trabajos 2'!D105="","",'Trabajos 2'!D105)</f>
        <v/>
      </c>
      <c r="E105" s="70" t="str">
        <f>IF('Trabajos 2'!G105="","",'Trabajos 2'!G105)</f>
        <v/>
      </c>
      <c r="F105" s="129" t="str">
        <f>IF('Trabajos 2'!H105="","",'Trabajos 2'!H105)</f>
        <v/>
      </c>
      <c r="G105" s="84" t="str">
        <f>IF('Trabajos 2'!I105="","",'Trabajos 2'!I105)</f>
        <v/>
      </c>
      <c r="H105" s="84" t="str">
        <f>IF('Trabajos 2'!J105="","",'Trabajos 2'!J105)</f>
        <v/>
      </c>
      <c r="I105" s="107" t="str">
        <f>IF('Trabajos 2'!M105="","",'Trabajos 2'!M105)</f>
        <v/>
      </c>
      <c r="J105" s="84" t="str">
        <f>IF('Trabajos 2'!N105="","",'Trabajos 2'!N105)</f>
        <v/>
      </c>
      <c r="K105" s="84" t="str">
        <f>IF('Trabajos 2'!O105="","",'Trabajos 2'!O105)</f>
        <v/>
      </c>
      <c r="L105" s="84" t="str">
        <f>IF('Trabajos 2'!P105="","",'Trabajos 2'!P105)</f>
        <v/>
      </c>
    </row>
    <row r="106" spans="2:12" x14ac:dyDescent="0.25">
      <c r="B106" s="106" t="str">
        <f>IF('Trabajos 2'!B106="","",'Trabajos 2'!B106)</f>
        <v/>
      </c>
      <c r="C106" s="70" t="str">
        <f>IF('Trabajos 2'!F106="","",'Trabajos 2'!F106)</f>
        <v/>
      </c>
      <c r="D106" s="70" t="str">
        <f>IF('Trabajos 2'!D106="","",'Trabajos 2'!D106)</f>
        <v/>
      </c>
      <c r="E106" s="70" t="str">
        <f>IF('Trabajos 2'!G106="","",'Trabajos 2'!G106)</f>
        <v/>
      </c>
      <c r="F106" s="129" t="str">
        <f>IF('Trabajos 2'!H106="","",'Trabajos 2'!H106)</f>
        <v/>
      </c>
      <c r="G106" s="84" t="str">
        <f>IF('Trabajos 2'!I106="","",'Trabajos 2'!I106)</f>
        <v/>
      </c>
      <c r="H106" s="84" t="str">
        <f>IF('Trabajos 2'!J106="","",'Trabajos 2'!J106)</f>
        <v/>
      </c>
      <c r="I106" s="107" t="str">
        <f>IF('Trabajos 2'!M106="","",'Trabajos 2'!M106)</f>
        <v/>
      </c>
      <c r="J106" s="84" t="str">
        <f>IF('Trabajos 2'!N106="","",'Trabajos 2'!N106)</f>
        <v/>
      </c>
      <c r="K106" s="84" t="str">
        <f>IF('Trabajos 2'!O106="","",'Trabajos 2'!O106)</f>
        <v/>
      </c>
      <c r="L106" s="84" t="str">
        <f>IF('Trabajos 2'!P106="","",'Trabajos 2'!P106)</f>
        <v/>
      </c>
    </row>
    <row r="107" spans="2:12" x14ac:dyDescent="0.25">
      <c r="B107" s="106" t="str">
        <f>IF('Trabajos 2'!B107="","",'Trabajos 2'!B107)</f>
        <v/>
      </c>
      <c r="C107" s="70" t="str">
        <f>IF('Trabajos 2'!F107="","",'Trabajos 2'!F107)</f>
        <v/>
      </c>
      <c r="D107" s="70" t="str">
        <f>IF('Trabajos 2'!D107="","",'Trabajos 2'!D107)</f>
        <v/>
      </c>
      <c r="E107" s="70" t="str">
        <f>IF('Trabajos 2'!G107="","",'Trabajos 2'!G107)</f>
        <v/>
      </c>
      <c r="F107" s="129" t="str">
        <f>IF('Trabajos 2'!H107="","",'Trabajos 2'!H107)</f>
        <v/>
      </c>
      <c r="G107" s="84" t="str">
        <f>IF('Trabajos 2'!I107="","",'Trabajos 2'!I107)</f>
        <v/>
      </c>
      <c r="H107" s="84" t="str">
        <f>IF('Trabajos 2'!J107="","",'Trabajos 2'!J107)</f>
        <v/>
      </c>
      <c r="I107" s="107" t="str">
        <f>IF('Trabajos 2'!M107="","",'Trabajos 2'!M107)</f>
        <v/>
      </c>
      <c r="J107" s="84" t="str">
        <f>IF('Trabajos 2'!N107="","",'Trabajos 2'!N107)</f>
        <v/>
      </c>
      <c r="K107" s="84" t="str">
        <f>IF('Trabajos 2'!O107="","",'Trabajos 2'!O107)</f>
        <v/>
      </c>
      <c r="L107" s="84" t="str">
        <f>IF('Trabajos 2'!P107="","",'Trabajos 2'!P107)</f>
        <v/>
      </c>
    </row>
    <row r="108" spans="2:12" x14ac:dyDescent="0.25">
      <c r="B108" s="106" t="str">
        <f>IF('Trabajos 2'!B108="","",'Trabajos 2'!B108)</f>
        <v/>
      </c>
      <c r="C108" s="70" t="str">
        <f>IF('Trabajos 2'!F108="","",'Trabajos 2'!F108)</f>
        <v/>
      </c>
      <c r="D108" s="70" t="str">
        <f>IF('Trabajos 2'!D108="","",'Trabajos 2'!D108)</f>
        <v/>
      </c>
      <c r="E108" s="70" t="str">
        <f>IF('Trabajos 2'!G108="","",'Trabajos 2'!G108)</f>
        <v/>
      </c>
      <c r="F108" s="129" t="str">
        <f>IF('Trabajos 2'!H108="","",'Trabajos 2'!H108)</f>
        <v/>
      </c>
      <c r="G108" s="84" t="str">
        <f>IF('Trabajos 2'!I108="","",'Trabajos 2'!I108)</f>
        <v/>
      </c>
      <c r="H108" s="84" t="str">
        <f>IF('Trabajos 2'!J108="","",'Trabajos 2'!J108)</f>
        <v/>
      </c>
      <c r="I108" s="107" t="str">
        <f>IF('Trabajos 2'!M108="","",'Trabajos 2'!M108)</f>
        <v/>
      </c>
      <c r="J108" s="84" t="str">
        <f>IF('Trabajos 2'!N108="","",'Trabajos 2'!N108)</f>
        <v/>
      </c>
      <c r="K108" s="84" t="str">
        <f>IF('Trabajos 2'!O108="","",'Trabajos 2'!O108)</f>
        <v/>
      </c>
      <c r="L108" s="84" t="str">
        <f>IF('Trabajos 2'!P108="","",'Trabajos 2'!P108)</f>
        <v/>
      </c>
    </row>
    <row r="109" spans="2:12" x14ac:dyDescent="0.25">
      <c r="B109" s="106" t="str">
        <f>IF('Trabajos 2'!B109="","",'Trabajos 2'!B109)</f>
        <v/>
      </c>
      <c r="C109" s="70" t="str">
        <f>IF('Trabajos 2'!F109="","",'Trabajos 2'!F109)</f>
        <v/>
      </c>
      <c r="D109" s="70" t="str">
        <f>IF('Trabajos 2'!D109="","",'Trabajos 2'!D109)</f>
        <v/>
      </c>
      <c r="E109" s="70" t="str">
        <f>IF('Trabajos 2'!G109="","",'Trabajos 2'!G109)</f>
        <v/>
      </c>
      <c r="F109" s="129" t="str">
        <f>IF('Trabajos 2'!H109="","",'Trabajos 2'!H109)</f>
        <v/>
      </c>
      <c r="G109" s="84" t="str">
        <f>IF('Trabajos 2'!I109="","",'Trabajos 2'!I109)</f>
        <v/>
      </c>
      <c r="H109" s="84" t="str">
        <f>IF('Trabajos 2'!J109="","",'Trabajos 2'!J109)</f>
        <v/>
      </c>
      <c r="I109" s="107" t="str">
        <f>IF('Trabajos 2'!M109="","",'Trabajos 2'!M109)</f>
        <v/>
      </c>
      <c r="J109" s="84" t="str">
        <f>IF('Trabajos 2'!N109="","",'Trabajos 2'!N109)</f>
        <v/>
      </c>
      <c r="K109" s="84" t="str">
        <f>IF('Trabajos 2'!O109="","",'Trabajos 2'!O109)</f>
        <v/>
      </c>
      <c r="L109" s="84" t="str">
        <f>IF('Trabajos 2'!P109="","",'Trabajos 2'!P109)</f>
        <v/>
      </c>
    </row>
    <row r="110" spans="2:12" x14ac:dyDescent="0.25">
      <c r="B110" s="106" t="str">
        <f>IF('Trabajos 2'!B110="","",'Trabajos 2'!B110)</f>
        <v/>
      </c>
      <c r="C110" s="70" t="str">
        <f>IF('Trabajos 2'!F110="","",'Trabajos 2'!F110)</f>
        <v/>
      </c>
      <c r="D110" s="70" t="str">
        <f>IF('Trabajos 2'!D110="","",'Trabajos 2'!D110)</f>
        <v/>
      </c>
      <c r="E110" s="70" t="str">
        <f>IF('Trabajos 2'!G110="","",'Trabajos 2'!G110)</f>
        <v/>
      </c>
      <c r="F110" s="129" t="str">
        <f>IF('Trabajos 2'!H110="","",'Trabajos 2'!H110)</f>
        <v/>
      </c>
      <c r="G110" s="84" t="str">
        <f>IF('Trabajos 2'!I110="","",'Trabajos 2'!I110)</f>
        <v/>
      </c>
      <c r="H110" s="84" t="str">
        <f>IF('Trabajos 2'!J110="","",'Trabajos 2'!J110)</f>
        <v/>
      </c>
      <c r="I110" s="107" t="str">
        <f>IF('Trabajos 2'!M110="","",'Trabajos 2'!M110)</f>
        <v/>
      </c>
      <c r="J110" s="84" t="str">
        <f>IF('Trabajos 2'!N110="","",'Trabajos 2'!N110)</f>
        <v/>
      </c>
      <c r="K110" s="84" t="str">
        <f>IF('Trabajos 2'!O110="","",'Trabajos 2'!O110)</f>
        <v/>
      </c>
      <c r="L110" s="84" t="str">
        <f>IF('Trabajos 2'!P110="","",'Trabajos 2'!P110)</f>
        <v/>
      </c>
    </row>
    <row r="111" spans="2:12" x14ac:dyDescent="0.25">
      <c r="B111" s="106" t="str">
        <f>IF('Trabajos 2'!B111="","",'Trabajos 2'!B111)</f>
        <v/>
      </c>
      <c r="C111" s="70" t="str">
        <f>IF('Trabajos 2'!F111="","",'Trabajos 2'!F111)</f>
        <v/>
      </c>
      <c r="D111" s="70" t="str">
        <f>IF('Trabajos 2'!D111="","",'Trabajos 2'!D111)</f>
        <v/>
      </c>
      <c r="E111" s="70" t="str">
        <f>IF('Trabajos 2'!G111="","",'Trabajos 2'!G111)</f>
        <v/>
      </c>
      <c r="F111" s="129" t="str">
        <f>IF('Trabajos 2'!H111="","",'Trabajos 2'!H111)</f>
        <v/>
      </c>
      <c r="G111" s="84" t="str">
        <f>IF('Trabajos 2'!I111="","",'Trabajos 2'!I111)</f>
        <v/>
      </c>
      <c r="H111" s="84" t="str">
        <f>IF('Trabajos 2'!J111="","",'Trabajos 2'!J111)</f>
        <v/>
      </c>
      <c r="I111" s="107" t="str">
        <f>IF('Trabajos 2'!M111="","",'Trabajos 2'!M111)</f>
        <v/>
      </c>
      <c r="J111" s="84" t="str">
        <f>IF('Trabajos 2'!N111="","",'Trabajos 2'!N111)</f>
        <v/>
      </c>
      <c r="K111" s="84" t="str">
        <f>IF('Trabajos 2'!O111="","",'Trabajos 2'!O111)</f>
        <v/>
      </c>
      <c r="L111" s="84" t="str">
        <f>IF('Trabajos 2'!P111="","",'Trabajos 2'!P111)</f>
        <v/>
      </c>
    </row>
    <row r="112" spans="2:12" x14ac:dyDescent="0.25">
      <c r="B112" s="106" t="str">
        <f>IF('Trabajos 2'!B112="","",'Trabajos 2'!B112)</f>
        <v/>
      </c>
      <c r="C112" s="70" t="str">
        <f>IF('Trabajos 2'!F112="","",'Trabajos 2'!F112)</f>
        <v/>
      </c>
      <c r="D112" s="70" t="str">
        <f>IF('Trabajos 2'!D112="","",'Trabajos 2'!D112)</f>
        <v/>
      </c>
      <c r="E112" s="70" t="str">
        <f>IF('Trabajos 2'!G112="","",'Trabajos 2'!G112)</f>
        <v/>
      </c>
      <c r="F112" s="129" t="str">
        <f>IF('Trabajos 2'!H112="","",'Trabajos 2'!H112)</f>
        <v/>
      </c>
      <c r="G112" s="84" t="str">
        <f>IF('Trabajos 2'!I112="","",'Trabajos 2'!I112)</f>
        <v/>
      </c>
      <c r="H112" s="84" t="str">
        <f>IF('Trabajos 2'!J112="","",'Trabajos 2'!J112)</f>
        <v/>
      </c>
      <c r="I112" s="107" t="str">
        <f>IF('Trabajos 2'!M112="","",'Trabajos 2'!M112)</f>
        <v/>
      </c>
      <c r="J112" s="84" t="str">
        <f>IF('Trabajos 2'!N112="","",'Trabajos 2'!N112)</f>
        <v/>
      </c>
      <c r="K112" s="84" t="str">
        <f>IF('Trabajos 2'!O112="","",'Trabajos 2'!O112)</f>
        <v/>
      </c>
      <c r="L112" s="84" t="str">
        <f>IF('Trabajos 2'!P112="","",'Trabajos 2'!P112)</f>
        <v/>
      </c>
    </row>
    <row r="113" spans="2:12" x14ac:dyDescent="0.25">
      <c r="B113" s="106" t="str">
        <f>IF('Trabajos 2'!B113="","",'Trabajos 2'!B113)</f>
        <v/>
      </c>
      <c r="C113" s="70" t="str">
        <f>IF('Trabajos 2'!F113="","",'Trabajos 2'!F113)</f>
        <v/>
      </c>
      <c r="D113" s="70" t="str">
        <f>IF('Trabajos 2'!D113="","",'Trabajos 2'!D113)</f>
        <v/>
      </c>
      <c r="E113" s="70" t="str">
        <f>IF('Trabajos 2'!G113="","",'Trabajos 2'!G113)</f>
        <v/>
      </c>
      <c r="F113" s="129" t="str">
        <f>IF('Trabajos 2'!H113="","",'Trabajos 2'!H113)</f>
        <v/>
      </c>
      <c r="G113" s="84" t="str">
        <f>IF('Trabajos 2'!I113="","",'Trabajos 2'!I113)</f>
        <v/>
      </c>
      <c r="H113" s="84" t="str">
        <f>IF('Trabajos 2'!J113="","",'Trabajos 2'!J113)</f>
        <v/>
      </c>
      <c r="I113" s="107" t="str">
        <f>IF('Trabajos 2'!M113="","",'Trabajos 2'!M113)</f>
        <v/>
      </c>
      <c r="J113" s="84" t="str">
        <f>IF('Trabajos 2'!N113="","",'Trabajos 2'!N113)</f>
        <v/>
      </c>
      <c r="K113" s="84" t="str">
        <f>IF('Trabajos 2'!O113="","",'Trabajos 2'!O113)</f>
        <v/>
      </c>
      <c r="L113" s="84" t="str">
        <f>IF('Trabajos 2'!P113="","",'Trabajos 2'!P113)</f>
        <v/>
      </c>
    </row>
    <row r="114" spans="2:12" x14ac:dyDescent="0.25">
      <c r="B114" s="106" t="str">
        <f>IF('Trabajos 2'!B114="","",'Trabajos 2'!B114)</f>
        <v/>
      </c>
      <c r="C114" s="70" t="str">
        <f>IF('Trabajos 2'!F114="","",'Trabajos 2'!F114)</f>
        <v/>
      </c>
      <c r="D114" s="70" t="str">
        <f>IF('Trabajos 2'!D114="","",'Trabajos 2'!D114)</f>
        <v/>
      </c>
      <c r="E114" s="70" t="str">
        <f>IF('Trabajos 2'!G114="","",'Trabajos 2'!G114)</f>
        <v/>
      </c>
      <c r="F114" s="129" t="str">
        <f>IF('Trabajos 2'!H114="","",'Trabajos 2'!H114)</f>
        <v/>
      </c>
      <c r="G114" s="84" t="str">
        <f>IF('Trabajos 2'!I114="","",'Trabajos 2'!I114)</f>
        <v/>
      </c>
      <c r="H114" s="84" t="str">
        <f>IF('Trabajos 2'!J114="","",'Trabajos 2'!J114)</f>
        <v/>
      </c>
      <c r="I114" s="107" t="str">
        <f>IF('Trabajos 2'!M114="","",'Trabajos 2'!M114)</f>
        <v/>
      </c>
      <c r="J114" s="84" t="str">
        <f>IF('Trabajos 2'!N114="","",'Trabajos 2'!N114)</f>
        <v/>
      </c>
      <c r="K114" s="84" t="str">
        <f>IF('Trabajos 2'!O114="","",'Trabajos 2'!O114)</f>
        <v/>
      </c>
      <c r="L114" s="84" t="str">
        <f>IF('Trabajos 2'!P114="","",'Trabajos 2'!P114)</f>
        <v/>
      </c>
    </row>
    <row r="115" spans="2:12" x14ac:dyDescent="0.25">
      <c r="B115" s="106" t="str">
        <f>IF('Trabajos 2'!B114="","",'Trabajos 2'!B114)</f>
        <v/>
      </c>
      <c r="C115" s="70" t="str">
        <f>IF('Trabajos 2'!F115="","",'Trabajos 2'!F115)</f>
        <v/>
      </c>
      <c r="D115" s="70" t="str">
        <f>IF('Trabajos 2'!D115="","",'Trabajos 2'!D115)</f>
        <v/>
      </c>
      <c r="E115" s="70" t="str">
        <f>IF('Trabajos 2'!G115="","",'Trabajos 2'!G115)</f>
        <v/>
      </c>
      <c r="F115" s="129" t="str">
        <f>IF('Trabajos 2'!H115="","",'Trabajos 2'!H115)</f>
        <v/>
      </c>
      <c r="G115" s="84" t="str">
        <f>IF('Trabajos 2'!I115="","",'Trabajos 2'!I115)</f>
        <v/>
      </c>
      <c r="H115" s="84" t="str">
        <f>IF('Trabajos 2'!J115="","",'Trabajos 2'!J115)</f>
        <v/>
      </c>
      <c r="I115" s="107" t="str">
        <f>IF('Trabajos 2'!M115="","",'Trabajos 2'!M115)</f>
        <v/>
      </c>
      <c r="J115" s="84" t="str">
        <f>IF('Trabajos 2'!N115="","",'Trabajos 2'!N115)</f>
        <v/>
      </c>
      <c r="K115" s="84" t="str">
        <f>IF('Trabajos 2'!O115="","",'Trabajos 2'!O115)</f>
        <v/>
      </c>
      <c r="L115" s="84" t="str">
        <f>IF('Trabajos 2'!P115="","",'Trabajos 2'!P115)</f>
        <v/>
      </c>
    </row>
    <row r="116" spans="2:12" x14ac:dyDescent="0.25">
      <c r="B116" s="106" t="str">
        <f>IF('Trabajos 2'!B115="","",'Trabajos 2'!B115)</f>
        <v/>
      </c>
      <c r="C116" s="70" t="str">
        <f>IF('Trabajos 2'!F116="","",'Trabajos 2'!F116)</f>
        <v/>
      </c>
      <c r="D116" s="70" t="str">
        <f>IF('Trabajos 2'!D116="","",'Trabajos 2'!D116)</f>
        <v/>
      </c>
      <c r="E116" s="70" t="str">
        <f>IF('Trabajos 2'!G116="","",'Trabajos 2'!G116)</f>
        <v/>
      </c>
      <c r="F116" s="129" t="str">
        <f>IF('Trabajos 2'!H116="","",'Trabajos 2'!H116)</f>
        <v/>
      </c>
      <c r="G116" s="84" t="str">
        <f>IF('Trabajos 2'!I116="","",'Trabajos 2'!I116)</f>
        <v/>
      </c>
      <c r="H116" s="84" t="str">
        <f>IF('Trabajos 2'!J116="","",'Trabajos 2'!J116)</f>
        <v/>
      </c>
      <c r="I116" s="107" t="str">
        <f>IF('Trabajos 2'!M116="","",'Trabajos 2'!M116)</f>
        <v/>
      </c>
      <c r="J116" s="84" t="str">
        <f>IF('Trabajos 2'!N116="","",'Trabajos 2'!N116)</f>
        <v/>
      </c>
      <c r="K116" s="84" t="str">
        <f>IF('Trabajos 2'!O116="","",'Trabajos 2'!O116)</f>
        <v/>
      </c>
      <c r="L116" s="84" t="str">
        <f>IF('Trabajos 2'!P116="","",'Trabajos 2'!P116)</f>
        <v/>
      </c>
    </row>
    <row r="117" spans="2:12" x14ac:dyDescent="0.25">
      <c r="B117" s="106" t="str">
        <f>IF('Trabajos 2'!B116="","",'Trabajos 2'!B116)</f>
        <v/>
      </c>
      <c r="C117" s="70" t="str">
        <f>IF('Trabajos 2'!F117="","",'Trabajos 2'!F117)</f>
        <v/>
      </c>
      <c r="D117" s="70" t="str">
        <f>IF('Trabajos 2'!D117="","",'Trabajos 2'!D117)</f>
        <v/>
      </c>
      <c r="E117" s="70" t="str">
        <f>IF('Trabajos 2'!G117="","",'Trabajos 2'!G117)</f>
        <v/>
      </c>
      <c r="F117" s="129" t="str">
        <f>IF('Trabajos 2'!H117="","",'Trabajos 2'!H117)</f>
        <v/>
      </c>
      <c r="G117" s="84" t="str">
        <f>IF('Trabajos 2'!I117="","",'Trabajos 2'!I117)</f>
        <v/>
      </c>
      <c r="H117" s="84" t="str">
        <f>IF('Trabajos 2'!J117="","",'Trabajos 2'!J117)</f>
        <v/>
      </c>
      <c r="I117" s="107" t="str">
        <f>IF('Trabajos 2'!M117="","",'Trabajos 2'!M117)</f>
        <v/>
      </c>
      <c r="J117" s="84" t="str">
        <f>IF('Trabajos 2'!N117="","",'Trabajos 2'!N117)</f>
        <v/>
      </c>
      <c r="K117" s="84" t="str">
        <f>IF('Trabajos 2'!O117="","",'Trabajos 2'!O117)</f>
        <v/>
      </c>
      <c r="L117" s="84" t="str">
        <f>IF('Trabajos 2'!P117="","",'Trabajos 2'!P117)</f>
        <v/>
      </c>
    </row>
    <row r="118" spans="2:12" x14ac:dyDescent="0.25">
      <c r="B118" s="106" t="str">
        <f>IF('Trabajos 2'!B117="","",'Trabajos 2'!B117)</f>
        <v/>
      </c>
      <c r="C118" s="70" t="str">
        <f>IF('Trabajos 2'!F118="","",'Trabajos 2'!F118)</f>
        <v/>
      </c>
      <c r="D118" s="70" t="str">
        <f>IF('Trabajos 2'!D118="","",'Trabajos 2'!D118)</f>
        <v/>
      </c>
      <c r="E118" s="70" t="str">
        <f>IF('Trabajos 2'!G118="","",'Trabajos 2'!G118)</f>
        <v/>
      </c>
      <c r="F118" s="129" t="str">
        <f>IF('Trabajos 2'!H118="","",'Trabajos 2'!H118)</f>
        <v/>
      </c>
      <c r="G118" s="84" t="str">
        <f>IF('Trabajos 2'!I118="","",'Trabajos 2'!I118)</f>
        <v/>
      </c>
      <c r="H118" s="84" t="str">
        <f>IF('Trabajos 2'!J118="","",'Trabajos 2'!J118)</f>
        <v/>
      </c>
      <c r="I118" s="107" t="str">
        <f>IF('Trabajos 2'!M118="","",'Trabajos 2'!M118)</f>
        <v/>
      </c>
      <c r="J118" s="84" t="str">
        <f>IF('Trabajos 2'!N118="","",'Trabajos 2'!N118)</f>
        <v/>
      </c>
      <c r="K118" s="84" t="str">
        <f>IF('Trabajos 2'!O118="","",'Trabajos 2'!O118)</f>
        <v/>
      </c>
      <c r="L118" s="84" t="str">
        <f>IF('Trabajos 2'!P118="","",'Trabajos 2'!P118)</f>
        <v/>
      </c>
    </row>
    <row r="119" spans="2:12" x14ac:dyDescent="0.25">
      <c r="B119" s="106" t="str">
        <f>IF('Trabajos 2'!B118="","",'Trabajos 2'!B118)</f>
        <v/>
      </c>
      <c r="C119" s="70" t="str">
        <f>IF('Trabajos 2'!F119="","",'Trabajos 2'!F119)</f>
        <v/>
      </c>
      <c r="D119" s="70" t="str">
        <f>IF('Trabajos 2'!D119="","",'Trabajos 2'!D119)</f>
        <v/>
      </c>
      <c r="E119" s="70" t="str">
        <f>IF('Trabajos 2'!G119="","",'Trabajos 2'!G119)</f>
        <v/>
      </c>
      <c r="F119" s="129" t="str">
        <f>IF('Trabajos 2'!H119="","",'Trabajos 2'!H119)</f>
        <v/>
      </c>
      <c r="G119" s="84" t="str">
        <f>IF('Trabajos 2'!I119="","",'Trabajos 2'!I119)</f>
        <v/>
      </c>
      <c r="H119" s="84" t="str">
        <f>IF('Trabajos 2'!J119="","",'Trabajos 2'!J119)</f>
        <v/>
      </c>
      <c r="I119" s="107" t="str">
        <f>IF('Trabajos 2'!M119="","",'Trabajos 2'!M119)</f>
        <v/>
      </c>
      <c r="J119" s="84" t="str">
        <f>IF('Trabajos 2'!N119="","",'Trabajos 2'!N119)</f>
        <v/>
      </c>
      <c r="K119" s="84" t="str">
        <f>IF('Trabajos 2'!O119="","",'Trabajos 2'!O119)</f>
        <v/>
      </c>
      <c r="L119" s="84" t="str">
        <f>IF('Trabajos 2'!P119="","",'Trabajos 2'!P119)</f>
        <v/>
      </c>
    </row>
    <row r="120" spans="2:12" x14ac:dyDescent="0.25">
      <c r="B120" s="106" t="str">
        <f>IF('Trabajos 2'!B119="","",'Trabajos 2'!B119)</f>
        <v/>
      </c>
      <c r="C120" s="70" t="str">
        <f>IF('Trabajos 2'!F120="","",'Trabajos 2'!F120)</f>
        <v/>
      </c>
      <c r="D120" s="70" t="str">
        <f>IF('Trabajos 2'!D120="","",'Trabajos 2'!D120)</f>
        <v/>
      </c>
      <c r="E120" s="70" t="str">
        <f>IF('Trabajos 2'!G120="","",'Trabajos 2'!G120)</f>
        <v/>
      </c>
      <c r="F120" s="129" t="str">
        <f>IF('Trabajos 2'!H120="","",'Trabajos 2'!H120)</f>
        <v/>
      </c>
      <c r="G120" s="84" t="str">
        <f>IF('Trabajos 2'!I120="","",'Trabajos 2'!I120)</f>
        <v/>
      </c>
      <c r="H120" s="84" t="str">
        <f>IF('Trabajos 2'!J120="","",'Trabajos 2'!J120)</f>
        <v/>
      </c>
      <c r="I120" s="107" t="str">
        <f>IF('Trabajos 2'!M120="","",'Trabajos 2'!M120)</f>
        <v/>
      </c>
      <c r="J120" s="84" t="str">
        <f>IF('Trabajos 2'!N120="","",'Trabajos 2'!N120)</f>
        <v/>
      </c>
      <c r="K120" s="84" t="str">
        <f>IF('Trabajos 2'!O120="","",'Trabajos 2'!O120)</f>
        <v/>
      </c>
      <c r="L120" s="84" t="str">
        <f>IF('Trabajos 2'!P120="","",'Trabajos 2'!P120)</f>
        <v/>
      </c>
    </row>
    <row r="121" spans="2:12" x14ac:dyDescent="0.25">
      <c r="B121" s="106" t="str">
        <f>IF('Trabajos 2'!B120="","",'Trabajos 2'!B120)</f>
        <v/>
      </c>
      <c r="C121" s="70" t="str">
        <f>IF('Trabajos 2'!F121="","",'Trabajos 2'!F121)</f>
        <v/>
      </c>
      <c r="D121" s="70" t="str">
        <f>IF('Trabajos 2'!D121="","",'Trabajos 2'!D121)</f>
        <v/>
      </c>
      <c r="E121" s="70" t="str">
        <f>IF('Trabajos 2'!G121="","",'Trabajos 2'!G121)</f>
        <v/>
      </c>
      <c r="F121" s="129" t="str">
        <f>IF('Trabajos 2'!H121="","",'Trabajos 2'!H121)</f>
        <v/>
      </c>
      <c r="G121" s="84" t="str">
        <f>IF('Trabajos 2'!I121="","",'Trabajos 2'!I121)</f>
        <v/>
      </c>
      <c r="H121" s="84" t="str">
        <f>IF('Trabajos 2'!J121="","",'Trabajos 2'!J121)</f>
        <v/>
      </c>
      <c r="I121" s="107" t="str">
        <f>IF('Trabajos 2'!M121="","",'Trabajos 2'!M121)</f>
        <v/>
      </c>
      <c r="J121" s="84" t="str">
        <f>IF('Trabajos 2'!N121="","",'Trabajos 2'!N121)</f>
        <v/>
      </c>
      <c r="K121" s="84" t="str">
        <f>IF('Trabajos 2'!O121="","",'Trabajos 2'!O121)</f>
        <v/>
      </c>
      <c r="L121" s="84" t="str">
        <f>IF('Trabajos 2'!P121="","",'Trabajos 2'!P121)</f>
        <v/>
      </c>
    </row>
    <row r="122" spans="2:12" x14ac:dyDescent="0.25">
      <c r="B122" s="106" t="str">
        <f>IF('Trabajos 2'!B121="","",'Trabajos 2'!B121)</f>
        <v/>
      </c>
      <c r="C122" s="70" t="str">
        <f>IF('Trabajos 2'!F122="","",'Trabajos 2'!F122)</f>
        <v/>
      </c>
      <c r="D122" s="70" t="str">
        <f>IF('Trabajos 2'!D122="","",'Trabajos 2'!D122)</f>
        <v/>
      </c>
      <c r="E122" s="70" t="str">
        <f>IF('Trabajos 2'!G122="","",'Trabajos 2'!G122)</f>
        <v/>
      </c>
      <c r="F122" s="129" t="str">
        <f>IF('Trabajos 2'!H122="","",'Trabajos 2'!H122)</f>
        <v/>
      </c>
      <c r="G122" s="84" t="str">
        <f>IF('Trabajos 2'!I122="","",'Trabajos 2'!I122)</f>
        <v/>
      </c>
      <c r="H122" s="84" t="str">
        <f>IF('Trabajos 2'!J122="","",'Trabajos 2'!J122)</f>
        <v/>
      </c>
      <c r="I122" s="107" t="str">
        <f>IF('Trabajos 2'!M122="","",'Trabajos 2'!M122)</f>
        <v/>
      </c>
      <c r="J122" s="84" t="str">
        <f>IF('Trabajos 2'!N122="","",'Trabajos 2'!N122)</f>
        <v/>
      </c>
      <c r="K122" s="84" t="str">
        <f>IF('Trabajos 2'!O122="","",'Trabajos 2'!O122)</f>
        <v/>
      </c>
      <c r="L122" s="84" t="str">
        <f>IF('Trabajos 2'!P122="","",'Trabajos 2'!P122)</f>
        <v/>
      </c>
    </row>
    <row r="123" spans="2:12" x14ac:dyDescent="0.25">
      <c r="B123" s="106" t="str">
        <f>IF('Trabajos 2'!B122="","",'Trabajos 2'!B122)</f>
        <v/>
      </c>
      <c r="C123" s="70" t="str">
        <f>IF('Trabajos 2'!F123="","",'Trabajos 2'!F123)</f>
        <v/>
      </c>
      <c r="D123" s="70" t="str">
        <f>IF('Trabajos 2'!D123="","",'Trabajos 2'!D123)</f>
        <v/>
      </c>
      <c r="E123" s="70" t="str">
        <f>IF('Trabajos 2'!G123="","",'Trabajos 2'!G123)</f>
        <v/>
      </c>
      <c r="F123" s="129" t="str">
        <f>IF('Trabajos 2'!H123="","",'Trabajos 2'!H123)</f>
        <v/>
      </c>
      <c r="G123" s="84" t="str">
        <f>IF('Trabajos 2'!I123="","",'Trabajos 2'!I123)</f>
        <v/>
      </c>
      <c r="H123" s="84" t="str">
        <f>IF('Trabajos 2'!J123="","",'Trabajos 2'!J123)</f>
        <v/>
      </c>
      <c r="I123" s="107" t="str">
        <f>IF('Trabajos 2'!M123="","",'Trabajos 2'!M123)</f>
        <v/>
      </c>
      <c r="J123" s="84" t="str">
        <f>IF('Trabajos 2'!N123="","",'Trabajos 2'!N123)</f>
        <v/>
      </c>
      <c r="K123" s="84" t="str">
        <f>IF('Trabajos 2'!O123="","",'Trabajos 2'!O123)</f>
        <v/>
      </c>
      <c r="L123" s="84" t="str">
        <f>IF('Trabajos 2'!P123="","",'Trabajos 2'!P123)</f>
        <v/>
      </c>
    </row>
    <row r="124" spans="2:12" x14ac:dyDescent="0.25">
      <c r="B124" s="106" t="str">
        <f>IF('Trabajos 2'!B123="","",'Trabajos 2'!B123)</f>
        <v/>
      </c>
      <c r="C124" s="70" t="str">
        <f>IF('Trabajos 2'!F124="","",'Trabajos 2'!F124)</f>
        <v/>
      </c>
      <c r="D124" s="70" t="str">
        <f>IF('Trabajos 2'!D124="","",'Trabajos 2'!D124)</f>
        <v/>
      </c>
      <c r="E124" s="70" t="str">
        <f>IF('Trabajos 2'!G124="","",'Trabajos 2'!G124)</f>
        <v/>
      </c>
      <c r="F124" s="129" t="str">
        <f>IF('Trabajos 2'!H124="","",'Trabajos 2'!H124)</f>
        <v/>
      </c>
      <c r="G124" s="84" t="str">
        <f>IF('Trabajos 2'!I124="","",'Trabajos 2'!I124)</f>
        <v/>
      </c>
      <c r="H124" s="84" t="str">
        <f>IF('Trabajos 2'!J124="","",'Trabajos 2'!J124)</f>
        <v/>
      </c>
      <c r="I124" s="107" t="str">
        <f>IF('Trabajos 2'!M124="","",'Trabajos 2'!M124)</f>
        <v/>
      </c>
      <c r="J124" s="84" t="str">
        <f>IF('Trabajos 2'!N124="","",'Trabajos 2'!N124)</f>
        <v/>
      </c>
      <c r="K124" s="84" t="str">
        <f>IF('Trabajos 2'!O124="","",'Trabajos 2'!O124)</f>
        <v/>
      </c>
      <c r="L124" s="84" t="str">
        <f>IF('Trabajos 2'!P124="","",'Trabajos 2'!P124)</f>
        <v/>
      </c>
    </row>
    <row r="125" spans="2:12" x14ac:dyDescent="0.25">
      <c r="B125" s="106" t="str">
        <f>IF('Trabajos 2'!B124="","",'Trabajos 2'!B124)</f>
        <v/>
      </c>
      <c r="C125" s="70" t="str">
        <f>IF('Trabajos 2'!F125="","",'Trabajos 2'!F125)</f>
        <v/>
      </c>
      <c r="D125" s="70" t="str">
        <f>IF('Trabajos 2'!D125="","",'Trabajos 2'!D125)</f>
        <v/>
      </c>
      <c r="E125" s="70" t="str">
        <f>IF('Trabajos 2'!G125="","",'Trabajos 2'!G125)</f>
        <v/>
      </c>
      <c r="F125" s="129" t="str">
        <f>IF('Trabajos 2'!H125="","",'Trabajos 2'!H125)</f>
        <v/>
      </c>
      <c r="G125" s="84" t="str">
        <f>IF('Trabajos 2'!I125="","",'Trabajos 2'!I125)</f>
        <v/>
      </c>
      <c r="H125" s="84" t="str">
        <f>IF('Trabajos 2'!J125="","",'Trabajos 2'!J125)</f>
        <v/>
      </c>
      <c r="I125" s="107" t="str">
        <f>IF('Trabajos 2'!M125="","",'Trabajos 2'!M125)</f>
        <v/>
      </c>
      <c r="J125" s="84" t="str">
        <f>IF('Trabajos 2'!N125="","",'Trabajos 2'!N125)</f>
        <v/>
      </c>
      <c r="K125" s="84" t="str">
        <f>IF('Trabajos 2'!O125="","",'Trabajos 2'!O125)</f>
        <v/>
      </c>
      <c r="L125" s="84" t="str">
        <f>IF('Trabajos 2'!P125="","",'Trabajos 2'!P125)</f>
        <v/>
      </c>
    </row>
    <row r="126" spans="2:12" x14ac:dyDescent="0.25">
      <c r="B126" s="106" t="str">
        <f>IF('Trabajos 2'!B125="","",'Trabajos 2'!B125)</f>
        <v/>
      </c>
      <c r="C126" s="70" t="str">
        <f>IF('Trabajos 2'!F126="","",'Trabajos 2'!F126)</f>
        <v/>
      </c>
      <c r="D126" s="70" t="str">
        <f>IF('Trabajos 2'!D126="","",'Trabajos 2'!D126)</f>
        <v/>
      </c>
      <c r="E126" s="70" t="str">
        <f>IF('Trabajos 2'!G126="","",'Trabajos 2'!G126)</f>
        <v/>
      </c>
      <c r="F126" s="129" t="str">
        <f>IF('Trabajos 2'!H126="","",'Trabajos 2'!H126)</f>
        <v/>
      </c>
      <c r="G126" s="84" t="str">
        <f>IF('Trabajos 2'!I126="","",'Trabajos 2'!I126)</f>
        <v/>
      </c>
      <c r="H126" s="84" t="str">
        <f>IF('Trabajos 2'!J126="","",'Trabajos 2'!J126)</f>
        <v/>
      </c>
      <c r="I126" s="107" t="str">
        <f>IF('Trabajos 2'!M126="","",'Trabajos 2'!M126)</f>
        <v/>
      </c>
      <c r="J126" s="84" t="str">
        <f>IF('Trabajos 2'!N126="","",'Trabajos 2'!N126)</f>
        <v/>
      </c>
      <c r="K126" s="84" t="str">
        <f>IF('Trabajos 2'!O126="","",'Trabajos 2'!O126)</f>
        <v/>
      </c>
      <c r="L126" s="84" t="str">
        <f>IF('Trabajos 2'!P126="","",'Trabajos 2'!P126)</f>
        <v/>
      </c>
    </row>
    <row r="127" spans="2:12" x14ac:dyDescent="0.25">
      <c r="B127" s="106" t="str">
        <f>IF('Trabajos 2'!B126="","",'Trabajos 2'!B126)</f>
        <v/>
      </c>
      <c r="C127" s="70" t="str">
        <f>IF('Trabajos 2'!F127="","",'Trabajos 2'!F127)</f>
        <v/>
      </c>
      <c r="D127" s="70" t="str">
        <f>IF('Trabajos 2'!D127="","",'Trabajos 2'!D127)</f>
        <v/>
      </c>
      <c r="E127" s="70" t="str">
        <f>IF('Trabajos 2'!G127="","",'Trabajos 2'!G127)</f>
        <v/>
      </c>
      <c r="F127" s="129" t="str">
        <f>IF('Trabajos 2'!H127="","",'Trabajos 2'!H127)</f>
        <v/>
      </c>
      <c r="G127" s="84" t="str">
        <f>IF('Trabajos 2'!I127="","",'Trabajos 2'!I127)</f>
        <v/>
      </c>
      <c r="H127" s="84" t="str">
        <f>IF('Trabajos 2'!J127="","",'Trabajos 2'!J127)</f>
        <v/>
      </c>
      <c r="I127" s="107" t="str">
        <f>IF('Trabajos 2'!M127="","",'Trabajos 2'!M127)</f>
        <v/>
      </c>
      <c r="J127" s="84" t="str">
        <f>IF('Trabajos 2'!N127="","",'Trabajos 2'!N127)</f>
        <v/>
      </c>
      <c r="K127" s="84" t="str">
        <f>IF('Trabajos 2'!O127="","",'Trabajos 2'!O127)</f>
        <v/>
      </c>
      <c r="L127" s="84" t="str">
        <f>IF('Trabajos 2'!P127="","",'Trabajos 2'!P127)</f>
        <v/>
      </c>
    </row>
    <row r="128" spans="2:12" x14ac:dyDescent="0.25">
      <c r="B128" s="106" t="str">
        <f>IF('Trabajos 2'!B127="","",'Trabajos 2'!B127)</f>
        <v/>
      </c>
      <c r="C128" s="70" t="str">
        <f>IF('Trabajos 2'!F128="","",'Trabajos 2'!F128)</f>
        <v/>
      </c>
      <c r="D128" s="70" t="str">
        <f>IF('Trabajos 2'!D128="","",'Trabajos 2'!D128)</f>
        <v/>
      </c>
      <c r="E128" s="70" t="str">
        <f>IF('Trabajos 2'!G128="","",'Trabajos 2'!G128)</f>
        <v/>
      </c>
      <c r="F128" s="129" t="str">
        <f>IF('Trabajos 2'!H128="","",'Trabajos 2'!H128)</f>
        <v/>
      </c>
      <c r="G128" s="84" t="str">
        <f>IF('Trabajos 2'!I128="","",'Trabajos 2'!I128)</f>
        <v/>
      </c>
      <c r="H128" s="84" t="str">
        <f>IF('Trabajos 2'!J128="","",'Trabajos 2'!J128)</f>
        <v/>
      </c>
      <c r="I128" s="107" t="str">
        <f>IF('Trabajos 2'!M128="","",'Trabajos 2'!M128)</f>
        <v/>
      </c>
      <c r="J128" s="84" t="str">
        <f>IF('Trabajos 2'!N128="","",'Trabajos 2'!N128)</f>
        <v/>
      </c>
      <c r="K128" s="84" t="str">
        <f>IF('Trabajos 2'!O128="","",'Trabajos 2'!O128)</f>
        <v/>
      </c>
      <c r="L128" s="84" t="str">
        <f>IF('Trabajos 2'!P128="","",'Trabajos 2'!P128)</f>
        <v/>
      </c>
    </row>
    <row r="129" spans="2:12" x14ac:dyDescent="0.25">
      <c r="B129" s="106" t="str">
        <f>IF('Trabajos 2'!B129="","",'Trabajos 2'!B129)</f>
        <v/>
      </c>
      <c r="C129" s="70" t="str">
        <f>IF('Trabajos 2'!F129="","",'Trabajos 2'!F129)</f>
        <v/>
      </c>
      <c r="D129" s="70" t="str">
        <f>IF('Trabajos 2'!D129="","",'Trabajos 2'!D129)</f>
        <v/>
      </c>
      <c r="E129" s="70" t="str">
        <f>IF('Trabajos 2'!G129="","",'Trabajos 2'!G129)</f>
        <v/>
      </c>
      <c r="F129" s="129" t="str">
        <f>IF('Trabajos 2'!H129="","",'Trabajos 2'!H129)</f>
        <v/>
      </c>
      <c r="G129" s="84" t="str">
        <f>IF('Trabajos 2'!I129="","",'Trabajos 2'!I129)</f>
        <v/>
      </c>
      <c r="H129" s="84" t="str">
        <f>IF('Trabajos 2'!J129="","",'Trabajos 2'!J129)</f>
        <v/>
      </c>
      <c r="I129" s="107" t="str">
        <f>IF('Trabajos 2'!M129="","",'Trabajos 2'!M129)</f>
        <v/>
      </c>
      <c r="J129" s="84" t="str">
        <f>IF('Trabajos 2'!N129="","",'Trabajos 2'!N129)</f>
        <v/>
      </c>
      <c r="K129" s="84" t="str">
        <f>IF('Trabajos 2'!O129="","",'Trabajos 2'!O129)</f>
        <v/>
      </c>
      <c r="L129" s="84" t="str">
        <f>IF('Trabajos 2'!P129="","",'Trabajos 2'!P129)</f>
        <v/>
      </c>
    </row>
    <row r="130" spans="2:12" x14ac:dyDescent="0.25">
      <c r="B130" s="106" t="str">
        <f>IF('Trabajos 2'!B130="","",'Trabajos 2'!B130)</f>
        <v/>
      </c>
      <c r="C130" s="70" t="str">
        <f>IF('Trabajos 2'!F130="","",'Trabajos 2'!F130)</f>
        <v/>
      </c>
      <c r="D130" s="70" t="str">
        <f>IF('Trabajos 2'!D130="","",'Trabajos 2'!D130)</f>
        <v/>
      </c>
      <c r="E130" s="70" t="str">
        <f>IF('Trabajos 2'!G130="","",'Trabajos 2'!G130)</f>
        <v/>
      </c>
      <c r="F130" s="129" t="str">
        <f>IF('Trabajos 2'!H130="","",'Trabajos 2'!H130)</f>
        <v/>
      </c>
      <c r="G130" s="84" t="str">
        <f>IF('Trabajos 2'!I130="","",'Trabajos 2'!I130)</f>
        <v/>
      </c>
      <c r="H130" s="84" t="str">
        <f>IF('Trabajos 2'!J130="","",'Trabajos 2'!J130)</f>
        <v/>
      </c>
      <c r="I130" s="107" t="str">
        <f>IF('Trabajos 2'!M130="","",'Trabajos 2'!M130)</f>
        <v/>
      </c>
      <c r="J130" s="84" t="str">
        <f>IF('Trabajos 2'!N130="","",'Trabajos 2'!N130)</f>
        <v/>
      </c>
      <c r="K130" s="84" t="str">
        <f>IF('Trabajos 2'!O130="","",'Trabajos 2'!O130)</f>
        <v/>
      </c>
      <c r="L130" s="84" t="str">
        <f>IF('Trabajos 2'!P130="","",'Trabajos 2'!P130)</f>
        <v/>
      </c>
    </row>
    <row r="131" spans="2:12" x14ac:dyDescent="0.25">
      <c r="B131" s="106" t="str">
        <f>IF('Trabajos 2'!B131="","",'Trabajos 2'!B131)</f>
        <v/>
      </c>
      <c r="C131" s="70" t="str">
        <f>IF('Trabajos 2'!F131="","",'Trabajos 2'!F131)</f>
        <v/>
      </c>
      <c r="D131" s="70" t="str">
        <f>IF('Trabajos 2'!D131="","",'Trabajos 2'!D131)</f>
        <v/>
      </c>
      <c r="E131" s="70" t="str">
        <f>IF('Trabajos 2'!G131="","",'Trabajos 2'!G131)</f>
        <v/>
      </c>
      <c r="F131" s="129" t="str">
        <f>IF('Trabajos 2'!H131="","",'Trabajos 2'!H131)</f>
        <v/>
      </c>
      <c r="G131" s="84" t="str">
        <f>IF('Trabajos 2'!I131="","",'Trabajos 2'!I131)</f>
        <v/>
      </c>
      <c r="H131" s="84" t="str">
        <f>IF('Trabajos 2'!J131="","",'Trabajos 2'!J131)</f>
        <v/>
      </c>
      <c r="I131" s="107" t="str">
        <f>IF('Trabajos 2'!M131="","",'Trabajos 2'!M131)</f>
        <v/>
      </c>
      <c r="J131" s="84" t="str">
        <f>IF('Trabajos 2'!N131="","",'Trabajos 2'!N131)</f>
        <v/>
      </c>
      <c r="K131" s="84" t="str">
        <f>IF('Trabajos 2'!O131="","",'Trabajos 2'!O131)</f>
        <v/>
      </c>
      <c r="L131" s="84" t="str">
        <f>IF('Trabajos 2'!P131="","",'Trabajos 2'!P131)</f>
        <v/>
      </c>
    </row>
    <row r="132" spans="2:12" x14ac:dyDescent="0.25">
      <c r="B132" s="106" t="str">
        <f>IF('Trabajos 2'!B132="","",'Trabajos 2'!B132)</f>
        <v/>
      </c>
      <c r="C132" s="70" t="str">
        <f>IF('Trabajos 2'!F132="","",'Trabajos 2'!F132)</f>
        <v/>
      </c>
      <c r="D132" s="70" t="str">
        <f>IF('Trabajos 2'!D132="","",'Trabajos 2'!D132)</f>
        <v/>
      </c>
      <c r="E132" s="70" t="str">
        <f>IF('Trabajos 2'!G132="","",'Trabajos 2'!G132)</f>
        <v/>
      </c>
      <c r="F132" s="129" t="str">
        <f>IF('Trabajos 2'!H132="","",'Trabajos 2'!H132)</f>
        <v/>
      </c>
      <c r="G132" s="84" t="str">
        <f>IF('Trabajos 2'!I132="","",'Trabajos 2'!I132)</f>
        <v/>
      </c>
      <c r="H132" s="84" t="str">
        <f>IF('Trabajos 2'!J132="","",'Trabajos 2'!J132)</f>
        <v/>
      </c>
      <c r="I132" s="107" t="str">
        <f>IF('Trabajos 2'!M132="","",'Trabajos 2'!M132)</f>
        <v/>
      </c>
      <c r="J132" s="84" t="str">
        <f>IF('Trabajos 2'!N132="","",'Trabajos 2'!N132)</f>
        <v/>
      </c>
      <c r="K132" s="84" t="str">
        <f>IF('Trabajos 2'!O132="","",'Trabajos 2'!O132)</f>
        <v/>
      </c>
      <c r="L132" s="84" t="str">
        <f>IF('Trabajos 2'!P132="","",'Trabajos 2'!P132)</f>
        <v/>
      </c>
    </row>
    <row r="133" spans="2:12" x14ac:dyDescent="0.25">
      <c r="B133" s="106" t="str">
        <f>IF('Trabajos 2'!B133="","",'Trabajos 2'!B133)</f>
        <v/>
      </c>
      <c r="C133" s="70" t="str">
        <f>IF('Trabajos 2'!F133="","",'Trabajos 2'!F133)</f>
        <v/>
      </c>
      <c r="D133" s="70" t="str">
        <f>IF('Trabajos 2'!D133="","",'Trabajos 2'!D133)</f>
        <v/>
      </c>
      <c r="E133" s="70" t="str">
        <f>IF('Trabajos 2'!G133="","",'Trabajos 2'!G133)</f>
        <v/>
      </c>
      <c r="F133" s="129" t="str">
        <f>IF('Trabajos 2'!H133="","",'Trabajos 2'!H133)</f>
        <v/>
      </c>
      <c r="G133" s="84" t="str">
        <f>IF('Trabajos 2'!I133="","",'Trabajos 2'!I133)</f>
        <v/>
      </c>
      <c r="H133" s="84" t="str">
        <f>IF('Trabajos 2'!J133="","",'Trabajos 2'!J133)</f>
        <v/>
      </c>
      <c r="I133" s="107" t="str">
        <f>IF('Trabajos 2'!M133="","",'Trabajos 2'!M133)</f>
        <v/>
      </c>
      <c r="J133" s="84" t="str">
        <f>IF('Trabajos 2'!N133="","",'Trabajos 2'!N133)</f>
        <v/>
      </c>
      <c r="K133" s="84" t="str">
        <f>IF('Trabajos 2'!O133="","",'Trabajos 2'!O133)</f>
        <v/>
      </c>
      <c r="L133" s="84" t="str">
        <f>IF('Trabajos 2'!P133="","",'Trabajos 2'!P133)</f>
        <v/>
      </c>
    </row>
    <row r="134" spans="2:12" x14ac:dyDescent="0.25">
      <c r="B134" s="106" t="str">
        <f>IF('Trabajos 2'!B134="","",'Trabajos 2'!B134)</f>
        <v/>
      </c>
      <c r="C134" s="70" t="str">
        <f>IF('Trabajos 2'!F134="","",'Trabajos 2'!F134)</f>
        <v/>
      </c>
      <c r="D134" s="70" t="str">
        <f>IF('Trabajos 2'!D134="","",'Trabajos 2'!D134)</f>
        <v/>
      </c>
      <c r="E134" s="70" t="str">
        <f>IF('Trabajos 2'!G134="","",'Trabajos 2'!G134)</f>
        <v/>
      </c>
      <c r="F134" s="129" t="str">
        <f>IF('Trabajos 2'!H134="","",'Trabajos 2'!H134)</f>
        <v/>
      </c>
      <c r="G134" s="84" t="str">
        <f>IF('Trabajos 2'!I134="","",'Trabajos 2'!I134)</f>
        <v/>
      </c>
      <c r="H134" s="84" t="str">
        <f>IF('Trabajos 2'!J134="","",'Trabajos 2'!J134)</f>
        <v/>
      </c>
      <c r="I134" s="107" t="str">
        <f>IF('Trabajos 2'!M134="","",'Trabajos 2'!M134)</f>
        <v/>
      </c>
      <c r="J134" s="84" t="str">
        <f>IF('Trabajos 2'!N134="","",'Trabajos 2'!N134)</f>
        <v/>
      </c>
      <c r="K134" s="84" t="str">
        <f>IF('Trabajos 2'!O134="","",'Trabajos 2'!O134)</f>
        <v/>
      </c>
      <c r="L134" s="84" t="str">
        <f>IF('Trabajos 2'!P134="","",'Trabajos 2'!P134)</f>
        <v/>
      </c>
    </row>
    <row r="135" spans="2:12" x14ac:dyDescent="0.25">
      <c r="B135" s="106" t="str">
        <f>IF('Trabajos 2'!B135="","",'Trabajos 2'!B135)</f>
        <v/>
      </c>
      <c r="C135" s="70" t="str">
        <f>IF('Trabajos 2'!F135="","",'Trabajos 2'!F135)</f>
        <v/>
      </c>
      <c r="D135" s="70" t="str">
        <f>IF('Trabajos 2'!D135="","",'Trabajos 2'!D135)</f>
        <v/>
      </c>
      <c r="E135" s="70" t="str">
        <f>IF('Trabajos 2'!G135="","",'Trabajos 2'!G135)</f>
        <v/>
      </c>
      <c r="F135" s="129" t="str">
        <f>IF('Trabajos 2'!H135="","",'Trabajos 2'!H135)</f>
        <v/>
      </c>
      <c r="G135" s="84" t="str">
        <f>IF('Trabajos 2'!I135="","",'Trabajos 2'!I135)</f>
        <v/>
      </c>
      <c r="H135" s="84" t="str">
        <f>IF('Trabajos 2'!J135="","",'Trabajos 2'!J135)</f>
        <v/>
      </c>
      <c r="I135" s="107" t="str">
        <f>IF('Trabajos 2'!M135="","",'Trabajos 2'!M135)</f>
        <v/>
      </c>
      <c r="J135" s="84" t="str">
        <f>IF('Trabajos 2'!N135="","",'Trabajos 2'!N135)</f>
        <v/>
      </c>
      <c r="K135" s="84" t="str">
        <f>IF('Trabajos 2'!O135="","",'Trabajos 2'!O135)</f>
        <v/>
      </c>
      <c r="L135" s="84" t="str">
        <f>IF('Trabajos 2'!P135="","",'Trabajos 2'!P135)</f>
        <v/>
      </c>
    </row>
    <row r="136" spans="2:12" x14ac:dyDescent="0.25">
      <c r="B136" s="106" t="str">
        <f>IF('Trabajos 2'!B136="","",'Trabajos 2'!B136)</f>
        <v/>
      </c>
      <c r="C136" s="70" t="str">
        <f>IF('Trabajos 2'!F136="","",'Trabajos 2'!F136)</f>
        <v/>
      </c>
      <c r="D136" s="70" t="str">
        <f>IF('Trabajos 2'!D136="","",'Trabajos 2'!D136)</f>
        <v/>
      </c>
      <c r="E136" s="70" t="str">
        <f>IF('Trabajos 2'!G136="","",'Trabajos 2'!G136)</f>
        <v/>
      </c>
      <c r="F136" s="129" t="str">
        <f>IF('Trabajos 2'!H136="","",'Trabajos 2'!H136)</f>
        <v/>
      </c>
      <c r="G136" s="84" t="str">
        <f>IF('Trabajos 2'!I136="","",'Trabajos 2'!I136)</f>
        <v/>
      </c>
      <c r="H136" s="84" t="str">
        <f>IF('Trabajos 2'!J136="","",'Trabajos 2'!J136)</f>
        <v/>
      </c>
      <c r="I136" s="107" t="str">
        <f>IF('Trabajos 2'!M136="","",'Trabajos 2'!M136)</f>
        <v/>
      </c>
      <c r="J136" s="84" t="str">
        <f>IF('Trabajos 2'!N136="","",'Trabajos 2'!N136)</f>
        <v/>
      </c>
      <c r="K136" s="84" t="str">
        <f>IF('Trabajos 2'!O136="","",'Trabajos 2'!O136)</f>
        <v/>
      </c>
      <c r="L136" s="84" t="str">
        <f>IF('Trabajos 2'!P136="","",'Trabajos 2'!P136)</f>
        <v/>
      </c>
    </row>
    <row r="137" spans="2:12" x14ac:dyDescent="0.25">
      <c r="B137" s="106" t="str">
        <f>IF('Trabajos 2'!B137="","",'Trabajos 2'!B137)</f>
        <v/>
      </c>
      <c r="C137" s="70" t="str">
        <f>IF('Trabajos 2'!F137="","",'Trabajos 2'!F137)</f>
        <v/>
      </c>
      <c r="D137" s="70" t="str">
        <f>IF('Trabajos 2'!D137="","",'Trabajos 2'!D137)</f>
        <v/>
      </c>
      <c r="E137" s="70" t="str">
        <f>IF('Trabajos 2'!G137="","",'Trabajos 2'!G137)</f>
        <v/>
      </c>
      <c r="F137" s="129" t="str">
        <f>IF('Trabajos 2'!H137="","",'Trabajos 2'!H137)</f>
        <v/>
      </c>
      <c r="G137" s="84" t="str">
        <f>IF('Trabajos 2'!I137="","",'Trabajos 2'!I137)</f>
        <v/>
      </c>
      <c r="H137" s="84" t="str">
        <f>IF('Trabajos 2'!J137="","",'Trabajos 2'!J137)</f>
        <v/>
      </c>
      <c r="I137" s="107" t="str">
        <f>IF('Trabajos 2'!M137="","",'Trabajos 2'!M137)</f>
        <v/>
      </c>
      <c r="J137" s="84" t="str">
        <f>IF('Trabajos 2'!N137="","",'Trabajos 2'!N137)</f>
        <v/>
      </c>
      <c r="K137" s="84" t="str">
        <f>IF('Trabajos 2'!O137="","",'Trabajos 2'!O137)</f>
        <v/>
      </c>
      <c r="L137" s="84" t="str">
        <f>IF('Trabajos 2'!P137="","",'Trabajos 2'!P137)</f>
        <v/>
      </c>
    </row>
    <row r="138" spans="2:12" x14ac:dyDescent="0.25">
      <c r="B138" s="106" t="str">
        <f>IF('Trabajos 2'!B138="","",'Trabajos 2'!B138)</f>
        <v/>
      </c>
      <c r="C138" s="70" t="str">
        <f>IF('Trabajos 2'!F138="","",'Trabajos 2'!F138)</f>
        <v/>
      </c>
      <c r="D138" s="70" t="str">
        <f>IF('Trabajos 2'!D138="","",'Trabajos 2'!D138)</f>
        <v/>
      </c>
      <c r="E138" s="70" t="str">
        <f>IF('Trabajos 2'!G138="","",'Trabajos 2'!G138)</f>
        <v/>
      </c>
      <c r="F138" s="129" t="str">
        <f>IF('Trabajos 2'!H138="","",'Trabajos 2'!H138)</f>
        <v/>
      </c>
      <c r="G138" s="84" t="str">
        <f>IF('Trabajos 2'!I138="","",'Trabajos 2'!I138)</f>
        <v/>
      </c>
      <c r="H138" s="84" t="str">
        <f>IF('Trabajos 2'!J138="","",'Trabajos 2'!J138)</f>
        <v/>
      </c>
      <c r="I138" s="107" t="str">
        <f>IF('Trabajos 2'!M138="","",'Trabajos 2'!M138)</f>
        <v/>
      </c>
      <c r="J138" s="84" t="str">
        <f>IF('Trabajos 2'!N138="","",'Trabajos 2'!N138)</f>
        <v/>
      </c>
      <c r="K138" s="84" t="str">
        <f>IF('Trabajos 2'!O138="","",'Trabajos 2'!O138)</f>
        <v/>
      </c>
      <c r="L138" s="84" t="str">
        <f>IF('Trabajos 2'!P138="","",'Trabajos 2'!P138)</f>
        <v/>
      </c>
    </row>
    <row r="139" spans="2:12" x14ac:dyDescent="0.25">
      <c r="B139" s="106" t="str">
        <f>IF('Trabajos 2'!B139="","",'Trabajos 2'!B139)</f>
        <v/>
      </c>
      <c r="C139" s="70" t="str">
        <f>IF('Trabajos 2'!F139="","",'Trabajos 2'!F139)</f>
        <v/>
      </c>
      <c r="D139" s="70" t="str">
        <f>IF('Trabajos 2'!D139="","",'Trabajos 2'!D139)</f>
        <v/>
      </c>
      <c r="E139" s="70" t="str">
        <f>IF('Trabajos 2'!G139="","",'Trabajos 2'!G139)</f>
        <v/>
      </c>
      <c r="F139" s="129" t="str">
        <f>IF('Trabajos 2'!H139="","",'Trabajos 2'!H139)</f>
        <v/>
      </c>
      <c r="G139" s="84" t="str">
        <f>IF('Trabajos 2'!I139="","",'Trabajos 2'!I139)</f>
        <v/>
      </c>
      <c r="H139" s="84" t="str">
        <f>IF('Trabajos 2'!J139="","",'Trabajos 2'!J139)</f>
        <v/>
      </c>
      <c r="I139" s="107" t="str">
        <f>IF('Trabajos 2'!M139="","",'Trabajos 2'!M139)</f>
        <v/>
      </c>
      <c r="J139" s="84" t="str">
        <f>IF('Trabajos 2'!N139="","",'Trabajos 2'!N139)</f>
        <v/>
      </c>
      <c r="K139" s="84" t="str">
        <f>IF('Trabajos 2'!O139="","",'Trabajos 2'!O139)</f>
        <v/>
      </c>
      <c r="L139" s="84" t="str">
        <f>IF('Trabajos 2'!P139="","",'Trabajos 2'!P139)</f>
        <v/>
      </c>
    </row>
    <row r="140" spans="2:12" x14ac:dyDescent="0.25">
      <c r="B140" s="106" t="str">
        <f>IF('Trabajos 2'!B140="","",'Trabajos 2'!B140)</f>
        <v/>
      </c>
      <c r="C140" s="70" t="str">
        <f>IF('Trabajos 2'!F140="","",'Trabajos 2'!F140)</f>
        <v/>
      </c>
      <c r="D140" s="70" t="str">
        <f>IF('Trabajos 2'!D140="","",'Trabajos 2'!D140)</f>
        <v/>
      </c>
      <c r="E140" s="70" t="str">
        <f>IF('Trabajos 2'!G140="","",'Trabajos 2'!G140)</f>
        <v/>
      </c>
      <c r="F140" s="129" t="str">
        <f>IF('Trabajos 2'!H140="","",'Trabajos 2'!H140)</f>
        <v/>
      </c>
      <c r="G140" s="84" t="str">
        <f>IF('Trabajos 2'!I140="","",'Trabajos 2'!I140)</f>
        <v/>
      </c>
      <c r="H140" s="84" t="str">
        <f>IF('Trabajos 2'!J140="","",'Trabajos 2'!J140)</f>
        <v/>
      </c>
      <c r="I140" s="107" t="str">
        <f>IF('Trabajos 2'!M140="","",'Trabajos 2'!M140)</f>
        <v/>
      </c>
      <c r="J140" s="84" t="str">
        <f>IF('Trabajos 2'!N140="","",'Trabajos 2'!N140)</f>
        <v/>
      </c>
      <c r="K140" s="84" t="str">
        <f>IF('Trabajos 2'!O140="","",'Trabajos 2'!O140)</f>
        <v/>
      </c>
      <c r="L140" s="84" t="str">
        <f>IF('Trabajos 2'!P140="","",'Trabajos 2'!P140)</f>
        <v/>
      </c>
    </row>
    <row r="141" spans="2:12" x14ac:dyDescent="0.25">
      <c r="B141" s="106" t="str">
        <f>IF('Trabajos 2'!B141="","",'Trabajos 2'!B141)</f>
        <v/>
      </c>
      <c r="C141" s="70" t="str">
        <f>IF('Trabajos 2'!F141="","",'Trabajos 2'!F141)</f>
        <v/>
      </c>
      <c r="D141" s="70" t="str">
        <f>IF('Trabajos 2'!D141="","",'Trabajos 2'!D141)</f>
        <v/>
      </c>
      <c r="E141" s="70" t="str">
        <f>IF('Trabajos 2'!G141="","",'Trabajos 2'!G141)</f>
        <v/>
      </c>
      <c r="F141" s="129" t="str">
        <f>IF('Trabajos 2'!H141="","",'Trabajos 2'!H141)</f>
        <v/>
      </c>
      <c r="G141" s="84" t="str">
        <f>IF('Trabajos 2'!I141="","",'Trabajos 2'!I141)</f>
        <v/>
      </c>
      <c r="H141" s="84" t="str">
        <f>IF('Trabajos 2'!J141="","",'Trabajos 2'!J141)</f>
        <v/>
      </c>
      <c r="I141" s="107" t="str">
        <f>IF('Trabajos 2'!M141="","",'Trabajos 2'!M141)</f>
        <v/>
      </c>
      <c r="J141" s="84" t="str">
        <f>IF('Trabajos 2'!N141="","",'Trabajos 2'!N141)</f>
        <v/>
      </c>
      <c r="K141" s="84" t="str">
        <f>IF('Trabajos 2'!O141="","",'Trabajos 2'!O141)</f>
        <v/>
      </c>
      <c r="L141" s="84" t="str">
        <f>IF('Trabajos 2'!P141="","",'Trabajos 2'!P141)</f>
        <v/>
      </c>
    </row>
    <row r="142" spans="2:12" x14ac:dyDescent="0.25">
      <c r="B142" s="106" t="str">
        <f>IF('Trabajos 2'!B142="","",'Trabajos 2'!B142)</f>
        <v/>
      </c>
      <c r="C142" s="70" t="str">
        <f>IF('Trabajos 2'!F142="","",'Trabajos 2'!F142)</f>
        <v/>
      </c>
      <c r="D142" s="70" t="str">
        <f>IF('Trabajos 2'!D142="","",'Trabajos 2'!D142)</f>
        <v/>
      </c>
      <c r="E142" s="70" t="str">
        <f>IF('Trabajos 2'!G142="","",'Trabajos 2'!G142)</f>
        <v/>
      </c>
      <c r="F142" s="129" t="str">
        <f>IF('Trabajos 2'!H142="","",'Trabajos 2'!H142)</f>
        <v/>
      </c>
      <c r="G142" s="84" t="str">
        <f>IF('Trabajos 2'!I142="","",'Trabajos 2'!I142)</f>
        <v/>
      </c>
      <c r="H142" s="84" t="str">
        <f>IF('Trabajos 2'!J142="","",'Trabajos 2'!J142)</f>
        <v/>
      </c>
      <c r="I142" s="107" t="str">
        <f>IF('Trabajos 2'!M142="","",'Trabajos 2'!M142)</f>
        <v/>
      </c>
      <c r="J142" s="84" t="str">
        <f>IF('Trabajos 2'!N142="","",'Trabajos 2'!N142)</f>
        <v/>
      </c>
      <c r="K142" s="84" t="str">
        <f>IF('Trabajos 2'!O142="","",'Trabajos 2'!O142)</f>
        <v/>
      </c>
      <c r="L142" s="84" t="str">
        <f>IF('Trabajos 2'!P142="","",'Trabajos 2'!P142)</f>
        <v/>
      </c>
    </row>
    <row r="143" spans="2:12" x14ac:dyDescent="0.25">
      <c r="B143" s="106" t="str">
        <f>IF('Trabajos 2'!B143="","",'Trabajos 2'!B143)</f>
        <v/>
      </c>
      <c r="C143" s="70" t="str">
        <f>IF('Trabajos 2'!F143="","",'Trabajos 2'!F143)</f>
        <v/>
      </c>
      <c r="D143" s="70" t="str">
        <f>IF('Trabajos 2'!D143="","",'Trabajos 2'!D143)</f>
        <v/>
      </c>
      <c r="E143" s="70" t="str">
        <f>IF('Trabajos 2'!G143="","",'Trabajos 2'!G143)</f>
        <v/>
      </c>
      <c r="F143" s="129" t="str">
        <f>IF('Trabajos 2'!H143="","",'Trabajos 2'!H143)</f>
        <v/>
      </c>
      <c r="G143" s="84" t="str">
        <f>IF('Trabajos 2'!I143="","",'Trabajos 2'!I143)</f>
        <v/>
      </c>
      <c r="H143" s="84" t="str">
        <f>IF('Trabajos 2'!J143="","",'Trabajos 2'!J143)</f>
        <v/>
      </c>
      <c r="I143" s="107" t="str">
        <f>IF('Trabajos 2'!M143="","",'Trabajos 2'!M143)</f>
        <v/>
      </c>
      <c r="J143" s="84" t="str">
        <f>IF('Trabajos 2'!N143="","",'Trabajos 2'!N143)</f>
        <v/>
      </c>
      <c r="K143" s="84" t="str">
        <f>IF('Trabajos 2'!O143="","",'Trabajos 2'!O143)</f>
        <v/>
      </c>
      <c r="L143" s="84" t="str">
        <f>IF('Trabajos 2'!P143="","",'Trabajos 2'!P143)</f>
        <v/>
      </c>
    </row>
    <row r="144" spans="2:12" x14ac:dyDescent="0.25">
      <c r="B144" s="106" t="str">
        <f>IF('Trabajos 2'!B144="","",'Trabajos 2'!B144)</f>
        <v/>
      </c>
      <c r="C144" s="70" t="str">
        <f>IF('Trabajos 2'!F144="","",'Trabajos 2'!F144)</f>
        <v/>
      </c>
      <c r="D144" s="70" t="str">
        <f>IF('Trabajos 2'!D144="","",'Trabajos 2'!D144)</f>
        <v/>
      </c>
      <c r="E144" s="70" t="str">
        <f>IF('Trabajos 2'!G144="","",'Trabajos 2'!G144)</f>
        <v/>
      </c>
      <c r="F144" s="129" t="str">
        <f>IF('Trabajos 2'!H144="","",'Trabajos 2'!H144)</f>
        <v/>
      </c>
      <c r="G144" s="84" t="str">
        <f>IF('Trabajos 2'!I144="","",'Trabajos 2'!I144)</f>
        <v/>
      </c>
      <c r="H144" s="84" t="str">
        <f>IF('Trabajos 2'!J144="","",'Trabajos 2'!J144)</f>
        <v/>
      </c>
      <c r="I144" s="107" t="str">
        <f>IF('Trabajos 2'!M144="","",'Trabajos 2'!M144)</f>
        <v/>
      </c>
      <c r="J144" s="84" t="str">
        <f>IF('Trabajos 2'!N144="","",'Trabajos 2'!N144)</f>
        <v/>
      </c>
      <c r="K144" s="84" t="str">
        <f>IF('Trabajos 2'!O144="","",'Trabajos 2'!O144)</f>
        <v/>
      </c>
      <c r="L144" s="84" t="str">
        <f>IF('Trabajos 2'!P144="","",'Trabajos 2'!P144)</f>
        <v/>
      </c>
    </row>
    <row r="145" spans="2:12" x14ac:dyDescent="0.25">
      <c r="B145" s="106" t="str">
        <f>IF('Trabajos 2'!B145="","",'Trabajos 2'!B145)</f>
        <v/>
      </c>
      <c r="C145" s="70" t="str">
        <f>IF('Trabajos 2'!F145="","",'Trabajos 2'!F145)</f>
        <v/>
      </c>
      <c r="D145" s="70" t="str">
        <f>IF('Trabajos 2'!D145="","",'Trabajos 2'!D145)</f>
        <v/>
      </c>
      <c r="E145" s="70" t="str">
        <f>IF('Trabajos 2'!G145="","",'Trabajos 2'!G145)</f>
        <v/>
      </c>
      <c r="F145" s="129" t="str">
        <f>IF('Trabajos 2'!H145="","",'Trabajos 2'!H145)</f>
        <v/>
      </c>
      <c r="G145" s="84" t="str">
        <f>IF('Trabajos 2'!I145="","",'Trabajos 2'!I145)</f>
        <v/>
      </c>
      <c r="H145" s="84" t="str">
        <f>IF('Trabajos 2'!J145="","",'Trabajos 2'!J145)</f>
        <v/>
      </c>
      <c r="I145" s="107" t="str">
        <f>IF('Trabajos 2'!M145="","",'Trabajos 2'!M145)</f>
        <v/>
      </c>
      <c r="J145" s="84" t="str">
        <f>IF('Trabajos 2'!N145="","",'Trabajos 2'!N145)</f>
        <v/>
      </c>
      <c r="K145" s="84" t="str">
        <f>IF('Trabajos 2'!O145="","",'Trabajos 2'!O145)</f>
        <v/>
      </c>
      <c r="L145" s="84" t="str">
        <f>IF('Trabajos 2'!P145="","",'Trabajos 2'!P145)</f>
        <v/>
      </c>
    </row>
    <row r="146" spans="2:12" x14ac:dyDescent="0.25">
      <c r="B146" s="106" t="str">
        <f>IF('Trabajos 2'!B146="","",'Trabajos 2'!B146)</f>
        <v/>
      </c>
      <c r="C146" s="70" t="str">
        <f>IF('Trabajos 2'!F146="","",'Trabajos 2'!F146)</f>
        <v/>
      </c>
      <c r="D146" s="70" t="str">
        <f>IF('Trabajos 2'!D146="","",'Trabajos 2'!D146)</f>
        <v/>
      </c>
      <c r="E146" s="70" t="str">
        <f>IF('Trabajos 2'!G146="","",'Trabajos 2'!G146)</f>
        <v/>
      </c>
      <c r="F146" s="129" t="str">
        <f>IF('Trabajos 2'!H146="","",'Trabajos 2'!H146)</f>
        <v/>
      </c>
      <c r="G146" s="84" t="str">
        <f>IF('Trabajos 2'!I146="","",'Trabajos 2'!I146)</f>
        <v/>
      </c>
      <c r="H146" s="84" t="str">
        <f>IF('Trabajos 2'!J146="","",'Trabajos 2'!J146)</f>
        <v/>
      </c>
      <c r="I146" s="107" t="str">
        <f>IF('Trabajos 2'!M146="","",'Trabajos 2'!M146)</f>
        <v/>
      </c>
      <c r="J146" s="84" t="str">
        <f>IF('Trabajos 2'!N146="","",'Trabajos 2'!N146)</f>
        <v/>
      </c>
      <c r="K146" s="84" t="str">
        <f>IF('Trabajos 2'!O146="","",'Trabajos 2'!O146)</f>
        <v/>
      </c>
      <c r="L146" s="84" t="str">
        <f>IF('Trabajos 2'!P146="","",'Trabajos 2'!P146)</f>
        <v/>
      </c>
    </row>
    <row r="147" spans="2:12" x14ac:dyDescent="0.25">
      <c r="B147" s="106" t="str">
        <f>IF('Trabajos 2'!B147="","",'Trabajos 2'!B147)</f>
        <v/>
      </c>
      <c r="C147" s="70" t="str">
        <f>IF('Trabajos 2'!F147="","",'Trabajos 2'!F147)</f>
        <v/>
      </c>
      <c r="D147" s="70" t="str">
        <f>IF('Trabajos 2'!D147="","",'Trabajos 2'!D147)</f>
        <v/>
      </c>
      <c r="E147" s="70" t="str">
        <f>IF('Trabajos 2'!G147="","",'Trabajos 2'!G147)</f>
        <v/>
      </c>
      <c r="F147" s="129" t="str">
        <f>IF('Trabajos 2'!H147="","",'Trabajos 2'!H147)</f>
        <v/>
      </c>
      <c r="G147" s="84" t="str">
        <f>IF('Trabajos 2'!I147="","",'Trabajos 2'!I147)</f>
        <v/>
      </c>
      <c r="H147" s="84" t="str">
        <f>IF('Trabajos 2'!J147="","",'Trabajos 2'!J147)</f>
        <v/>
      </c>
      <c r="I147" s="107" t="str">
        <f>IF('Trabajos 2'!M147="","",'Trabajos 2'!M147)</f>
        <v/>
      </c>
      <c r="J147" s="84" t="str">
        <f>IF('Trabajos 2'!N147="","",'Trabajos 2'!N147)</f>
        <v/>
      </c>
      <c r="K147" s="84" t="str">
        <f>IF('Trabajos 2'!O147="","",'Trabajos 2'!O147)</f>
        <v/>
      </c>
      <c r="L147" s="84" t="str">
        <f>IF('Trabajos 2'!P147="","",'Trabajos 2'!P147)</f>
        <v/>
      </c>
    </row>
    <row r="148" spans="2:12" x14ac:dyDescent="0.25">
      <c r="B148" s="106" t="str">
        <f>IF('Trabajos 2'!B148="","",'Trabajos 2'!B148)</f>
        <v/>
      </c>
      <c r="C148" s="70" t="str">
        <f>IF('Trabajos 2'!F148="","",'Trabajos 2'!F148)</f>
        <v/>
      </c>
      <c r="D148" s="70" t="str">
        <f>IF('Trabajos 2'!D148="","",'Trabajos 2'!D148)</f>
        <v/>
      </c>
      <c r="E148" s="70" t="str">
        <f>IF('Trabajos 2'!G148="","",'Trabajos 2'!G148)</f>
        <v/>
      </c>
      <c r="F148" s="129" t="str">
        <f>IF('Trabajos 2'!H148="","",'Trabajos 2'!H148)</f>
        <v/>
      </c>
      <c r="G148" s="84" t="str">
        <f>IF('Trabajos 2'!I148="","",'Trabajos 2'!I148)</f>
        <v/>
      </c>
      <c r="H148" s="84" t="str">
        <f>IF('Trabajos 2'!J148="","",'Trabajos 2'!J148)</f>
        <v/>
      </c>
      <c r="I148" s="107" t="str">
        <f>IF('Trabajos 2'!M148="","",'Trabajos 2'!M148)</f>
        <v/>
      </c>
      <c r="J148" s="84" t="str">
        <f>IF('Trabajos 2'!N148="","",'Trabajos 2'!N148)</f>
        <v/>
      </c>
      <c r="K148" s="84" t="str">
        <f>IF('Trabajos 2'!O148="","",'Trabajos 2'!O148)</f>
        <v/>
      </c>
      <c r="L148" s="84" t="str">
        <f>IF('Trabajos 2'!P148="","",'Trabajos 2'!P148)</f>
        <v/>
      </c>
    </row>
    <row r="149" spans="2:12" x14ac:dyDescent="0.25">
      <c r="B149" s="106" t="str">
        <f>IF('Trabajos 2'!B149="","",'Trabajos 2'!B149)</f>
        <v/>
      </c>
      <c r="C149" s="70" t="str">
        <f>IF('Trabajos 2'!F149="","",'Trabajos 2'!F149)</f>
        <v/>
      </c>
      <c r="D149" s="70" t="str">
        <f>IF('Trabajos 2'!D149="","",'Trabajos 2'!D149)</f>
        <v/>
      </c>
      <c r="E149" s="70" t="str">
        <f>IF('Trabajos 2'!G149="","",'Trabajos 2'!G149)</f>
        <v/>
      </c>
      <c r="F149" s="129" t="str">
        <f>IF('Trabajos 2'!H149="","",'Trabajos 2'!H149)</f>
        <v/>
      </c>
      <c r="G149" s="84" t="str">
        <f>IF('Trabajos 2'!I149="","",'Trabajos 2'!I149)</f>
        <v/>
      </c>
      <c r="H149" s="84" t="str">
        <f>IF('Trabajos 2'!J149="","",'Trabajos 2'!J149)</f>
        <v/>
      </c>
      <c r="I149" s="107" t="str">
        <f>IF('Trabajos 2'!M149="","",'Trabajos 2'!M149)</f>
        <v/>
      </c>
      <c r="J149" s="84" t="str">
        <f>IF('Trabajos 2'!N149="","",'Trabajos 2'!N149)</f>
        <v/>
      </c>
      <c r="K149" s="84" t="str">
        <f>IF('Trabajos 2'!O149="","",'Trabajos 2'!O149)</f>
        <v/>
      </c>
      <c r="L149" s="84" t="str">
        <f>IF('Trabajos 2'!P149="","",'Trabajos 2'!P149)</f>
        <v/>
      </c>
    </row>
    <row r="150" spans="2:12" x14ac:dyDescent="0.25">
      <c r="B150" s="106" t="str">
        <f>IF('Trabajos 2'!B150="","",'Trabajos 2'!B150)</f>
        <v/>
      </c>
      <c r="C150" s="70" t="str">
        <f>IF('Trabajos 2'!F150="","",'Trabajos 2'!F150)</f>
        <v/>
      </c>
      <c r="D150" s="70" t="str">
        <f>IF('Trabajos 2'!D150="","",'Trabajos 2'!D150)</f>
        <v/>
      </c>
      <c r="E150" s="70" t="str">
        <f>IF('Trabajos 2'!G150="","",'Trabajos 2'!G150)</f>
        <v/>
      </c>
      <c r="F150" s="129" t="str">
        <f>IF('Trabajos 2'!H150="","",'Trabajos 2'!H150)</f>
        <v/>
      </c>
      <c r="G150" s="84" t="str">
        <f>IF('Trabajos 2'!I150="","",'Trabajos 2'!I150)</f>
        <v/>
      </c>
      <c r="H150" s="84" t="str">
        <f>IF('Trabajos 2'!J150="","",'Trabajos 2'!J150)</f>
        <v/>
      </c>
      <c r="I150" s="107" t="str">
        <f>IF('Trabajos 2'!M150="","",'Trabajos 2'!M150)</f>
        <v/>
      </c>
      <c r="J150" s="84" t="str">
        <f>IF('Trabajos 2'!N150="","",'Trabajos 2'!N150)</f>
        <v/>
      </c>
      <c r="K150" s="84" t="str">
        <f>IF('Trabajos 2'!O150="","",'Trabajos 2'!O150)</f>
        <v/>
      </c>
      <c r="L150" s="84" t="str">
        <f>IF('Trabajos 2'!P150="","",'Trabajos 2'!P150)</f>
        <v/>
      </c>
    </row>
    <row r="151" spans="2:12" x14ac:dyDescent="0.25">
      <c r="B151" s="106" t="str">
        <f>IF('Trabajos 2'!B151="","",'Trabajos 2'!B151)</f>
        <v/>
      </c>
      <c r="C151" s="70" t="str">
        <f>IF('Trabajos 2'!F151="","",'Trabajos 2'!F151)</f>
        <v/>
      </c>
      <c r="D151" s="70" t="str">
        <f>IF('Trabajos 2'!D151="","",'Trabajos 2'!D151)</f>
        <v/>
      </c>
      <c r="E151" s="70" t="str">
        <f>IF('Trabajos 2'!G151="","",'Trabajos 2'!G151)</f>
        <v/>
      </c>
      <c r="F151" s="129" t="str">
        <f>IF('Trabajos 2'!H151="","",'Trabajos 2'!H151)</f>
        <v/>
      </c>
      <c r="G151" s="84" t="str">
        <f>IF('Trabajos 2'!I151="","",'Trabajos 2'!I151)</f>
        <v/>
      </c>
      <c r="H151" s="84" t="str">
        <f>IF('Trabajos 2'!J151="","",'Trabajos 2'!J151)</f>
        <v/>
      </c>
      <c r="I151" s="107" t="str">
        <f>IF('Trabajos 2'!M151="","",'Trabajos 2'!M151)</f>
        <v/>
      </c>
      <c r="J151" s="84" t="str">
        <f>IF('Trabajos 2'!N151="","",'Trabajos 2'!N151)</f>
        <v/>
      </c>
      <c r="K151" s="84" t="str">
        <f>IF('Trabajos 2'!O151="","",'Trabajos 2'!O151)</f>
        <v/>
      </c>
      <c r="L151" s="84" t="str">
        <f>IF('Trabajos 2'!P151="","",'Trabajos 2'!P151)</f>
        <v/>
      </c>
    </row>
    <row r="152" spans="2:12" x14ac:dyDescent="0.25">
      <c r="B152" s="106" t="str">
        <f>IF('Trabajos 2'!B152="","",'Trabajos 2'!B152)</f>
        <v/>
      </c>
      <c r="C152" s="70" t="str">
        <f>IF('Trabajos 2'!F152="","",'Trabajos 2'!F152)</f>
        <v/>
      </c>
      <c r="D152" s="70" t="str">
        <f>IF('Trabajos 2'!D152="","",'Trabajos 2'!D152)</f>
        <v/>
      </c>
      <c r="E152" s="70" t="str">
        <f>IF('Trabajos 2'!G152="","",'Trabajos 2'!G152)</f>
        <v/>
      </c>
      <c r="F152" s="129" t="str">
        <f>IF('Trabajos 2'!H152="","",'Trabajos 2'!H152)</f>
        <v/>
      </c>
      <c r="G152" s="84" t="str">
        <f>IF('Trabajos 2'!I152="","",'Trabajos 2'!I152)</f>
        <v/>
      </c>
      <c r="H152" s="84" t="str">
        <f>IF('Trabajos 2'!J152="","",'Trabajos 2'!J152)</f>
        <v/>
      </c>
      <c r="I152" s="107" t="str">
        <f>IF('Trabajos 2'!M152="","",'Trabajos 2'!M152)</f>
        <v/>
      </c>
      <c r="J152" s="84" t="str">
        <f>IF('Trabajos 2'!N152="","",'Trabajos 2'!N152)</f>
        <v/>
      </c>
      <c r="K152" s="84" t="str">
        <f>IF('Trabajos 2'!O152="","",'Trabajos 2'!O152)</f>
        <v/>
      </c>
      <c r="L152" s="84" t="str">
        <f>IF('Trabajos 2'!P152="","",'Trabajos 2'!P152)</f>
        <v/>
      </c>
    </row>
    <row r="153" spans="2:12" x14ac:dyDescent="0.25">
      <c r="B153" s="82" t="s">
        <v>9</v>
      </c>
      <c r="C153" s="82"/>
      <c r="D153" s="82"/>
      <c r="E153" s="85"/>
      <c r="F153" s="207">
        <f>SUBTOTAL(9,F5:F152)</f>
        <v>80.300000000000011</v>
      </c>
      <c r="G153" s="85"/>
      <c r="H153" s="85"/>
      <c r="I153" s="109">
        <f>SUBTOTAL(9,I5:I152)</f>
        <v>18828</v>
      </c>
      <c r="J153" s="85"/>
      <c r="K153" s="85"/>
      <c r="L153" s="86">
        <f>SUBTOTAL(9,L5:L152)</f>
        <v>26437243.449999999</v>
      </c>
    </row>
  </sheetData>
  <autoFilter ref="B4:L152" xr:uid="{00000000-0009-0000-0000-00000B000000}"/>
  <pageMargins left="0.7" right="0.7" top="0.75" bottom="0.75" header="0.3" footer="0.3"/>
  <pageSetup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135"/>
  <sheetViews>
    <sheetView showGridLines="0" workbookViewId="0">
      <selection activeCell="I11" sqref="I11"/>
    </sheetView>
  </sheetViews>
  <sheetFormatPr baseColWidth="10" defaultRowHeight="15" x14ac:dyDescent="0.25"/>
  <cols>
    <col min="1" max="1" width="7.140625" customWidth="1"/>
    <col min="2" max="2" width="11.140625" customWidth="1"/>
    <col min="4" max="4" width="6.28515625" customWidth="1"/>
    <col min="6" max="6" width="12.5703125" bestFit="1" customWidth="1"/>
    <col min="7" max="7" width="12.5703125" customWidth="1"/>
    <col min="8" max="8" width="6.28515625" customWidth="1"/>
    <col min="10" max="10" width="13.28515625" bestFit="1" customWidth="1"/>
    <col min="12" max="12" width="6.28515625" customWidth="1"/>
    <col min="14" max="14" width="13.28515625" bestFit="1" customWidth="1"/>
  </cols>
  <sheetData>
    <row r="1" spans="2:15" ht="5.2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2:15" x14ac:dyDescent="0.25">
      <c r="B2" s="240" t="s">
        <v>160</v>
      </c>
      <c r="C2" s="240"/>
    </row>
    <row r="3" spans="2:15" x14ac:dyDescent="0.25">
      <c r="B3" s="240"/>
      <c r="C3" s="240"/>
      <c r="D3" s="88"/>
      <c r="E3" s="88"/>
    </row>
    <row r="4" spans="2:15" ht="15.75" x14ac:dyDescent="0.25">
      <c r="B4" s="177" t="s">
        <v>161</v>
      </c>
      <c r="C4" s="177"/>
      <c r="D4" s="88"/>
      <c r="E4" s="248" t="s">
        <v>162</v>
      </c>
      <c r="F4" s="248"/>
      <c r="G4" s="248"/>
      <c r="I4" s="248" t="s">
        <v>164</v>
      </c>
      <c r="J4" s="248"/>
      <c r="K4" s="248"/>
      <c r="M4" s="248" t="s">
        <v>128</v>
      </c>
      <c r="N4" s="248"/>
      <c r="O4" s="179"/>
    </row>
    <row r="5" spans="2:15" ht="7.5" customHeight="1" x14ac:dyDescent="0.25">
      <c r="E5" s="88"/>
    </row>
    <row r="6" spans="2:15" x14ac:dyDescent="0.25">
      <c r="B6" s="89" t="s">
        <v>0</v>
      </c>
      <c r="C6" s="89" t="s">
        <v>3</v>
      </c>
      <c r="E6" s="89" t="s">
        <v>0</v>
      </c>
      <c r="F6" s="89" t="s">
        <v>3</v>
      </c>
      <c r="G6" s="178" t="s">
        <v>129</v>
      </c>
      <c r="I6" s="89" t="s">
        <v>0</v>
      </c>
      <c r="J6" s="89" t="s">
        <v>3</v>
      </c>
      <c r="K6" s="178" t="s">
        <v>165</v>
      </c>
      <c r="M6" s="89" t="s">
        <v>166</v>
      </c>
      <c r="N6" s="89" t="s">
        <v>3</v>
      </c>
    </row>
    <row r="7" spans="2:15" x14ac:dyDescent="0.25">
      <c r="B7" s="79"/>
      <c r="C7" s="83"/>
      <c r="E7" s="79"/>
      <c r="F7" s="176"/>
      <c r="G7" s="91"/>
      <c r="I7" s="70"/>
      <c r="J7" s="84">
        <f>SUMIFS($C$7:$C$135,$B$7:$B$135,"&gt;="&amp;Referencias!W5,$B$7:$B$135,"&lt;="&amp;Referencias!X5)-SUMIFS($F$7:$F$135,$E$7:$E$135,"&gt;="&amp;Referencias!W5,$E$7:$E$135,"&lt;="&amp;Referencias!X5)</f>
        <v>0</v>
      </c>
      <c r="K7" s="91"/>
      <c r="M7" s="70" t="s">
        <v>11</v>
      </c>
      <c r="N7" s="84">
        <f>SUMIF(G7:G135,M7,F7:F135)+SUMIF(K7:K11,M7,J7:J11)</f>
        <v>0</v>
      </c>
    </row>
    <row r="8" spans="2:15" x14ac:dyDescent="0.25">
      <c r="B8" s="79"/>
      <c r="C8" s="83"/>
      <c r="E8" s="79"/>
      <c r="F8" s="83"/>
      <c r="G8" s="91"/>
      <c r="I8" s="70"/>
      <c r="J8" s="84">
        <f>SUMIFS($C$7:$C$135,$B$7:$B$135,"&gt;="&amp;Referencias!W6,$B$7:$B$135,"&lt;="&amp;Referencias!X6)-SUMIFS($F$7:$F$135,$E$7:$E$135,"&gt;="&amp;Referencias!W6,$E$7:$E$135,"&lt;="&amp;Referencias!X6)</f>
        <v>0</v>
      </c>
      <c r="K8" s="91"/>
      <c r="M8" s="70" t="s">
        <v>10</v>
      </c>
      <c r="N8" s="84">
        <f>SUMIF(G7:G135,M8,F7:F135)+SUMIF(K7:K11,M8,J7:J11)</f>
        <v>0</v>
      </c>
    </row>
    <row r="9" spans="2:15" x14ac:dyDescent="0.25">
      <c r="B9" s="79"/>
      <c r="C9" s="83"/>
      <c r="E9" s="79"/>
      <c r="F9" s="83"/>
      <c r="G9" s="91"/>
      <c r="I9" s="70"/>
      <c r="J9" s="84">
        <f>SUMIFS($C$7:$C$135,$B$7:$B$135,"&gt;="&amp;Referencias!W7,$B$7:$B$135,"&lt;="&amp;Referencias!X7)-SUMIFS($F$7:$F$135,$E$7:$E$135,"&gt;="&amp;Referencias!W7,$E$7:$E$135,"&lt;="&amp;Referencias!X7)</f>
        <v>0</v>
      </c>
      <c r="K9" s="91"/>
    </row>
    <row r="10" spans="2:15" x14ac:dyDescent="0.25">
      <c r="B10" s="79"/>
      <c r="C10" s="83"/>
      <c r="E10" s="79"/>
      <c r="F10" s="83"/>
      <c r="G10" s="91"/>
      <c r="I10" s="70"/>
      <c r="J10" s="84">
        <f>SUMIFS($C$7:$C$135,$B$7:$B$135,"&gt;="&amp;Referencias!W8,$B$7:$B$135,"&lt;="&amp;Referencias!X8)-SUMIFS($F$7:$F$135,$E$7:$E$135,"&gt;="&amp;Referencias!W8,$E$7:$E$135,"&lt;="&amp;Referencias!X8)</f>
        <v>0</v>
      </c>
      <c r="K10" s="91"/>
    </row>
    <row r="11" spans="2:15" x14ac:dyDescent="0.25">
      <c r="B11" s="79"/>
      <c r="C11" s="83"/>
      <c r="E11" s="79"/>
      <c r="F11" s="83"/>
      <c r="G11" s="91"/>
      <c r="I11" s="70"/>
      <c r="J11" s="84">
        <f>SUMIFS($C$7:$C$135,$B$7:$B$135,"&gt;="&amp;Referencias!W9,$B$7:$B$135,"&lt;="&amp;Referencias!X9)-SUMIFS($F$7:$F$135,$E$7:$E$135,"&gt;="&amp;Referencias!W9,$E$7:$E$135,"&lt;="&amp;Referencias!X9)</f>
        <v>0</v>
      </c>
      <c r="K11" s="91"/>
    </row>
    <row r="12" spans="2:15" x14ac:dyDescent="0.25">
      <c r="B12" s="79"/>
      <c r="C12" s="83"/>
      <c r="E12" s="79"/>
      <c r="F12" s="83"/>
      <c r="G12" s="91"/>
    </row>
    <row r="13" spans="2:15" x14ac:dyDescent="0.25">
      <c r="B13" s="79"/>
      <c r="C13" s="83"/>
      <c r="E13" s="79"/>
      <c r="F13" s="83"/>
      <c r="G13" s="91"/>
    </row>
    <row r="14" spans="2:15" x14ac:dyDescent="0.25">
      <c r="B14" s="79"/>
      <c r="C14" s="83"/>
      <c r="E14" s="79"/>
      <c r="F14" s="83"/>
      <c r="G14" s="91"/>
    </row>
    <row r="15" spans="2:15" x14ac:dyDescent="0.25">
      <c r="B15" s="79"/>
      <c r="C15" s="83"/>
      <c r="E15" s="79"/>
      <c r="F15" s="83"/>
      <c r="G15" s="91"/>
    </row>
    <row r="16" spans="2:15" x14ac:dyDescent="0.25">
      <c r="B16" s="79"/>
      <c r="C16" s="83"/>
      <c r="E16" s="79"/>
      <c r="F16" s="83"/>
      <c r="G16" s="91"/>
    </row>
    <row r="17" spans="2:10" x14ac:dyDescent="0.25">
      <c r="B17" s="79"/>
      <c r="C17" s="83"/>
      <c r="E17" s="79"/>
      <c r="F17" s="83"/>
      <c r="G17" s="91"/>
    </row>
    <row r="18" spans="2:10" x14ac:dyDescent="0.25">
      <c r="B18" s="79"/>
      <c r="C18" s="83"/>
      <c r="E18" s="79"/>
      <c r="F18" s="83"/>
      <c r="G18" s="91"/>
    </row>
    <row r="19" spans="2:10" x14ac:dyDescent="0.25">
      <c r="B19" s="79"/>
      <c r="C19" s="83"/>
      <c r="E19" s="79"/>
      <c r="F19" s="83"/>
      <c r="G19" s="91"/>
      <c r="J19" s="111"/>
    </row>
    <row r="20" spans="2:10" x14ac:dyDescent="0.25">
      <c r="B20" s="79"/>
      <c r="C20" s="83"/>
      <c r="E20" s="79"/>
      <c r="F20" s="83"/>
      <c r="G20" s="91"/>
    </row>
    <row r="21" spans="2:10" x14ac:dyDescent="0.25">
      <c r="B21" s="79"/>
      <c r="C21" s="83"/>
      <c r="E21" s="79"/>
      <c r="F21" s="83"/>
      <c r="G21" s="91"/>
    </row>
    <row r="22" spans="2:10" x14ac:dyDescent="0.25">
      <c r="B22" s="79"/>
      <c r="C22" s="83"/>
      <c r="E22" s="79"/>
      <c r="F22" s="83"/>
      <c r="G22" s="91"/>
    </row>
    <row r="23" spans="2:10" x14ac:dyDescent="0.25">
      <c r="B23" s="79"/>
      <c r="C23" s="83"/>
      <c r="E23" s="79"/>
      <c r="F23" s="83"/>
      <c r="G23" s="91"/>
    </row>
    <row r="24" spans="2:10" x14ac:dyDescent="0.25">
      <c r="B24" s="149"/>
      <c r="C24" s="151"/>
      <c r="E24" s="79"/>
      <c r="F24" s="83"/>
      <c r="G24" s="91"/>
    </row>
    <row r="25" spans="2:10" x14ac:dyDescent="0.25">
      <c r="B25" s="79"/>
      <c r="C25" s="83"/>
      <c r="E25" s="79"/>
      <c r="F25" s="83"/>
      <c r="G25" s="91"/>
    </row>
    <row r="26" spans="2:10" x14ac:dyDescent="0.25">
      <c r="B26" s="79"/>
      <c r="C26" s="83"/>
      <c r="E26" s="79"/>
      <c r="F26" s="83"/>
      <c r="G26" s="91"/>
    </row>
    <row r="27" spans="2:10" x14ac:dyDescent="0.25">
      <c r="B27" s="79"/>
      <c r="C27" s="83"/>
      <c r="E27" s="79"/>
      <c r="F27" s="83"/>
      <c r="G27" s="91"/>
    </row>
    <row r="28" spans="2:10" x14ac:dyDescent="0.25">
      <c r="B28" s="79"/>
      <c r="C28" s="83"/>
      <c r="E28" s="79"/>
      <c r="F28" s="83"/>
      <c r="G28" s="91"/>
    </row>
    <row r="29" spans="2:10" x14ac:dyDescent="0.25">
      <c r="B29" s="79"/>
      <c r="C29" s="83"/>
      <c r="E29" s="79"/>
      <c r="F29" s="83"/>
      <c r="G29" s="91"/>
    </row>
    <row r="30" spans="2:10" x14ac:dyDescent="0.25">
      <c r="B30" s="79"/>
      <c r="C30" s="83"/>
      <c r="E30" s="79"/>
      <c r="F30" s="83"/>
      <c r="G30" s="91"/>
    </row>
    <row r="31" spans="2:10" x14ac:dyDescent="0.25">
      <c r="B31" s="79"/>
      <c r="C31" s="83"/>
      <c r="E31" s="79"/>
      <c r="F31" s="83"/>
      <c r="G31" s="91"/>
    </row>
    <row r="32" spans="2:10" x14ac:dyDescent="0.25">
      <c r="B32" s="79"/>
      <c r="C32" s="83"/>
      <c r="E32" s="79"/>
      <c r="F32" s="83"/>
      <c r="G32" s="91"/>
    </row>
    <row r="33" spans="2:7" x14ac:dyDescent="0.25">
      <c r="B33" s="79"/>
      <c r="C33" s="83"/>
      <c r="E33" s="79"/>
      <c r="F33" s="83"/>
      <c r="G33" s="91"/>
    </row>
    <row r="34" spans="2:7" x14ac:dyDescent="0.25">
      <c r="B34" s="79"/>
      <c r="C34" s="83"/>
      <c r="E34" s="79"/>
      <c r="F34" s="83"/>
      <c r="G34" s="91"/>
    </row>
    <row r="35" spans="2:7" x14ac:dyDescent="0.25">
      <c r="B35" s="79"/>
      <c r="C35" s="83"/>
      <c r="E35" s="79"/>
      <c r="F35" s="83"/>
      <c r="G35" s="91"/>
    </row>
    <row r="36" spans="2:7" x14ac:dyDescent="0.25">
      <c r="B36" s="79"/>
      <c r="C36" s="83"/>
      <c r="E36" s="79"/>
      <c r="F36" s="83"/>
      <c r="G36" s="91"/>
    </row>
    <row r="37" spans="2:7" x14ac:dyDescent="0.25">
      <c r="B37" s="79"/>
      <c r="C37" s="83"/>
      <c r="E37" s="79"/>
      <c r="F37" s="83"/>
      <c r="G37" s="91"/>
    </row>
    <row r="38" spans="2:7" x14ac:dyDescent="0.25">
      <c r="B38" s="79"/>
      <c r="C38" s="83"/>
      <c r="E38" s="79"/>
      <c r="F38" s="83"/>
      <c r="G38" s="91"/>
    </row>
    <row r="39" spans="2:7" x14ac:dyDescent="0.25">
      <c r="B39" s="79"/>
      <c r="C39" s="83"/>
      <c r="E39" s="79"/>
      <c r="F39" s="83"/>
      <c r="G39" s="91"/>
    </row>
    <row r="40" spans="2:7" x14ac:dyDescent="0.25">
      <c r="B40" s="79"/>
      <c r="C40" s="83"/>
      <c r="E40" s="79"/>
      <c r="F40" s="83"/>
      <c r="G40" s="91"/>
    </row>
    <row r="41" spans="2:7" x14ac:dyDescent="0.25">
      <c r="B41" s="79"/>
      <c r="C41" s="83"/>
      <c r="E41" s="79"/>
      <c r="F41" s="83"/>
      <c r="G41" s="91"/>
    </row>
    <row r="42" spans="2:7" x14ac:dyDescent="0.25">
      <c r="B42" s="79"/>
      <c r="C42" s="83"/>
      <c r="E42" s="79"/>
      <c r="F42" s="83"/>
      <c r="G42" s="91"/>
    </row>
    <row r="43" spans="2:7" x14ac:dyDescent="0.25">
      <c r="B43" s="79"/>
      <c r="C43" s="83"/>
      <c r="E43" s="79"/>
      <c r="F43" s="83"/>
      <c r="G43" s="91"/>
    </row>
    <row r="44" spans="2:7" x14ac:dyDescent="0.25">
      <c r="B44" s="79"/>
      <c r="C44" s="83"/>
      <c r="E44" s="79"/>
      <c r="F44" s="83"/>
      <c r="G44" s="91"/>
    </row>
    <row r="45" spans="2:7" x14ac:dyDescent="0.25">
      <c r="B45" s="79"/>
      <c r="C45" s="83"/>
      <c r="E45" s="79"/>
      <c r="F45" s="83"/>
      <c r="G45" s="91"/>
    </row>
    <row r="46" spans="2:7" x14ac:dyDescent="0.25">
      <c r="B46" s="79"/>
      <c r="C46" s="83"/>
      <c r="E46" s="79"/>
      <c r="F46" s="83"/>
      <c r="G46" s="91"/>
    </row>
    <row r="47" spans="2:7" x14ac:dyDescent="0.25">
      <c r="B47" s="79"/>
      <c r="C47" s="83"/>
      <c r="E47" s="79"/>
      <c r="F47" s="83"/>
      <c r="G47" s="91"/>
    </row>
    <row r="48" spans="2:7" x14ac:dyDescent="0.25">
      <c r="B48" s="79"/>
      <c r="C48" s="83"/>
      <c r="E48" s="79"/>
      <c r="F48" s="83"/>
      <c r="G48" s="91"/>
    </row>
    <row r="49" spans="2:7" x14ac:dyDescent="0.25">
      <c r="B49" s="79"/>
      <c r="C49" s="83"/>
      <c r="E49" s="79"/>
      <c r="F49" s="83"/>
      <c r="G49" s="91"/>
    </row>
    <row r="50" spans="2:7" x14ac:dyDescent="0.25">
      <c r="B50" s="79"/>
      <c r="C50" s="83"/>
      <c r="E50" s="79"/>
      <c r="F50" s="83"/>
      <c r="G50" s="91"/>
    </row>
    <row r="51" spans="2:7" x14ac:dyDescent="0.25">
      <c r="B51" s="79"/>
      <c r="C51" s="83"/>
      <c r="E51" s="79"/>
      <c r="F51" s="83"/>
      <c r="G51" s="91"/>
    </row>
    <row r="52" spans="2:7" x14ac:dyDescent="0.25">
      <c r="B52" s="79"/>
      <c r="C52" s="83"/>
      <c r="E52" s="79"/>
      <c r="F52" s="83"/>
      <c r="G52" s="91"/>
    </row>
    <row r="53" spans="2:7" x14ac:dyDescent="0.25">
      <c r="B53" s="79"/>
      <c r="C53" s="83"/>
      <c r="E53" s="79"/>
      <c r="F53" s="83"/>
      <c r="G53" s="91"/>
    </row>
    <row r="54" spans="2:7" x14ac:dyDescent="0.25">
      <c r="B54" s="79"/>
      <c r="C54" s="83"/>
      <c r="E54" s="79"/>
      <c r="F54" s="83"/>
      <c r="G54" s="91"/>
    </row>
    <row r="55" spans="2:7" x14ac:dyDescent="0.25">
      <c r="B55" s="79"/>
      <c r="C55" s="83"/>
      <c r="E55" s="79"/>
      <c r="F55" s="83"/>
      <c r="G55" s="91"/>
    </row>
    <row r="56" spans="2:7" x14ac:dyDescent="0.25">
      <c r="B56" s="79"/>
      <c r="C56" s="83"/>
      <c r="E56" s="79"/>
      <c r="F56" s="83"/>
      <c r="G56" s="91"/>
    </row>
    <row r="57" spans="2:7" x14ac:dyDescent="0.25">
      <c r="B57" s="79"/>
      <c r="C57" s="83"/>
      <c r="E57" s="79"/>
      <c r="F57" s="83"/>
      <c r="G57" s="91"/>
    </row>
    <row r="58" spans="2:7" x14ac:dyDescent="0.25">
      <c r="B58" s="79"/>
      <c r="C58" s="83"/>
      <c r="E58" s="79"/>
      <c r="F58" s="83"/>
      <c r="G58" s="91"/>
    </row>
    <row r="59" spans="2:7" x14ac:dyDescent="0.25">
      <c r="B59" s="79"/>
      <c r="C59" s="83"/>
      <c r="E59" s="79"/>
      <c r="F59" s="83"/>
      <c r="G59" s="91"/>
    </row>
    <row r="60" spans="2:7" x14ac:dyDescent="0.25">
      <c r="B60" s="79"/>
      <c r="C60" s="83"/>
      <c r="E60" s="79"/>
      <c r="F60" s="83"/>
      <c r="G60" s="91"/>
    </row>
    <row r="61" spans="2:7" x14ac:dyDescent="0.25">
      <c r="B61" s="79"/>
      <c r="C61" s="83"/>
      <c r="E61" s="79"/>
      <c r="F61" s="83"/>
      <c r="G61" s="91"/>
    </row>
    <row r="62" spans="2:7" x14ac:dyDescent="0.25">
      <c r="B62" s="79"/>
      <c r="C62" s="83"/>
      <c r="E62" s="79"/>
      <c r="F62" s="83"/>
      <c r="G62" s="91"/>
    </row>
    <row r="63" spans="2:7" x14ac:dyDescent="0.25">
      <c r="B63" s="79"/>
      <c r="C63" s="83"/>
      <c r="E63" s="79"/>
      <c r="F63" s="83"/>
      <c r="G63" s="91"/>
    </row>
    <row r="64" spans="2:7" x14ac:dyDescent="0.25">
      <c r="B64" s="79"/>
      <c r="C64" s="83"/>
      <c r="E64" s="79"/>
      <c r="F64" s="83"/>
      <c r="G64" s="91"/>
    </row>
    <row r="65" spans="2:7" x14ac:dyDescent="0.25">
      <c r="B65" s="79"/>
      <c r="C65" s="83"/>
      <c r="E65" s="79"/>
      <c r="F65" s="83"/>
      <c r="G65" s="91"/>
    </row>
    <row r="66" spans="2:7" x14ac:dyDescent="0.25">
      <c r="B66" s="79"/>
      <c r="C66" s="83"/>
      <c r="E66" s="79"/>
      <c r="F66" s="83"/>
      <c r="G66" s="91"/>
    </row>
    <row r="67" spans="2:7" x14ac:dyDescent="0.25">
      <c r="B67" s="79"/>
      <c r="C67" s="83"/>
      <c r="E67" s="79"/>
      <c r="F67" s="83"/>
      <c r="G67" s="91"/>
    </row>
    <row r="68" spans="2:7" x14ac:dyDescent="0.25">
      <c r="B68" s="79"/>
      <c r="C68" s="83"/>
      <c r="E68" s="79"/>
      <c r="F68" s="83"/>
      <c r="G68" s="91"/>
    </row>
    <row r="69" spans="2:7" x14ac:dyDescent="0.25">
      <c r="B69" s="79"/>
      <c r="C69" s="83"/>
      <c r="E69" s="79"/>
      <c r="F69" s="83"/>
      <c r="G69" s="91"/>
    </row>
    <row r="70" spans="2:7" x14ac:dyDescent="0.25">
      <c r="B70" s="79"/>
      <c r="C70" s="83"/>
      <c r="E70" s="79"/>
      <c r="F70" s="83"/>
      <c r="G70" s="91"/>
    </row>
    <row r="71" spans="2:7" x14ac:dyDescent="0.25">
      <c r="B71" s="79"/>
      <c r="C71" s="83"/>
      <c r="E71" s="79"/>
      <c r="F71" s="83"/>
      <c r="G71" s="91"/>
    </row>
    <row r="72" spans="2:7" x14ac:dyDescent="0.25">
      <c r="B72" s="79"/>
      <c r="C72" s="83"/>
      <c r="E72" s="79"/>
      <c r="F72" s="83"/>
      <c r="G72" s="91"/>
    </row>
    <row r="73" spans="2:7" x14ac:dyDescent="0.25">
      <c r="B73" s="79"/>
      <c r="C73" s="83"/>
      <c r="E73" s="79"/>
      <c r="F73" s="83"/>
      <c r="G73" s="91"/>
    </row>
    <row r="74" spans="2:7" x14ac:dyDescent="0.25">
      <c r="B74" s="79"/>
      <c r="C74" s="83"/>
      <c r="E74" s="79"/>
      <c r="F74" s="83"/>
      <c r="G74" s="91"/>
    </row>
    <row r="75" spans="2:7" x14ac:dyDescent="0.25">
      <c r="B75" s="79"/>
      <c r="C75" s="83"/>
      <c r="E75" s="79"/>
      <c r="F75" s="83"/>
      <c r="G75" s="91"/>
    </row>
    <row r="76" spans="2:7" x14ac:dyDescent="0.25">
      <c r="B76" s="79"/>
      <c r="C76" s="83"/>
      <c r="E76" s="79"/>
      <c r="F76" s="83"/>
      <c r="G76" s="91"/>
    </row>
    <row r="77" spans="2:7" x14ac:dyDescent="0.25">
      <c r="B77" s="79"/>
      <c r="C77" s="83"/>
      <c r="E77" s="79"/>
      <c r="F77" s="83"/>
      <c r="G77" s="91"/>
    </row>
    <row r="78" spans="2:7" x14ac:dyDescent="0.25">
      <c r="B78" s="79"/>
      <c r="C78" s="83"/>
      <c r="E78" s="79"/>
      <c r="F78" s="83"/>
      <c r="G78" s="91"/>
    </row>
    <row r="79" spans="2:7" x14ac:dyDescent="0.25">
      <c r="B79" s="79"/>
      <c r="C79" s="83"/>
      <c r="E79" s="79"/>
      <c r="F79" s="83"/>
      <c r="G79" s="91"/>
    </row>
    <row r="80" spans="2:7" x14ac:dyDescent="0.25">
      <c r="B80" s="79"/>
      <c r="C80" s="83"/>
      <c r="E80" s="79"/>
      <c r="F80" s="83"/>
      <c r="G80" s="91"/>
    </row>
    <row r="81" spans="2:7" x14ac:dyDescent="0.25">
      <c r="B81" s="79"/>
      <c r="C81" s="83"/>
      <c r="E81" s="79"/>
      <c r="F81" s="83"/>
      <c r="G81" s="91"/>
    </row>
    <row r="82" spans="2:7" x14ac:dyDescent="0.25">
      <c r="B82" s="79"/>
      <c r="C82" s="83"/>
      <c r="E82" s="79"/>
      <c r="F82" s="83"/>
      <c r="G82" s="91"/>
    </row>
    <row r="83" spans="2:7" x14ac:dyDescent="0.25">
      <c r="B83" s="79"/>
      <c r="C83" s="83"/>
      <c r="E83" s="79"/>
      <c r="F83" s="83"/>
      <c r="G83" s="91"/>
    </row>
    <row r="84" spans="2:7" x14ac:dyDescent="0.25">
      <c r="B84" s="79"/>
      <c r="C84" s="83"/>
      <c r="E84" s="79"/>
      <c r="F84" s="83"/>
      <c r="G84" s="91"/>
    </row>
    <row r="85" spans="2:7" x14ac:dyDescent="0.25">
      <c r="B85" s="79"/>
      <c r="C85" s="83"/>
      <c r="E85" s="79"/>
      <c r="F85" s="83"/>
      <c r="G85" s="91"/>
    </row>
    <row r="86" spans="2:7" x14ac:dyDescent="0.25">
      <c r="B86" s="79"/>
      <c r="C86" s="83"/>
      <c r="E86" s="79"/>
      <c r="F86" s="83"/>
      <c r="G86" s="91"/>
    </row>
    <row r="87" spans="2:7" x14ac:dyDescent="0.25">
      <c r="B87" s="79"/>
      <c r="C87" s="83"/>
      <c r="E87" s="79"/>
      <c r="F87" s="83"/>
      <c r="G87" s="91"/>
    </row>
    <row r="88" spans="2:7" x14ac:dyDescent="0.25">
      <c r="B88" s="79"/>
      <c r="C88" s="83"/>
      <c r="E88" s="79"/>
      <c r="F88" s="83"/>
      <c r="G88" s="91"/>
    </row>
    <row r="89" spans="2:7" x14ac:dyDescent="0.25">
      <c r="B89" s="79"/>
      <c r="C89" s="83"/>
      <c r="E89" s="79"/>
      <c r="F89" s="83"/>
      <c r="G89" s="91"/>
    </row>
    <row r="90" spans="2:7" x14ac:dyDescent="0.25">
      <c r="B90" s="79"/>
      <c r="C90" s="83"/>
      <c r="E90" s="79"/>
      <c r="F90" s="83"/>
      <c r="G90" s="91"/>
    </row>
    <row r="91" spans="2:7" x14ac:dyDescent="0.25">
      <c r="B91" s="79"/>
      <c r="C91" s="83"/>
      <c r="E91" s="79"/>
      <c r="F91" s="83"/>
      <c r="G91" s="91"/>
    </row>
    <row r="92" spans="2:7" x14ac:dyDescent="0.25">
      <c r="B92" s="79"/>
      <c r="C92" s="83"/>
      <c r="E92" s="79"/>
      <c r="F92" s="83"/>
      <c r="G92" s="91"/>
    </row>
    <row r="93" spans="2:7" x14ac:dyDescent="0.25">
      <c r="B93" s="79"/>
      <c r="C93" s="83"/>
      <c r="E93" s="79"/>
      <c r="F93" s="83"/>
      <c r="G93" s="91"/>
    </row>
    <row r="94" spans="2:7" x14ac:dyDescent="0.25">
      <c r="B94" s="79"/>
      <c r="C94" s="83"/>
      <c r="E94" s="79"/>
      <c r="F94" s="83"/>
      <c r="G94" s="91"/>
    </row>
    <row r="95" spans="2:7" x14ac:dyDescent="0.25">
      <c r="B95" s="79"/>
      <c r="C95" s="83"/>
      <c r="E95" s="79"/>
      <c r="F95" s="83"/>
      <c r="G95" s="91"/>
    </row>
    <row r="96" spans="2:7" x14ac:dyDescent="0.25">
      <c r="B96" s="79"/>
      <c r="C96" s="83"/>
      <c r="E96" s="79"/>
      <c r="F96" s="83"/>
      <c r="G96" s="91"/>
    </row>
    <row r="97" spans="2:7" x14ac:dyDescent="0.25">
      <c r="B97" s="79"/>
      <c r="C97" s="83"/>
      <c r="E97" s="79"/>
      <c r="F97" s="83"/>
      <c r="G97" s="91"/>
    </row>
    <row r="98" spans="2:7" x14ac:dyDescent="0.25">
      <c r="B98" s="79"/>
      <c r="C98" s="83"/>
      <c r="E98" s="79"/>
      <c r="F98" s="83"/>
      <c r="G98" s="91"/>
    </row>
    <row r="99" spans="2:7" x14ac:dyDescent="0.25">
      <c r="B99" s="79"/>
      <c r="C99" s="83"/>
      <c r="E99" s="79"/>
      <c r="F99" s="83"/>
      <c r="G99" s="91"/>
    </row>
    <row r="100" spans="2:7" x14ac:dyDescent="0.25">
      <c r="B100" s="79"/>
      <c r="C100" s="83"/>
      <c r="E100" s="79"/>
      <c r="F100" s="83"/>
      <c r="G100" s="91"/>
    </row>
    <row r="101" spans="2:7" x14ac:dyDescent="0.25">
      <c r="B101" s="79"/>
      <c r="C101" s="83"/>
      <c r="E101" s="79"/>
      <c r="F101" s="83"/>
      <c r="G101" s="91"/>
    </row>
    <row r="102" spans="2:7" x14ac:dyDescent="0.25">
      <c r="B102" s="79"/>
      <c r="C102" s="83"/>
      <c r="E102" s="79"/>
      <c r="F102" s="83"/>
      <c r="G102" s="91"/>
    </row>
    <row r="103" spans="2:7" x14ac:dyDescent="0.25">
      <c r="B103" s="79"/>
      <c r="C103" s="83"/>
      <c r="E103" s="79"/>
      <c r="F103" s="83"/>
      <c r="G103" s="91"/>
    </row>
    <row r="104" spans="2:7" x14ac:dyDescent="0.25">
      <c r="B104" s="79"/>
      <c r="C104" s="83"/>
      <c r="E104" s="79"/>
      <c r="F104" s="83"/>
      <c r="G104" s="91"/>
    </row>
    <row r="105" spans="2:7" x14ac:dyDescent="0.25">
      <c r="B105" s="79"/>
      <c r="C105" s="83"/>
      <c r="E105" s="79"/>
      <c r="F105" s="83"/>
      <c r="G105" s="91"/>
    </row>
    <row r="106" spans="2:7" x14ac:dyDescent="0.25">
      <c r="B106" s="79"/>
      <c r="C106" s="83"/>
      <c r="E106" s="79"/>
      <c r="F106" s="83"/>
      <c r="G106" s="91"/>
    </row>
    <row r="107" spans="2:7" x14ac:dyDescent="0.25">
      <c r="B107" s="79"/>
      <c r="C107" s="83"/>
      <c r="E107" s="79"/>
      <c r="F107" s="83"/>
      <c r="G107" s="91"/>
    </row>
    <row r="108" spans="2:7" x14ac:dyDescent="0.25">
      <c r="B108" s="79"/>
      <c r="C108" s="83"/>
      <c r="E108" s="79"/>
      <c r="F108" s="83"/>
      <c r="G108" s="91"/>
    </row>
    <row r="109" spans="2:7" x14ac:dyDescent="0.25">
      <c r="B109" s="79"/>
      <c r="C109" s="83"/>
      <c r="E109" s="79"/>
      <c r="F109" s="83"/>
      <c r="G109" s="91"/>
    </row>
    <row r="110" spans="2:7" x14ac:dyDescent="0.25">
      <c r="B110" s="79"/>
      <c r="C110" s="83"/>
      <c r="E110" s="79"/>
      <c r="F110" s="83"/>
      <c r="G110" s="91"/>
    </row>
    <row r="111" spans="2:7" x14ac:dyDescent="0.25">
      <c r="B111" s="79"/>
      <c r="C111" s="83"/>
      <c r="E111" s="79"/>
      <c r="F111" s="83"/>
      <c r="G111" s="91"/>
    </row>
    <row r="112" spans="2:7" x14ac:dyDescent="0.25">
      <c r="B112" s="79"/>
      <c r="C112" s="83"/>
      <c r="E112" s="79"/>
      <c r="F112" s="83"/>
      <c r="G112" s="91"/>
    </row>
    <row r="113" spans="2:7" x14ac:dyDescent="0.25">
      <c r="B113" s="79"/>
      <c r="C113" s="83"/>
      <c r="E113" s="79"/>
      <c r="F113" s="83"/>
      <c r="G113" s="91"/>
    </row>
    <row r="114" spans="2:7" x14ac:dyDescent="0.25">
      <c r="B114" s="79"/>
      <c r="C114" s="83"/>
      <c r="E114" s="79"/>
      <c r="F114" s="83"/>
      <c r="G114" s="91"/>
    </row>
    <row r="115" spans="2:7" x14ac:dyDescent="0.25">
      <c r="B115" s="79"/>
      <c r="C115" s="83"/>
      <c r="E115" s="79"/>
      <c r="F115" s="83"/>
      <c r="G115" s="91"/>
    </row>
    <row r="116" spans="2:7" x14ac:dyDescent="0.25">
      <c r="B116" s="79"/>
      <c r="C116" s="83"/>
      <c r="E116" s="79"/>
      <c r="F116" s="83"/>
      <c r="G116" s="91"/>
    </row>
    <row r="117" spans="2:7" x14ac:dyDescent="0.25">
      <c r="B117" s="79"/>
      <c r="C117" s="83"/>
      <c r="E117" s="79"/>
      <c r="F117" s="83"/>
      <c r="G117" s="91"/>
    </row>
    <row r="118" spans="2:7" x14ac:dyDescent="0.25">
      <c r="B118" s="79"/>
      <c r="C118" s="83"/>
      <c r="E118" s="79"/>
      <c r="F118" s="83"/>
      <c r="G118" s="91"/>
    </row>
    <row r="119" spans="2:7" x14ac:dyDescent="0.25">
      <c r="B119" s="79"/>
      <c r="C119" s="83"/>
      <c r="E119" s="79"/>
      <c r="F119" s="83"/>
      <c r="G119" s="91"/>
    </row>
    <row r="120" spans="2:7" x14ac:dyDescent="0.25">
      <c r="B120" s="79"/>
      <c r="C120" s="83"/>
      <c r="E120" s="79"/>
      <c r="F120" s="83"/>
      <c r="G120" s="91"/>
    </row>
    <row r="121" spans="2:7" x14ac:dyDescent="0.25">
      <c r="B121" s="79"/>
      <c r="C121" s="83"/>
      <c r="E121" s="79"/>
      <c r="F121" s="83"/>
      <c r="G121" s="91"/>
    </row>
    <row r="122" spans="2:7" x14ac:dyDescent="0.25">
      <c r="B122" s="79"/>
      <c r="C122" s="83"/>
      <c r="E122" s="79"/>
      <c r="F122" s="83"/>
      <c r="G122" s="91"/>
    </row>
    <row r="123" spans="2:7" x14ac:dyDescent="0.25">
      <c r="B123" s="79"/>
      <c r="C123" s="83"/>
      <c r="E123" s="79"/>
      <c r="F123" s="83"/>
      <c r="G123" s="91"/>
    </row>
    <row r="124" spans="2:7" x14ac:dyDescent="0.25">
      <c r="B124" s="79"/>
      <c r="C124" s="83"/>
      <c r="E124" s="79"/>
      <c r="F124" s="83"/>
      <c r="G124" s="91"/>
    </row>
    <row r="125" spans="2:7" x14ac:dyDescent="0.25">
      <c r="B125" s="79"/>
      <c r="C125" s="83"/>
      <c r="E125" s="79"/>
      <c r="F125" s="83"/>
      <c r="G125" s="91"/>
    </row>
    <row r="126" spans="2:7" x14ac:dyDescent="0.25">
      <c r="B126" s="79"/>
      <c r="C126" s="83"/>
      <c r="E126" s="79"/>
      <c r="F126" s="83"/>
      <c r="G126" s="91"/>
    </row>
    <row r="127" spans="2:7" x14ac:dyDescent="0.25">
      <c r="B127" s="79"/>
      <c r="C127" s="83"/>
      <c r="E127" s="79"/>
      <c r="F127" s="83"/>
      <c r="G127" s="91"/>
    </row>
    <row r="128" spans="2:7" x14ac:dyDescent="0.25">
      <c r="B128" s="79"/>
      <c r="C128" s="83"/>
      <c r="E128" s="79"/>
      <c r="F128" s="83"/>
      <c r="G128" s="91"/>
    </row>
    <row r="129" spans="2:7" x14ac:dyDescent="0.25">
      <c r="B129" s="79"/>
      <c r="C129" s="83"/>
      <c r="E129" s="79"/>
      <c r="F129" s="83"/>
      <c r="G129" s="91"/>
    </row>
    <row r="130" spans="2:7" x14ac:dyDescent="0.25">
      <c r="B130" s="79"/>
      <c r="C130" s="83"/>
      <c r="E130" s="79"/>
      <c r="F130" s="83"/>
      <c r="G130" s="91"/>
    </row>
    <row r="131" spans="2:7" x14ac:dyDescent="0.25">
      <c r="B131" s="79"/>
      <c r="C131" s="83"/>
      <c r="E131" s="79"/>
      <c r="F131" s="83"/>
      <c r="G131" s="91"/>
    </row>
    <row r="132" spans="2:7" x14ac:dyDescent="0.25">
      <c r="B132" s="79"/>
      <c r="C132" s="83"/>
      <c r="E132" s="79"/>
      <c r="F132" s="83"/>
      <c r="G132" s="91"/>
    </row>
    <row r="133" spans="2:7" x14ac:dyDescent="0.25">
      <c r="B133" s="79"/>
      <c r="C133" s="83"/>
      <c r="E133" s="79"/>
      <c r="F133" s="83"/>
      <c r="G133" s="91"/>
    </row>
    <row r="134" spans="2:7" x14ac:dyDescent="0.25">
      <c r="B134" s="79"/>
      <c r="C134" s="83"/>
      <c r="E134" s="79"/>
      <c r="F134" s="83"/>
      <c r="G134" s="91"/>
    </row>
    <row r="135" spans="2:7" x14ac:dyDescent="0.25">
      <c r="B135" s="79"/>
      <c r="C135" s="83"/>
      <c r="E135" s="79"/>
      <c r="F135" s="83"/>
      <c r="G135" s="91"/>
    </row>
  </sheetData>
  <mergeCells count="4">
    <mergeCell ref="B2:C3"/>
    <mergeCell ref="E4:G4"/>
    <mergeCell ref="I4:K4"/>
    <mergeCell ref="M4:N4"/>
  </mergeCells>
  <dataValidations count="1">
    <dataValidation type="list" showDropDown="1" showInputMessage="1" showErrorMessage="1" sqref="G7:G135 K7:K11" xr:uid="{00000000-0002-0000-0C00-000000000000}">
      <formula1>"Tomas, Paco, Agustin"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X154"/>
  <sheetViews>
    <sheetView showGridLines="0" workbookViewId="0">
      <selection activeCell="L138" sqref="L138"/>
    </sheetView>
  </sheetViews>
  <sheetFormatPr baseColWidth="10" defaultRowHeight="15" x14ac:dyDescent="0.25"/>
  <cols>
    <col min="1" max="1" width="7.28515625" customWidth="1"/>
    <col min="2" max="2" width="7.140625" bestFit="1" customWidth="1"/>
    <col min="3" max="3" width="30.5703125" bestFit="1" customWidth="1"/>
    <col min="4" max="4" width="7.7109375" customWidth="1"/>
    <col min="5" max="5" width="7.140625" bestFit="1" customWidth="1"/>
    <col min="6" max="6" width="22.5703125" bestFit="1" customWidth="1"/>
    <col min="7" max="7" width="7.7109375" customWidth="1"/>
    <col min="8" max="8" width="7.140625" bestFit="1" customWidth="1"/>
    <col min="9" max="9" width="12.85546875" customWidth="1"/>
    <col min="10" max="10" width="7.7109375" customWidth="1"/>
    <col min="11" max="11" width="10.7109375" bestFit="1" customWidth="1"/>
    <col min="12" max="15" width="8.140625" customWidth="1"/>
    <col min="16" max="16" width="7.7109375" customWidth="1"/>
    <col min="17" max="17" width="12.28515625" customWidth="1"/>
    <col min="18" max="18" width="12.140625" customWidth="1"/>
    <col min="19" max="19" width="7.42578125" customWidth="1"/>
    <col min="22" max="22" width="9" customWidth="1"/>
  </cols>
  <sheetData>
    <row r="1" spans="2:24" ht="5.25" customHeigh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2:24" ht="26.25" x14ac:dyDescent="0.4">
      <c r="B2" s="35" t="s">
        <v>51</v>
      </c>
    </row>
    <row r="4" spans="2:24" ht="18.75" x14ac:dyDescent="0.3">
      <c r="B4" s="251" t="s">
        <v>35</v>
      </c>
      <c r="C4" s="251"/>
      <c r="E4" s="250" t="s">
        <v>36</v>
      </c>
      <c r="F4" s="250"/>
      <c r="G4" s="15"/>
      <c r="H4" s="253" t="s">
        <v>37</v>
      </c>
      <c r="I4" s="253"/>
      <c r="J4" s="15"/>
      <c r="K4" s="13" t="s">
        <v>21</v>
      </c>
      <c r="L4" s="14"/>
      <c r="M4" s="14"/>
      <c r="N4" s="14"/>
      <c r="O4" s="14"/>
      <c r="Q4" s="252" t="s">
        <v>26</v>
      </c>
      <c r="R4" s="252"/>
      <c r="T4" s="249" t="s">
        <v>104</v>
      </c>
      <c r="U4" s="249"/>
      <c r="W4" s="249" t="s">
        <v>163</v>
      </c>
      <c r="X4" s="249"/>
    </row>
    <row r="5" spans="2:24" x14ac:dyDescent="0.25">
      <c r="W5" s="71">
        <v>44287</v>
      </c>
      <c r="X5" s="71">
        <v>44316</v>
      </c>
    </row>
    <row r="6" spans="2:24" x14ac:dyDescent="0.25">
      <c r="B6" s="72" t="s">
        <v>39</v>
      </c>
      <c r="C6" s="72" t="s">
        <v>6</v>
      </c>
      <c r="E6" s="72" t="s">
        <v>39</v>
      </c>
      <c r="F6" s="72" t="s">
        <v>13</v>
      </c>
      <c r="H6" s="72" t="s">
        <v>39</v>
      </c>
      <c r="I6" s="72" t="s">
        <v>34</v>
      </c>
      <c r="L6" s="72" t="s">
        <v>18</v>
      </c>
      <c r="M6" s="72" t="s">
        <v>11</v>
      </c>
      <c r="N6" s="72" t="s">
        <v>14</v>
      </c>
      <c r="O6" s="72" t="s">
        <v>9</v>
      </c>
      <c r="Q6" s="72" t="s">
        <v>18</v>
      </c>
      <c r="R6" s="72" t="s">
        <v>11</v>
      </c>
      <c r="T6" s="72" t="s">
        <v>10</v>
      </c>
      <c r="U6" s="72" t="s">
        <v>11</v>
      </c>
      <c r="W6" s="71">
        <v>44317</v>
      </c>
      <c r="X6" s="71">
        <v>44347</v>
      </c>
    </row>
    <row r="7" spans="2:24" x14ac:dyDescent="0.25">
      <c r="B7" s="1">
        <v>1</v>
      </c>
      <c r="C7" s="1" t="s">
        <v>64</v>
      </c>
      <c r="E7" s="1">
        <v>1</v>
      </c>
      <c r="F7" s="1" t="s">
        <v>31</v>
      </c>
      <c r="H7" s="1">
        <v>1</v>
      </c>
      <c r="I7" s="1" t="s">
        <v>11</v>
      </c>
      <c r="K7" s="4" t="s">
        <v>19</v>
      </c>
      <c r="L7" s="1">
        <f>Trabajos!R395</f>
        <v>3704</v>
      </c>
      <c r="M7" s="1">
        <f>Trabajos!S395</f>
        <v>5738</v>
      </c>
      <c r="N7" s="1">
        <f>Trabajos!T395</f>
        <v>37074</v>
      </c>
      <c r="O7" s="1">
        <f>SUM(L7:N7)</f>
        <v>46516</v>
      </c>
      <c r="Q7" s="1">
        <v>0.5</v>
      </c>
      <c r="R7" s="1">
        <v>0.5</v>
      </c>
      <c r="T7" s="3">
        <v>0.5</v>
      </c>
      <c r="U7" s="3">
        <v>0.5</v>
      </c>
      <c r="W7" s="71">
        <v>44348</v>
      </c>
      <c r="X7" s="71">
        <v>44377</v>
      </c>
    </row>
    <row r="8" spans="2:24" x14ac:dyDescent="0.25">
      <c r="B8" s="1">
        <v>2</v>
      </c>
      <c r="C8" s="1" t="s">
        <v>65</v>
      </c>
      <c r="E8" s="1">
        <v>2</v>
      </c>
      <c r="F8" s="1" t="s">
        <v>32</v>
      </c>
      <c r="H8" s="1">
        <v>2</v>
      </c>
      <c r="I8" s="1" t="s">
        <v>10</v>
      </c>
      <c r="K8" s="4" t="s">
        <v>20</v>
      </c>
      <c r="L8" s="3">
        <f>IFERROR((L7/O7),"")</f>
        <v>7.9628514919597562E-2</v>
      </c>
      <c r="M8" s="3">
        <f>IFERROR((M7/O7),"")</f>
        <v>0.12335540459196835</v>
      </c>
      <c r="N8" s="3">
        <f>IFERROR((N7/O7),"")</f>
        <v>0.79701608048843409</v>
      </c>
      <c r="W8" s="71">
        <v>44378</v>
      </c>
      <c r="X8" s="71">
        <v>44408</v>
      </c>
    </row>
    <row r="9" spans="2:24" x14ac:dyDescent="0.25">
      <c r="B9" s="1">
        <v>3</v>
      </c>
      <c r="C9" s="1" t="s">
        <v>66</v>
      </c>
      <c r="E9" s="1">
        <v>3</v>
      </c>
      <c r="F9" s="1" t="s">
        <v>33</v>
      </c>
      <c r="H9" s="1">
        <v>3</v>
      </c>
      <c r="I9" s="1" t="s">
        <v>14</v>
      </c>
      <c r="W9" s="71">
        <v>44409</v>
      </c>
      <c r="X9" s="71">
        <v>44439</v>
      </c>
    </row>
    <row r="10" spans="2:24" x14ac:dyDescent="0.25">
      <c r="B10" s="1">
        <v>4</v>
      </c>
      <c r="C10" s="1" t="s">
        <v>137</v>
      </c>
      <c r="E10" s="1">
        <v>4</v>
      </c>
      <c r="F10" s="1" t="s">
        <v>93</v>
      </c>
      <c r="W10" s="71">
        <v>44440</v>
      </c>
      <c r="X10" s="71">
        <v>44469</v>
      </c>
    </row>
    <row r="11" spans="2:24" x14ac:dyDescent="0.25">
      <c r="B11" s="1">
        <v>5</v>
      </c>
      <c r="C11" s="1" t="s">
        <v>100</v>
      </c>
      <c r="E11" s="1">
        <v>5</v>
      </c>
      <c r="F11" s="1" t="s">
        <v>94</v>
      </c>
      <c r="W11" s="71">
        <v>44470</v>
      </c>
      <c r="X11" s="71">
        <v>44500</v>
      </c>
    </row>
    <row r="12" spans="2:24" x14ac:dyDescent="0.25">
      <c r="B12" s="1">
        <v>6</v>
      </c>
      <c r="C12" s="1" t="s">
        <v>189</v>
      </c>
      <c r="E12" s="1">
        <v>6</v>
      </c>
      <c r="F12" s="1" t="s">
        <v>185</v>
      </c>
      <c r="W12" s="71"/>
      <c r="X12" s="71"/>
    </row>
    <row r="13" spans="2:24" ht="15.75" customHeight="1" x14ac:dyDescent="0.3">
      <c r="B13" s="1">
        <v>7</v>
      </c>
      <c r="C13" s="1" t="s">
        <v>67</v>
      </c>
      <c r="E13" s="1">
        <v>7</v>
      </c>
      <c r="F13" s="1" t="s">
        <v>106</v>
      </c>
      <c r="K13" s="13" t="s">
        <v>21</v>
      </c>
      <c r="L13" s="14"/>
      <c r="M13" s="14"/>
      <c r="N13" s="14"/>
      <c r="O13" s="14"/>
      <c r="W13" s="71">
        <v>44501</v>
      </c>
      <c r="X13" s="71">
        <v>44530</v>
      </c>
    </row>
    <row r="14" spans="2:24" x14ac:dyDescent="0.25">
      <c r="B14" s="1">
        <v>8</v>
      </c>
      <c r="C14" s="1" t="s">
        <v>190</v>
      </c>
      <c r="E14" s="1">
        <v>8</v>
      </c>
      <c r="F14" s="1" t="s">
        <v>123</v>
      </c>
      <c r="W14" s="71">
        <v>44531</v>
      </c>
      <c r="X14" s="71">
        <v>44561</v>
      </c>
    </row>
    <row r="15" spans="2:24" x14ac:dyDescent="0.25">
      <c r="B15" s="1">
        <v>9</v>
      </c>
      <c r="C15" s="1" t="s">
        <v>74</v>
      </c>
      <c r="E15" s="1">
        <v>9</v>
      </c>
      <c r="F15" s="1" t="s">
        <v>125</v>
      </c>
      <c r="L15" s="72" t="s">
        <v>18</v>
      </c>
      <c r="M15" s="72" t="s">
        <v>11</v>
      </c>
      <c r="N15" s="72" t="s">
        <v>14</v>
      </c>
      <c r="O15" s="72" t="s">
        <v>9</v>
      </c>
      <c r="W15" s="71">
        <v>44562</v>
      </c>
      <c r="X15" s="71">
        <v>44592</v>
      </c>
    </row>
    <row r="16" spans="2:24" x14ac:dyDescent="0.25">
      <c r="B16" s="1">
        <v>10</v>
      </c>
      <c r="C16" s="1" t="s">
        <v>87</v>
      </c>
      <c r="E16" s="1">
        <v>10</v>
      </c>
      <c r="F16" s="1" t="s">
        <v>205</v>
      </c>
      <c r="K16" s="4" t="s">
        <v>97</v>
      </c>
      <c r="L16" s="1">
        <f>'Trabajos 2'!R157</f>
        <v>0</v>
      </c>
      <c r="M16" s="1">
        <f>'Trabajos 2'!S157</f>
        <v>47</v>
      </c>
      <c r="N16" s="1">
        <f>'Trabajos 2'!T157</f>
        <v>33.299999999999997</v>
      </c>
      <c r="O16" s="1">
        <f>SUM(L16:N16)</f>
        <v>80.3</v>
      </c>
      <c r="W16" s="71">
        <v>44593</v>
      </c>
      <c r="X16" s="71">
        <v>44620</v>
      </c>
    </row>
    <row r="17" spans="2:24" x14ac:dyDescent="0.25">
      <c r="B17" s="1">
        <v>11</v>
      </c>
      <c r="C17" s="1" t="s">
        <v>75</v>
      </c>
      <c r="E17" s="1">
        <v>11</v>
      </c>
      <c r="F17" s="1" t="s">
        <v>224</v>
      </c>
      <c r="K17" s="4" t="s">
        <v>20</v>
      </c>
      <c r="L17" s="3">
        <f>IFERROR((L16/O16),"")</f>
        <v>0</v>
      </c>
      <c r="M17" s="3">
        <f>IFERROR((M16/O16),"")</f>
        <v>0.58530510585305107</v>
      </c>
      <c r="N17" s="3">
        <f>IFERROR((N16/O16),"")</f>
        <v>0.41469489414694893</v>
      </c>
      <c r="W17" s="71">
        <v>44621</v>
      </c>
      <c r="X17" s="71">
        <v>44651</v>
      </c>
    </row>
    <row r="18" spans="2:24" x14ac:dyDescent="0.25">
      <c r="B18" s="1">
        <v>12</v>
      </c>
      <c r="C18" s="1" t="s">
        <v>195</v>
      </c>
    </row>
    <row r="19" spans="2:24" x14ac:dyDescent="0.25">
      <c r="B19" s="1">
        <v>13</v>
      </c>
      <c r="C19" s="1" t="s">
        <v>76</v>
      </c>
      <c r="F19" t="s">
        <v>4</v>
      </c>
    </row>
    <row r="20" spans="2:24" x14ac:dyDescent="0.25">
      <c r="B20" s="1">
        <v>14</v>
      </c>
      <c r="C20" s="1" t="s">
        <v>90</v>
      </c>
      <c r="G20" t="s">
        <v>4</v>
      </c>
    </row>
    <row r="21" spans="2:24" x14ac:dyDescent="0.25">
      <c r="B21" s="1">
        <v>15</v>
      </c>
      <c r="C21" s="1" t="s">
        <v>77</v>
      </c>
    </row>
    <row r="22" spans="2:24" x14ac:dyDescent="0.25">
      <c r="B22" s="1">
        <v>16</v>
      </c>
      <c r="C22" s="1" t="s">
        <v>78</v>
      </c>
    </row>
    <row r="23" spans="2:24" x14ac:dyDescent="0.25">
      <c r="B23" s="1">
        <v>17</v>
      </c>
      <c r="C23" s="1" t="s">
        <v>138</v>
      </c>
    </row>
    <row r="24" spans="2:24" x14ac:dyDescent="0.25">
      <c r="B24" s="1">
        <v>18</v>
      </c>
      <c r="C24" s="1" t="s">
        <v>88</v>
      </c>
    </row>
    <row r="25" spans="2:24" x14ac:dyDescent="0.25">
      <c r="B25" s="1">
        <v>19</v>
      </c>
      <c r="C25" s="1" t="s">
        <v>79</v>
      </c>
    </row>
    <row r="26" spans="2:24" x14ac:dyDescent="0.25">
      <c r="B26" s="1">
        <v>20</v>
      </c>
      <c r="C26" s="1" t="s">
        <v>80</v>
      </c>
    </row>
    <row r="27" spans="2:24" x14ac:dyDescent="0.25">
      <c r="B27" s="1">
        <v>21</v>
      </c>
      <c r="C27" s="1" t="s">
        <v>81</v>
      </c>
    </row>
    <row r="28" spans="2:24" x14ac:dyDescent="0.25">
      <c r="B28" s="1">
        <v>22</v>
      </c>
      <c r="C28" s="1" t="s">
        <v>82</v>
      </c>
    </row>
    <row r="29" spans="2:24" x14ac:dyDescent="0.25">
      <c r="B29" s="1">
        <v>23</v>
      </c>
      <c r="C29" s="1" t="s">
        <v>83</v>
      </c>
    </row>
    <row r="30" spans="2:24" x14ac:dyDescent="0.25">
      <c r="B30" s="1">
        <v>24</v>
      </c>
      <c r="C30" s="1" t="s">
        <v>85</v>
      </c>
    </row>
    <row r="31" spans="2:24" x14ac:dyDescent="0.25">
      <c r="B31" s="1">
        <v>25</v>
      </c>
      <c r="C31" s="1" t="s">
        <v>86</v>
      </c>
    </row>
    <row r="32" spans="2:24" x14ac:dyDescent="0.25">
      <c r="B32" s="1">
        <v>26</v>
      </c>
      <c r="C32" s="1" t="s">
        <v>89</v>
      </c>
    </row>
    <row r="33" spans="2:3" x14ac:dyDescent="0.25">
      <c r="B33" s="1">
        <v>27</v>
      </c>
      <c r="C33" s="1" t="s">
        <v>91</v>
      </c>
    </row>
    <row r="34" spans="2:3" x14ac:dyDescent="0.25">
      <c r="B34" s="1">
        <v>28</v>
      </c>
      <c r="C34" s="1" t="s">
        <v>92</v>
      </c>
    </row>
    <row r="35" spans="2:3" x14ac:dyDescent="0.25">
      <c r="B35" s="1">
        <v>29</v>
      </c>
      <c r="C35" s="1" t="s">
        <v>101</v>
      </c>
    </row>
    <row r="36" spans="2:3" x14ac:dyDescent="0.25">
      <c r="B36" s="1">
        <v>30</v>
      </c>
      <c r="C36" s="1" t="s">
        <v>102</v>
      </c>
    </row>
    <row r="37" spans="2:3" x14ac:dyDescent="0.25">
      <c r="B37" s="1">
        <v>31</v>
      </c>
      <c r="C37" s="1" t="s">
        <v>99</v>
      </c>
    </row>
    <row r="38" spans="2:3" x14ac:dyDescent="0.25">
      <c r="B38" s="1">
        <v>32</v>
      </c>
      <c r="C38" s="1" t="s">
        <v>103</v>
      </c>
    </row>
    <row r="39" spans="2:3" x14ac:dyDescent="0.25">
      <c r="B39" s="1">
        <v>33</v>
      </c>
      <c r="C39" s="1" t="s">
        <v>105</v>
      </c>
    </row>
    <row r="40" spans="2:3" x14ac:dyDescent="0.25">
      <c r="B40" s="1">
        <v>34</v>
      </c>
      <c r="C40" s="1" t="s">
        <v>107</v>
      </c>
    </row>
    <row r="41" spans="2:3" x14ac:dyDescent="0.25">
      <c r="B41" s="1">
        <v>35</v>
      </c>
      <c r="C41" s="1" t="s">
        <v>109</v>
      </c>
    </row>
    <row r="42" spans="2:3" x14ac:dyDescent="0.25">
      <c r="B42" s="1">
        <v>36</v>
      </c>
      <c r="C42" s="1" t="s">
        <v>113</v>
      </c>
    </row>
    <row r="43" spans="2:3" x14ac:dyDescent="0.25">
      <c r="B43" s="1">
        <v>37</v>
      </c>
      <c r="C43" s="1" t="s">
        <v>136</v>
      </c>
    </row>
    <row r="44" spans="2:3" x14ac:dyDescent="0.25">
      <c r="B44" s="1">
        <v>38</v>
      </c>
      <c r="C44" s="1" t="s">
        <v>115</v>
      </c>
    </row>
    <row r="45" spans="2:3" x14ac:dyDescent="0.25">
      <c r="B45" s="1">
        <v>39</v>
      </c>
      <c r="C45" s="1" t="s">
        <v>116</v>
      </c>
    </row>
    <row r="46" spans="2:3" x14ac:dyDescent="0.25">
      <c r="B46" s="1">
        <v>40</v>
      </c>
      <c r="C46" s="1" t="s">
        <v>121</v>
      </c>
    </row>
    <row r="47" spans="2:3" x14ac:dyDescent="0.25">
      <c r="B47" s="1">
        <v>41</v>
      </c>
      <c r="C47" s="1" t="s">
        <v>118</v>
      </c>
    </row>
    <row r="48" spans="2:3" x14ac:dyDescent="0.25">
      <c r="B48" s="1">
        <v>42</v>
      </c>
      <c r="C48" s="1" t="s">
        <v>119</v>
      </c>
    </row>
    <row r="49" spans="2:3" x14ac:dyDescent="0.25">
      <c r="B49" s="1">
        <v>43</v>
      </c>
      <c r="C49" s="1" t="s">
        <v>120</v>
      </c>
    </row>
    <row r="50" spans="2:3" x14ac:dyDescent="0.25">
      <c r="B50" s="1">
        <v>44</v>
      </c>
      <c r="C50" s="1" t="s">
        <v>122</v>
      </c>
    </row>
    <row r="51" spans="2:3" x14ac:dyDescent="0.25">
      <c r="B51" s="1">
        <v>45</v>
      </c>
      <c r="C51" s="1" t="s">
        <v>124</v>
      </c>
    </row>
    <row r="52" spans="2:3" x14ac:dyDescent="0.25">
      <c r="B52" s="1">
        <v>46</v>
      </c>
      <c r="C52" s="1" t="s">
        <v>126</v>
      </c>
    </row>
    <row r="53" spans="2:3" x14ac:dyDescent="0.25">
      <c r="B53" s="1">
        <v>47</v>
      </c>
      <c r="C53" s="1" t="s">
        <v>131</v>
      </c>
    </row>
    <row r="54" spans="2:3" x14ac:dyDescent="0.25">
      <c r="B54" s="1">
        <v>48</v>
      </c>
      <c r="C54" s="1" t="s">
        <v>132</v>
      </c>
    </row>
    <row r="55" spans="2:3" x14ac:dyDescent="0.25">
      <c r="B55" s="1">
        <v>49</v>
      </c>
      <c r="C55" s="1" t="s">
        <v>133</v>
      </c>
    </row>
    <row r="56" spans="2:3" x14ac:dyDescent="0.25">
      <c r="B56" s="1">
        <v>50</v>
      </c>
      <c r="C56" s="1" t="s">
        <v>153</v>
      </c>
    </row>
    <row r="57" spans="2:3" x14ac:dyDescent="0.25">
      <c r="B57" s="1">
        <v>51</v>
      </c>
      <c r="C57" s="1" t="s">
        <v>135</v>
      </c>
    </row>
    <row r="58" spans="2:3" x14ac:dyDescent="0.25">
      <c r="B58" s="1">
        <v>52</v>
      </c>
      <c r="C58" s="1" t="s">
        <v>134</v>
      </c>
    </row>
    <row r="59" spans="2:3" x14ac:dyDescent="0.25">
      <c r="B59" s="1">
        <v>53</v>
      </c>
      <c r="C59" s="1" t="s">
        <v>142</v>
      </c>
    </row>
    <row r="60" spans="2:3" x14ac:dyDescent="0.25">
      <c r="B60" s="1">
        <v>54</v>
      </c>
      <c r="C60" s="1" t="s">
        <v>139</v>
      </c>
    </row>
    <row r="61" spans="2:3" x14ac:dyDescent="0.25">
      <c r="B61" s="1">
        <v>55</v>
      </c>
      <c r="C61" s="1" t="s">
        <v>140</v>
      </c>
    </row>
    <row r="62" spans="2:3" x14ac:dyDescent="0.25">
      <c r="B62" s="1">
        <v>56</v>
      </c>
      <c r="C62" s="1" t="s">
        <v>141</v>
      </c>
    </row>
    <row r="63" spans="2:3" x14ac:dyDescent="0.25">
      <c r="B63" s="1">
        <v>57</v>
      </c>
      <c r="C63" s="1" t="s">
        <v>143</v>
      </c>
    </row>
    <row r="64" spans="2:3" x14ac:dyDescent="0.25">
      <c r="B64" s="1">
        <v>58</v>
      </c>
      <c r="C64" s="1" t="s">
        <v>144</v>
      </c>
    </row>
    <row r="65" spans="2:3" x14ac:dyDescent="0.25">
      <c r="B65" s="1">
        <v>59</v>
      </c>
      <c r="C65" s="1" t="s">
        <v>145</v>
      </c>
    </row>
    <row r="66" spans="2:3" x14ac:dyDescent="0.25">
      <c r="B66" s="1">
        <v>60</v>
      </c>
      <c r="C66" s="1" t="s">
        <v>146</v>
      </c>
    </row>
    <row r="67" spans="2:3" x14ac:dyDescent="0.25">
      <c r="B67" s="1">
        <v>61</v>
      </c>
      <c r="C67" s="1" t="s">
        <v>150</v>
      </c>
    </row>
    <row r="68" spans="2:3" x14ac:dyDescent="0.25">
      <c r="B68" s="1">
        <v>62</v>
      </c>
      <c r="C68" s="1" t="s">
        <v>151</v>
      </c>
    </row>
    <row r="69" spans="2:3" x14ac:dyDescent="0.25">
      <c r="B69" s="1">
        <v>63</v>
      </c>
      <c r="C69" s="1" t="s">
        <v>152</v>
      </c>
    </row>
    <row r="70" spans="2:3" x14ac:dyDescent="0.25">
      <c r="B70" s="1">
        <v>64</v>
      </c>
      <c r="C70" s="1" t="s">
        <v>154</v>
      </c>
    </row>
    <row r="71" spans="2:3" x14ac:dyDescent="0.25">
      <c r="B71" s="1">
        <v>65</v>
      </c>
      <c r="C71" s="1" t="s">
        <v>155</v>
      </c>
    </row>
    <row r="72" spans="2:3" x14ac:dyDescent="0.25">
      <c r="B72" s="1">
        <v>66</v>
      </c>
      <c r="C72" s="1" t="s">
        <v>156</v>
      </c>
    </row>
    <row r="73" spans="2:3" x14ac:dyDescent="0.25">
      <c r="B73" s="1">
        <v>67</v>
      </c>
      <c r="C73" s="1" t="s">
        <v>157</v>
      </c>
    </row>
    <row r="74" spans="2:3" x14ac:dyDescent="0.25">
      <c r="B74" s="1">
        <v>68</v>
      </c>
      <c r="C74" s="1" t="s">
        <v>158</v>
      </c>
    </row>
    <row r="75" spans="2:3" x14ac:dyDescent="0.25">
      <c r="B75" s="1">
        <v>69</v>
      </c>
      <c r="C75" s="1" t="s">
        <v>167</v>
      </c>
    </row>
    <row r="76" spans="2:3" x14ac:dyDescent="0.25">
      <c r="B76" s="1">
        <v>70</v>
      </c>
      <c r="C76" s="1" t="s">
        <v>168</v>
      </c>
    </row>
    <row r="77" spans="2:3" x14ac:dyDescent="0.25">
      <c r="B77" s="1">
        <v>71</v>
      </c>
      <c r="C77" s="1" t="s">
        <v>172</v>
      </c>
    </row>
    <row r="78" spans="2:3" x14ac:dyDescent="0.25">
      <c r="B78" s="1">
        <v>72</v>
      </c>
      <c r="C78" s="1" t="s">
        <v>170</v>
      </c>
    </row>
    <row r="79" spans="2:3" x14ac:dyDescent="0.25">
      <c r="B79" s="1">
        <v>73</v>
      </c>
      <c r="C79" s="1" t="s">
        <v>171</v>
      </c>
    </row>
    <row r="80" spans="2:3" x14ac:dyDescent="0.25">
      <c r="B80" s="1">
        <v>74</v>
      </c>
      <c r="C80" s="1" t="s">
        <v>173</v>
      </c>
    </row>
    <row r="81" spans="2:3" x14ac:dyDescent="0.25">
      <c r="B81" s="1">
        <v>75</v>
      </c>
      <c r="C81" s="1" t="s">
        <v>176</v>
      </c>
    </row>
    <row r="82" spans="2:3" x14ac:dyDescent="0.25">
      <c r="B82" s="1">
        <v>76</v>
      </c>
      <c r="C82" s="1" t="s">
        <v>174</v>
      </c>
    </row>
    <row r="83" spans="2:3" x14ac:dyDescent="0.25">
      <c r="B83" s="1">
        <v>77</v>
      </c>
      <c r="C83" s="1" t="s">
        <v>175</v>
      </c>
    </row>
    <row r="84" spans="2:3" x14ac:dyDescent="0.25">
      <c r="B84" s="1">
        <v>78</v>
      </c>
      <c r="C84" s="1" t="s">
        <v>177</v>
      </c>
    </row>
    <row r="85" spans="2:3" x14ac:dyDescent="0.25">
      <c r="B85" s="1">
        <v>79</v>
      </c>
      <c r="C85" s="1" t="s">
        <v>178</v>
      </c>
    </row>
    <row r="86" spans="2:3" x14ac:dyDescent="0.25">
      <c r="B86" s="1">
        <v>80</v>
      </c>
      <c r="C86" s="1" t="s">
        <v>179</v>
      </c>
    </row>
    <row r="87" spans="2:3" x14ac:dyDescent="0.25">
      <c r="B87" s="1">
        <v>81</v>
      </c>
      <c r="C87" s="1" t="s">
        <v>180</v>
      </c>
    </row>
    <row r="88" spans="2:3" x14ac:dyDescent="0.25">
      <c r="B88" s="1">
        <v>82</v>
      </c>
      <c r="C88" s="1" t="s">
        <v>181</v>
      </c>
    </row>
    <row r="89" spans="2:3" x14ac:dyDescent="0.25">
      <c r="B89" s="1">
        <v>83</v>
      </c>
      <c r="C89" s="1" t="s">
        <v>184</v>
      </c>
    </row>
    <row r="90" spans="2:3" x14ac:dyDescent="0.25">
      <c r="B90" s="1">
        <v>84</v>
      </c>
      <c r="C90" s="1" t="s">
        <v>187</v>
      </c>
    </row>
    <row r="91" spans="2:3" x14ac:dyDescent="0.25">
      <c r="B91" s="1">
        <v>85</v>
      </c>
      <c r="C91" s="1" t="s">
        <v>188</v>
      </c>
    </row>
    <row r="92" spans="2:3" x14ac:dyDescent="0.25">
      <c r="B92" s="1">
        <v>86</v>
      </c>
      <c r="C92" s="1" t="s">
        <v>186</v>
      </c>
    </row>
    <row r="93" spans="2:3" x14ac:dyDescent="0.25">
      <c r="B93" s="1">
        <v>87</v>
      </c>
      <c r="C93" s="1" t="s">
        <v>199</v>
      </c>
    </row>
    <row r="94" spans="2:3" x14ac:dyDescent="0.25">
      <c r="B94" s="1">
        <v>88</v>
      </c>
      <c r="C94" s="1" t="s">
        <v>191</v>
      </c>
    </row>
    <row r="95" spans="2:3" x14ac:dyDescent="0.25">
      <c r="B95" s="1">
        <v>89</v>
      </c>
      <c r="C95" s="1" t="s">
        <v>193</v>
      </c>
    </row>
    <row r="96" spans="2:3" x14ac:dyDescent="0.25">
      <c r="B96" s="1">
        <v>90</v>
      </c>
      <c r="C96" s="1" t="s">
        <v>194</v>
      </c>
    </row>
    <row r="97" spans="2:3" x14ac:dyDescent="0.25">
      <c r="B97" s="1">
        <v>91</v>
      </c>
      <c r="C97" s="1" t="s">
        <v>196</v>
      </c>
    </row>
    <row r="98" spans="2:3" x14ac:dyDescent="0.25">
      <c r="B98" s="1">
        <v>92</v>
      </c>
      <c r="C98" s="1" t="s">
        <v>200</v>
      </c>
    </row>
    <row r="99" spans="2:3" x14ac:dyDescent="0.25">
      <c r="B99" s="1">
        <v>93</v>
      </c>
      <c r="C99" s="1" t="s">
        <v>201</v>
      </c>
    </row>
    <row r="100" spans="2:3" x14ac:dyDescent="0.25">
      <c r="B100" s="1">
        <v>94</v>
      </c>
      <c r="C100" s="1" t="s">
        <v>202</v>
      </c>
    </row>
    <row r="101" spans="2:3" x14ac:dyDescent="0.25">
      <c r="B101" s="1">
        <v>95</v>
      </c>
      <c r="C101" s="1" t="s">
        <v>203</v>
      </c>
    </row>
    <row r="102" spans="2:3" x14ac:dyDescent="0.25">
      <c r="B102" s="1">
        <v>96</v>
      </c>
      <c r="C102" s="1" t="s">
        <v>204</v>
      </c>
    </row>
    <row r="103" spans="2:3" x14ac:dyDescent="0.25">
      <c r="B103" s="1">
        <v>97</v>
      </c>
      <c r="C103" s="1" t="s">
        <v>206</v>
      </c>
    </row>
    <row r="104" spans="2:3" x14ac:dyDescent="0.25">
      <c r="B104" s="1">
        <v>98</v>
      </c>
      <c r="C104" s="1" t="s">
        <v>207</v>
      </c>
    </row>
    <row r="105" spans="2:3" x14ac:dyDescent="0.25">
      <c r="B105" s="1">
        <v>99</v>
      </c>
      <c r="C105" s="1" t="s">
        <v>208</v>
      </c>
    </row>
    <row r="106" spans="2:3" x14ac:dyDescent="0.25">
      <c r="B106" s="1">
        <v>100</v>
      </c>
      <c r="C106" s="1" t="s">
        <v>212</v>
      </c>
    </row>
    <row r="107" spans="2:3" x14ac:dyDescent="0.25">
      <c r="B107" s="1">
        <v>101</v>
      </c>
      <c r="C107" s="1" t="s">
        <v>209</v>
      </c>
    </row>
    <row r="108" spans="2:3" x14ac:dyDescent="0.25">
      <c r="B108" s="1">
        <v>102</v>
      </c>
      <c r="C108" s="1" t="s">
        <v>214</v>
      </c>
    </row>
    <row r="109" spans="2:3" x14ac:dyDescent="0.25">
      <c r="B109" s="1">
        <v>103</v>
      </c>
      <c r="C109" s="1" t="s">
        <v>211</v>
      </c>
    </row>
    <row r="110" spans="2:3" x14ac:dyDescent="0.25">
      <c r="B110" s="1">
        <v>104</v>
      </c>
      <c r="C110" s="1" t="s">
        <v>213</v>
      </c>
    </row>
    <row r="111" spans="2:3" x14ac:dyDescent="0.25">
      <c r="B111" s="1">
        <v>105</v>
      </c>
      <c r="C111" s="1" t="s">
        <v>215</v>
      </c>
    </row>
    <row r="112" spans="2:3" x14ac:dyDescent="0.25">
      <c r="B112" s="1">
        <v>106</v>
      </c>
      <c r="C112" s="1" t="s">
        <v>216</v>
      </c>
    </row>
    <row r="113" spans="2:3" x14ac:dyDescent="0.25">
      <c r="B113" s="1">
        <v>107</v>
      </c>
      <c r="C113" s="1" t="s">
        <v>220</v>
      </c>
    </row>
    <row r="114" spans="2:3" x14ac:dyDescent="0.25">
      <c r="B114" s="1">
        <v>108</v>
      </c>
      <c r="C114" s="1" t="s">
        <v>218</v>
      </c>
    </row>
    <row r="115" spans="2:3" x14ac:dyDescent="0.25">
      <c r="B115" s="1">
        <v>109</v>
      </c>
      <c r="C115" s="1" t="s">
        <v>219</v>
      </c>
    </row>
    <row r="116" spans="2:3" x14ac:dyDescent="0.25">
      <c r="B116" s="1">
        <v>110</v>
      </c>
      <c r="C116" s="1" t="s">
        <v>221</v>
      </c>
    </row>
    <row r="117" spans="2:3" x14ac:dyDescent="0.25">
      <c r="B117" s="1">
        <v>111</v>
      </c>
      <c r="C117" s="1" t="s">
        <v>222</v>
      </c>
    </row>
    <row r="118" spans="2:3" x14ac:dyDescent="0.25">
      <c r="B118" s="1">
        <v>112</v>
      </c>
      <c r="C118" s="1" t="s">
        <v>223</v>
      </c>
    </row>
    <row r="119" spans="2:3" x14ac:dyDescent="0.25">
      <c r="B119" s="1">
        <v>113</v>
      </c>
      <c r="C119" s="1" t="s">
        <v>228</v>
      </c>
    </row>
    <row r="120" spans="2:3" x14ac:dyDescent="0.25">
      <c r="B120" s="1">
        <v>114</v>
      </c>
      <c r="C120" s="1" t="s">
        <v>225</v>
      </c>
    </row>
    <row r="121" spans="2:3" x14ac:dyDescent="0.25">
      <c r="B121" s="1">
        <v>115</v>
      </c>
      <c r="C121" s="1" t="s">
        <v>226</v>
      </c>
    </row>
    <row r="122" spans="2:3" x14ac:dyDescent="0.25">
      <c r="B122" s="1">
        <v>116</v>
      </c>
      <c r="C122" s="1" t="s">
        <v>227</v>
      </c>
    </row>
    <row r="123" spans="2:3" x14ac:dyDescent="0.25">
      <c r="B123" s="1">
        <v>117</v>
      </c>
      <c r="C123" s="1" t="s">
        <v>229</v>
      </c>
    </row>
    <row r="124" spans="2:3" x14ac:dyDescent="0.25">
      <c r="B124" s="1">
        <v>118</v>
      </c>
      <c r="C124" s="1" t="s">
        <v>243</v>
      </c>
    </row>
    <row r="125" spans="2:3" x14ac:dyDescent="0.25">
      <c r="B125" s="1">
        <v>119</v>
      </c>
      <c r="C125" s="1" t="s">
        <v>422</v>
      </c>
    </row>
    <row r="126" spans="2:3" x14ac:dyDescent="0.25">
      <c r="B126" s="1">
        <v>120</v>
      </c>
      <c r="C126" s="1" t="s">
        <v>368</v>
      </c>
    </row>
    <row r="127" spans="2:3" x14ac:dyDescent="0.25">
      <c r="B127" s="1">
        <v>121</v>
      </c>
      <c r="C127" s="1" t="s">
        <v>369</v>
      </c>
    </row>
    <row r="128" spans="2:3" x14ac:dyDescent="0.25">
      <c r="B128" s="1">
        <v>122</v>
      </c>
      <c r="C128" s="1" t="s">
        <v>374</v>
      </c>
    </row>
    <row r="129" spans="2:3" x14ac:dyDescent="0.25">
      <c r="B129" s="1">
        <v>123</v>
      </c>
      <c r="C129" s="1" t="s">
        <v>389</v>
      </c>
    </row>
    <row r="130" spans="2:3" x14ac:dyDescent="0.25">
      <c r="B130" s="1">
        <v>124</v>
      </c>
      <c r="C130" s="1" t="s">
        <v>398</v>
      </c>
    </row>
    <row r="131" spans="2:3" x14ac:dyDescent="0.25">
      <c r="B131" s="1">
        <v>125</v>
      </c>
      <c r="C131" s="1" t="s">
        <v>401</v>
      </c>
    </row>
    <row r="132" spans="2:3" x14ac:dyDescent="0.25">
      <c r="B132" s="1">
        <v>126</v>
      </c>
      <c r="C132" s="1" t="s">
        <v>404</v>
      </c>
    </row>
    <row r="133" spans="2:3" x14ac:dyDescent="0.25">
      <c r="B133" s="1">
        <v>127</v>
      </c>
      <c r="C133" s="1" t="s">
        <v>417</v>
      </c>
    </row>
    <row r="134" spans="2:3" x14ac:dyDescent="0.25">
      <c r="B134" s="1">
        <v>128</v>
      </c>
      <c r="C134" s="1" t="s">
        <v>434</v>
      </c>
    </row>
    <row r="135" spans="2:3" x14ac:dyDescent="0.25">
      <c r="B135" s="1">
        <v>129</v>
      </c>
      <c r="C135" s="1" t="s">
        <v>488</v>
      </c>
    </row>
    <row r="136" spans="2:3" x14ac:dyDescent="0.25">
      <c r="B136" s="1">
        <v>130</v>
      </c>
      <c r="C136" s="1" t="s">
        <v>492</v>
      </c>
    </row>
    <row r="137" spans="2:3" x14ac:dyDescent="0.25">
      <c r="B137" s="1">
        <v>131</v>
      </c>
      <c r="C137" s="1" t="s">
        <v>509</v>
      </c>
    </row>
    <row r="138" spans="2:3" x14ac:dyDescent="0.25">
      <c r="B138" s="1">
        <v>132</v>
      </c>
      <c r="C138" s="1" t="s">
        <v>518</v>
      </c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</sheetData>
  <sheetProtection formatCells="0" formatColumns="0" formatRows="0" insertColumns="0" insertRows="0" insertHyperlinks="0" deleteColumns="0" deleteRows="0" sort="0" autoFilter="0" pivotTables="0"/>
  <autoFilter ref="B6:C136" xr:uid="{00000000-0009-0000-0000-00000D000000}"/>
  <mergeCells count="6">
    <mergeCell ref="W4:X4"/>
    <mergeCell ref="T4:U4"/>
    <mergeCell ref="E4:F4"/>
    <mergeCell ref="B4:C4"/>
    <mergeCell ref="Q4:R4"/>
    <mergeCell ref="H4:I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Trabajos</vt:lpstr>
      <vt:lpstr>Trabajos 2</vt:lpstr>
      <vt:lpstr>Viajes</vt:lpstr>
      <vt:lpstr>Gastos</vt:lpstr>
      <vt:lpstr>Saldos</vt:lpstr>
      <vt:lpstr>Ingresos</vt:lpstr>
      <vt:lpstr>Empleados</vt:lpstr>
      <vt:lpstr>Terciarizados</vt:lpstr>
      <vt:lpstr>Asignación</vt:lpstr>
      <vt:lpstr>Asignación 2</vt:lpstr>
      <vt:lpstr>Facturacion</vt:lpstr>
      <vt:lpstr>Facturacion 2</vt:lpstr>
      <vt:lpstr>IVA</vt:lpstr>
      <vt:lpstr>Referencias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2026-07-26T14:11:19Z</dcterms:modified>
</cp:coreProperties>
</file>